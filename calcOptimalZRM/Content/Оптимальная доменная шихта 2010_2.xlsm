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Александр\Documents\учебка\диплом\web\calcOptimalZRM\calcOptimalZRM\Content\"/>
    </mc:Choice>
  </mc:AlternateContent>
  <bookViews>
    <workbookView xWindow="-150" yWindow="780" windowWidth="15480" windowHeight="7335" tabRatio="758" firstSheet="1" activeTab="1"/>
  </bookViews>
  <sheets>
    <sheet name="Расход флюсов" sheetId="11" r:id="rId1"/>
    <sheet name="Соотношение расходов ЖРМ" sheetId="12" r:id="rId2"/>
    <sheet name="Основность агломерата" sheetId="27" r:id="rId3"/>
    <sheet name="База" sheetId="4" state="veryHidden" r:id="rId4"/>
    <sheet name="Проект" sheetId="7" state="veryHidden" r:id="rId5"/>
    <sheet name="Исходные данные и результаты" sheetId="2" r:id="rId6"/>
    <sheet name="Ввод составов (база)" sheetId="3" r:id="rId7"/>
    <sheet name="Ввод составов (проект)" sheetId="26" r:id="rId8"/>
    <sheet name="Печать результ. (стр. 1-2)" sheetId="28" r:id="rId9"/>
    <sheet name="Печать результ. шихта (стр. 3)" sheetId="29" r:id="rId10"/>
    <sheet name="Диагностика" sheetId="13" r:id="rId11"/>
    <sheet name="Проект2" sheetId="10" state="veryHidden" r:id="rId12"/>
    <sheet name="ВВОД данных и р-т" sheetId="14" state="veryHidden" r:id="rId13"/>
    <sheet name="ВВОД данных и р-т (про)" sheetId="22" state="veryHidden" r:id="rId14"/>
    <sheet name="Расчет вязкости" sheetId="18" state="veryHidden" r:id="rId15"/>
    <sheet name="Расчет вязкости (про)" sheetId="23" state="veryHidden" r:id="rId16"/>
    <sheet name="Влияние основности" sheetId="15" state="hidden" r:id="rId17"/>
    <sheet name="Расчет при 1400 С" sheetId="19" state="veryHidden" r:id="rId18"/>
    <sheet name="Расчет при 1400 С (про)" sheetId="24" state="veryHidden" r:id="rId19"/>
    <sheet name="Расчет при 1500 С" sheetId="20" state="veryHidden" r:id="rId20"/>
    <sheet name="Влияние MgO" sheetId="16" state="veryHidden" r:id="rId21"/>
    <sheet name="Влияние Al2O3" sheetId="17" state="veryHidden" r:id="rId22"/>
    <sheet name="Расчет при 1500 С (про)" sheetId="25" state="veryHidden" r:id="rId23"/>
    <sheet name="Данные с диаграмм" sheetId="21" state="veryHidden" r:id="rId24"/>
    <sheet name="Среднемесячный анализ" sheetId="1" state="veryHidden" r:id="rId25"/>
    <sheet name="Лист1" sheetId="8" state="veryHidden" r:id="rId26"/>
    <sheet name="Аглошихта по ММК" sheetId="9" state="veryHidden" r:id="rId27"/>
  </sheets>
  <definedNames>
    <definedName name="solver_adj" localSheetId="16" hidden="1">'Влияние основности'!$K$8:$K$9</definedName>
    <definedName name="solver_adj" localSheetId="5" hidden="1">'Исходные данные и результаты'!$C$14</definedName>
    <definedName name="solver_adj" localSheetId="2" hidden="1">'Основность агломерата'!$G$9</definedName>
    <definedName name="solver_adj" localSheetId="11" hidden="1">Проект2!$K$26</definedName>
    <definedName name="solver_adj" localSheetId="0" hidden="1">'Расход флюсов'!$B$28</definedName>
    <definedName name="solver_adj" localSheetId="1" hidden="1">'Соотношение расходов ЖРМ'!$B$29,'Соотношение расходов ЖРМ'!$C$8</definedName>
    <definedName name="solver_cvg" localSheetId="16" hidden="1">0.0001</definedName>
    <definedName name="solver_cvg" localSheetId="5" hidden="1">0.0001</definedName>
    <definedName name="solver_cvg" localSheetId="2" hidden="1">0.0001</definedName>
    <definedName name="solver_cvg" localSheetId="11" hidden="1">0.001</definedName>
    <definedName name="solver_cvg" localSheetId="0" hidden="1">0.0001</definedName>
    <definedName name="solver_cvg" localSheetId="1" hidden="1">0.0001</definedName>
    <definedName name="solver_drv" localSheetId="16" hidden="1">1</definedName>
    <definedName name="solver_drv" localSheetId="5" hidden="1">1</definedName>
    <definedName name="solver_drv" localSheetId="2" hidden="1">1</definedName>
    <definedName name="solver_drv" localSheetId="11" hidden="1">1</definedName>
    <definedName name="solver_drv" localSheetId="0" hidden="1">1</definedName>
    <definedName name="solver_drv" localSheetId="1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16" hidden="1">1</definedName>
    <definedName name="solver_est" localSheetId="5" hidden="1">1</definedName>
    <definedName name="solver_est" localSheetId="2" hidden="1">1</definedName>
    <definedName name="solver_est" localSheetId="11" hidden="1">1</definedName>
    <definedName name="solver_est" localSheetId="0" hidden="1">1</definedName>
    <definedName name="solver_est" localSheetId="1" hidden="1">1</definedName>
    <definedName name="solver_itr" localSheetId="16" hidden="1">100</definedName>
    <definedName name="solver_itr" localSheetId="5" hidden="1">100</definedName>
    <definedName name="solver_itr" localSheetId="2" hidden="1">100</definedName>
    <definedName name="solver_itr" localSheetId="11" hidden="1">100</definedName>
    <definedName name="solver_itr" localSheetId="0" hidden="1">100</definedName>
    <definedName name="solver_itr" localSheetId="1" hidden="1">100</definedName>
    <definedName name="solver_lhs1" localSheetId="16" hidden="1">'Влияние основности'!$K$4</definedName>
    <definedName name="solver_lhs1" localSheetId="5" hidden="1">'Исходные данные и результаты'!#REF!</definedName>
    <definedName name="solver_lhs1" localSheetId="2" hidden="1">'Основность агломерата'!$G$9</definedName>
    <definedName name="solver_lhs1" localSheetId="11" hidden="1">Проект2!$K$23</definedName>
    <definedName name="solver_lhs1" localSheetId="0" hidden="1">'Расход флюсов'!$C$5</definedName>
    <definedName name="solver_lhs1" localSheetId="1" hidden="1">'Соотношение расходов ЖРМ'!$C$5</definedName>
    <definedName name="solver_lhs10" localSheetId="11" hidden="1">Проект2!$K$29</definedName>
    <definedName name="solver_lhs10" localSheetId="0" hidden="1">'Расход флюсов'!$B$19</definedName>
    <definedName name="solver_lhs10" localSheetId="1" hidden="1">'Соотношение расходов ЖРМ'!$B$19</definedName>
    <definedName name="solver_lhs11" localSheetId="11" hidden="1">Проект2!$K$29</definedName>
    <definedName name="solver_lhs11" localSheetId="0" hidden="1">'Расход флюсов'!$B$19</definedName>
    <definedName name="solver_lhs11" localSheetId="1" hidden="1">'Соотношение расходов ЖРМ'!$B$19</definedName>
    <definedName name="solver_lhs12" localSheetId="11" hidden="1">Проект2!$K$30</definedName>
    <definedName name="solver_lhs12" localSheetId="0" hidden="1">'Расход флюсов'!$B$20</definedName>
    <definedName name="solver_lhs12" localSheetId="1" hidden="1">'Соотношение расходов ЖРМ'!$B$21</definedName>
    <definedName name="solver_lhs13" localSheetId="11" hidden="1">Проект2!$K$30</definedName>
    <definedName name="solver_lhs13" localSheetId="0" hidden="1">'Расход флюсов'!$B$20</definedName>
    <definedName name="solver_lhs13" localSheetId="1" hidden="1">'Соотношение расходов ЖРМ'!$B$21</definedName>
    <definedName name="solver_lhs14" localSheetId="11" hidden="1">Проект2!$K$31</definedName>
    <definedName name="solver_lhs14" localSheetId="0" hidden="1">'Расход флюсов'!$B$20</definedName>
    <definedName name="solver_lhs14" localSheetId="1" hidden="1">'Соотношение расходов ЖРМ'!$B$22</definedName>
    <definedName name="solver_lhs15" localSheetId="11" hidden="1">Проект2!$K$31</definedName>
    <definedName name="solver_lhs15" localSheetId="0" hidden="1">'Расход флюсов'!$B$20</definedName>
    <definedName name="solver_lhs15" localSheetId="1" hidden="1">'Соотношение расходов ЖРМ'!$E$28</definedName>
    <definedName name="solver_lhs16" localSheetId="11" hidden="1">Проект2!$K$27</definedName>
    <definedName name="solver_lhs16" localSheetId="0" hidden="1">'Расход флюсов'!#REF!</definedName>
    <definedName name="solver_lhs16" localSheetId="1" hidden="1">'Соотношение расходов ЖРМ'!#REF!</definedName>
    <definedName name="solver_lhs17" localSheetId="11" hidden="1">Проект2!$K$27</definedName>
    <definedName name="solver_lhs17" localSheetId="0" hidden="1">'Расход флюсов'!#REF!</definedName>
    <definedName name="solver_lhs17" localSheetId="1" hidden="1">'Соотношение расходов ЖРМ'!#REF!</definedName>
    <definedName name="solver_lhs2" localSheetId="5" hidden="1">'Исходные данные и результаты'!$H$23</definedName>
    <definedName name="solver_lhs2" localSheetId="2" hidden="1">'Основность агломерата'!$B$16</definedName>
    <definedName name="solver_lhs2" localSheetId="11" hidden="1">Проект2!$K$23</definedName>
    <definedName name="solver_lhs2" localSheetId="0" hidden="1">'Расход флюсов'!$C$6</definedName>
    <definedName name="solver_lhs2" localSheetId="1" hidden="1">'Соотношение расходов ЖРМ'!$C$6</definedName>
    <definedName name="solver_lhs3" localSheetId="2" hidden="1">'Основность агломерата'!$B$16</definedName>
    <definedName name="solver_lhs3" localSheetId="11" hidden="1">Проект2!$K$24</definedName>
    <definedName name="solver_lhs3" localSheetId="0" hidden="1">'Расход флюсов'!$C$7</definedName>
    <definedName name="solver_lhs3" localSheetId="1" hidden="1">'Соотношение расходов ЖРМ'!$C$7</definedName>
    <definedName name="solver_lhs4" localSheetId="2" hidden="1">'Основность агломерата'!$B$17</definedName>
    <definedName name="solver_lhs4" localSheetId="11" hidden="1">Проект2!$K$24</definedName>
    <definedName name="solver_lhs4" localSheetId="0" hidden="1">'Расход флюсов'!$B$26</definedName>
    <definedName name="solver_lhs4" localSheetId="1" hidden="1">'Соотношение расходов ЖРМ'!$C$8</definedName>
    <definedName name="solver_lhs5" localSheetId="2" hidden="1">'Основность агломерата'!$B$17</definedName>
    <definedName name="solver_lhs5" localSheetId="11" hidden="1">Проект2!$K$25</definedName>
    <definedName name="solver_lhs5" localSheetId="0" hidden="1">'Расход флюсов'!$B$27</definedName>
    <definedName name="solver_lhs5" localSheetId="1" hidden="1">'Соотношение расходов ЖРМ'!$B$29</definedName>
    <definedName name="solver_lhs6" localSheetId="2" hidden="1">'Основность агломерата'!$B$17</definedName>
    <definedName name="solver_lhs6" localSheetId="11" hidden="1">Проект2!$K$25</definedName>
    <definedName name="solver_lhs6" localSheetId="0" hidden="1">'Расход флюсов'!$B$28</definedName>
    <definedName name="solver_lhs6" localSheetId="1" hidden="1">'Соотношение расходов ЖРМ'!$B$30</definedName>
    <definedName name="solver_lhs7" localSheetId="2" hidden="1">'Основность агломерата'!$B$17</definedName>
    <definedName name="solver_lhs7" localSheetId="11" hidden="1">Проект2!$K$26</definedName>
    <definedName name="solver_lhs7" localSheetId="0" hidden="1">'Расход флюсов'!$B$29</definedName>
    <definedName name="solver_lhs7" localSheetId="1" hidden="1">'Соотношение расходов ЖРМ'!$B$31</definedName>
    <definedName name="solver_lhs8" localSheetId="2" hidden="1">'Основность агломерата'!$R$9</definedName>
    <definedName name="solver_lhs8" localSheetId="11" hidden="1">Проект2!$K$28</definedName>
    <definedName name="solver_lhs8" localSheetId="0" hidden="1">'Расход флюсов'!$B$18</definedName>
    <definedName name="solver_lhs8" localSheetId="1" hidden="1">'Соотношение расходов ЖРМ'!$B$32</definedName>
    <definedName name="solver_lhs9" localSheetId="11" hidden="1">Проект2!$K$28</definedName>
    <definedName name="solver_lhs9" localSheetId="0" hidden="1">'Расход флюсов'!$B$17</definedName>
    <definedName name="solver_lhs9" localSheetId="1" hidden="1">'Соотношение расходов ЖРМ'!$B$18</definedName>
    <definedName name="solver_lin" localSheetId="16" hidden="1">2</definedName>
    <definedName name="solver_lin" localSheetId="5" hidden="1">2</definedName>
    <definedName name="solver_lin" localSheetId="2" hidden="1">2</definedName>
    <definedName name="solver_lin" localSheetId="11" hidden="1">2</definedName>
    <definedName name="solver_lin" localSheetId="0" hidden="1">2</definedName>
    <definedName name="solver_lin" localSheetId="1" hidden="1">2</definedName>
    <definedName name="solver_neg" localSheetId="16" hidden="1">2</definedName>
    <definedName name="solver_neg" localSheetId="5" hidden="1">2</definedName>
    <definedName name="solver_neg" localSheetId="2" hidden="1">1</definedName>
    <definedName name="solver_neg" localSheetId="11" hidden="1">2</definedName>
    <definedName name="solver_neg" localSheetId="0" hidden="1">1</definedName>
    <definedName name="solver_neg" localSheetId="1" hidden="1">1</definedName>
    <definedName name="solver_num" localSheetId="16" hidden="1">1</definedName>
    <definedName name="solver_num" localSheetId="5" hidden="1">2</definedName>
    <definedName name="solver_num" localSheetId="2" hidden="1">1</definedName>
    <definedName name="solver_num" localSheetId="11" hidden="1">17</definedName>
    <definedName name="solver_num" localSheetId="0" hidden="1">7</definedName>
    <definedName name="solver_num" localSheetId="1" hidden="1">14</definedName>
    <definedName name="solver_nwt" localSheetId="16" hidden="1">1</definedName>
    <definedName name="solver_nwt" localSheetId="5" hidden="1">1</definedName>
    <definedName name="solver_nwt" localSheetId="2" hidden="1">1</definedName>
    <definedName name="solver_nwt" localSheetId="11" hidden="1">1</definedName>
    <definedName name="solver_nwt" localSheetId="0" hidden="1">1</definedName>
    <definedName name="solver_nwt" localSheetId="1" hidden="1">1</definedName>
    <definedName name="solver_opt" localSheetId="16" hidden="1">'Влияние основности'!$K$5</definedName>
    <definedName name="solver_opt" localSheetId="5" hidden="1">'Исходные данные и результаты'!$H$12</definedName>
    <definedName name="solver_opt" localSheetId="2" hidden="1">'Основность агломерата'!$B$15</definedName>
    <definedName name="solver_opt" localSheetId="11" hidden="1">Проект2!$K$31</definedName>
    <definedName name="solver_opt" localSheetId="0" hidden="1">'Расход флюсов'!$B$18</definedName>
    <definedName name="solver_opt" localSheetId="1" hidden="1">'Соотношение расходов ЖРМ'!$C$7</definedName>
    <definedName name="solver_pre" localSheetId="16" hidden="1">0.000001</definedName>
    <definedName name="solver_pre" localSheetId="5" hidden="1">0.000001</definedName>
    <definedName name="solver_pre" localSheetId="2" hidden="1">0.000001</definedName>
    <definedName name="solver_pre" localSheetId="11" hidden="1">0.000001</definedName>
    <definedName name="solver_pre" localSheetId="0" hidden="1">0.000001</definedName>
    <definedName name="solver_pre" localSheetId="1" hidden="1">0.000001</definedName>
    <definedName name="solver_rel1" localSheetId="16" hidden="1">2</definedName>
    <definedName name="solver_rel1" localSheetId="5" hidden="1">1</definedName>
    <definedName name="solver_rel1" localSheetId="2" hidden="1">3</definedName>
    <definedName name="solver_rel1" localSheetId="11" hidden="1">1</definedName>
    <definedName name="solver_rel1" localSheetId="0" hidden="1">3</definedName>
    <definedName name="solver_rel1" localSheetId="1" hidden="1">3</definedName>
    <definedName name="solver_rel10" localSheetId="11" hidden="1">1</definedName>
    <definedName name="solver_rel10" localSheetId="0" hidden="1">3</definedName>
    <definedName name="solver_rel10" localSheetId="1" hidden="1">3</definedName>
    <definedName name="solver_rel11" localSheetId="11" hidden="1">3</definedName>
    <definedName name="solver_rel11" localSheetId="0" hidden="1">1</definedName>
    <definedName name="solver_rel11" localSheetId="1" hidden="1">1</definedName>
    <definedName name="solver_rel12" localSheetId="11" hidden="1">1</definedName>
    <definedName name="solver_rel12" localSheetId="0" hidden="1">3</definedName>
    <definedName name="solver_rel12" localSheetId="1" hidden="1">3</definedName>
    <definedName name="solver_rel13" localSheetId="11" hidden="1">3</definedName>
    <definedName name="solver_rel13" localSheetId="0" hidden="1">1</definedName>
    <definedName name="solver_rel13" localSheetId="1" hidden="1">1</definedName>
    <definedName name="solver_rel14" localSheetId="11" hidden="1">1</definedName>
    <definedName name="solver_rel14" localSheetId="0" hidden="1">3</definedName>
    <definedName name="solver_rel14" localSheetId="1" hidden="1">2</definedName>
    <definedName name="solver_rel15" localSheetId="11" hidden="1">3</definedName>
    <definedName name="solver_rel15" localSheetId="0" hidden="1">1</definedName>
    <definedName name="solver_rel15" localSheetId="1" hidden="1">2</definedName>
    <definedName name="solver_rel16" localSheetId="11" hidden="1">1</definedName>
    <definedName name="solver_rel16" localSheetId="0" hidden="1">3</definedName>
    <definedName name="solver_rel16" localSheetId="1" hidden="1">3</definedName>
    <definedName name="solver_rel17" localSheetId="11" hidden="1">3</definedName>
    <definedName name="solver_rel17" localSheetId="0" hidden="1">1</definedName>
    <definedName name="solver_rel17" localSheetId="1" hidden="1">1</definedName>
    <definedName name="solver_rel2" localSheetId="5" hidden="1">1</definedName>
    <definedName name="solver_rel2" localSheetId="2" hidden="1">3</definedName>
    <definedName name="solver_rel2" localSheetId="11" hidden="1">3</definedName>
    <definedName name="solver_rel2" localSheetId="0" hidden="1">3</definedName>
    <definedName name="solver_rel2" localSheetId="1" hidden="1">3</definedName>
    <definedName name="solver_rel3" localSheetId="2" hidden="1">1</definedName>
    <definedName name="solver_rel3" localSheetId="11" hidden="1">1</definedName>
    <definedName name="solver_rel3" localSheetId="0" hidden="1">3</definedName>
    <definedName name="solver_rel3" localSheetId="1" hidden="1">3</definedName>
    <definedName name="solver_rel4" localSheetId="2" hidden="1">3</definedName>
    <definedName name="solver_rel4" localSheetId="11" hidden="1">3</definedName>
    <definedName name="solver_rel4" localSheetId="0" hidden="1">3</definedName>
    <definedName name="solver_rel4" localSheetId="1" hidden="1">3</definedName>
    <definedName name="solver_rel5" localSheetId="2" hidden="1">1</definedName>
    <definedName name="solver_rel5" localSheetId="11" hidden="1">1</definedName>
    <definedName name="solver_rel5" localSheetId="0" hidden="1">3</definedName>
    <definedName name="solver_rel5" localSheetId="1" hidden="1">3</definedName>
    <definedName name="solver_rel6" localSheetId="2" hidden="1">3</definedName>
    <definedName name="solver_rel6" localSheetId="11" hidden="1">3</definedName>
    <definedName name="solver_rel6" localSheetId="0" hidden="1">3</definedName>
    <definedName name="solver_rel6" localSheetId="1" hidden="1">3</definedName>
    <definedName name="solver_rel7" localSheetId="2" hidden="1">1</definedName>
    <definedName name="solver_rel7" localSheetId="11" hidden="1">3</definedName>
    <definedName name="solver_rel7" localSheetId="0" hidden="1">3</definedName>
    <definedName name="solver_rel7" localSheetId="1" hidden="1">3</definedName>
    <definedName name="solver_rel8" localSheetId="2" hidden="1">2</definedName>
    <definedName name="solver_rel8" localSheetId="11" hidden="1">1</definedName>
    <definedName name="solver_rel8" localSheetId="0" hidden="1">2</definedName>
    <definedName name="solver_rel8" localSheetId="1" hidden="1">3</definedName>
    <definedName name="solver_rel9" localSheetId="11" hidden="1">3</definedName>
    <definedName name="solver_rel9" localSheetId="0" hidden="1">1</definedName>
    <definedName name="solver_rel9" localSheetId="1" hidden="1">2</definedName>
    <definedName name="solver_rhs1" localSheetId="16" hidden="1">'Влияние основности'!$B$4</definedName>
    <definedName name="solver_rhs1" localSheetId="5" hidden="1">5</definedName>
    <definedName name="solver_rhs1" localSheetId="2" hidden="1">0</definedName>
    <definedName name="solver_rhs1" localSheetId="11" hidden="1">Проект2!$M$23</definedName>
    <definedName name="solver_rhs1" localSheetId="0" hidden="1">0</definedName>
    <definedName name="solver_rhs1" localSheetId="1" hidden="1">0</definedName>
    <definedName name="solver_rhs10" localSheetId="11" hidden="1">Проект2!$M$29</definedName>
    <definedName name="solver_rhs10" localSheetId="0" hidden="1">'Расход флюсов'!$C$19</definedName>
    <definedName name="solver_rhs10" localSheetId="1" hidden="1">'Соотношение расходов ЖРМ'!$C$19</definedName>
    <definedName name="solver_rhs11" localSheetId="11" hidden="1">Проект2!$L$29</definedName>
    <definedName name="solver_rhs11" localSheetId="0" hidden="1">'Расход флюсов'!$D$19</definedName>
    <definedName name="solver_rhs11" localSheetId="1" hidden="1">'Соотношение расходов ЖРМ'!$D$19</definedName>
    <definedName name="solver_rhs12" localSheetId="11" hidden="1">Проект2!$M$30</definedName>
    <definedName name="solver_rhs12" localSheetId="0" hidden="1">'Расход флюсов'!$C$20</definedName>
    <definedName name="solver_rhs12" localSheetId="1" hidden="1">0</definedName>
    <definedName name="solver_rhs13" localSheetId="11" hidden="1">Проект2!$L$30</definedName>
    <definedName name="solver_rhs13" localSheetId="0" hidden="1">'Расход флюсов'!$D$20</definedName>
    <definedName name="solver_rhs13" localSheetId="1" hidden="1">1</definedName>
    <definedName name="solver_rhs14" localSheetId="11" hidden="1">Проект2!$M$31</definedName>
    <definedName name="solver_rhs14" localSheetId="0" hidden="1">'Расход флюсов'!$C$20</definedName>
    <definedName name="solver_rhs14" localSheetId="1" hidden="1">'Соотношение расходов ЖРМ'!$E$22</definedName>
    <definedName name="solver_rhs15" localSheetId="11" hidden="1">Проект2!$L$31</definedName>
    <definedName name="solver_rhs15" localSheetId="0" hidden="1">'Расход флюсов'!$D$20</definedName>
    <definedName name="solver_rhs15" localSheetId="1" hidden="1">'Соотношение расходов ЖРМ'!$F$28</definedName>
    <definedName name="solver_rhs16" localSheetId="11" hidden="1">Проект2!$M$27</definedName>
    <definedName name="solver_rhs16" localSheetId="0" hidden="1">'Расход флюсов'!#REF!</definedName>
    <definedName name="solver_rhs16" localSheetId="1" hidden="1">'Соотношение расходов ЖРМ'!#REF!</definedName>
    <definedName name="solver_rhs17" localSheetId="11" hidden="1">Проект2!$L$27</definedName>
    <definedName name="solver_rhs17" localSheetId="0" hidden="1">'Расход флюсов'!#REF!</definedName>
    <definedName name="solver_rhs17" localSheetId="1" hidden="1">'Соотношение расходов ЖРМ'!#REF!</definedName>
    <definedName name="solver_rhs2" localSheetId="5" hidden="1">0.32</definedName>
    <definedName name="solver_rhs2" localSheetId="2" hidden="1">'Основность агломерата'!$C$16</definedName>
    <definedName name="solver_rhs2" localSheetId="11" hidden="1">Проект2!$L$23</definedName>
    <definedName name="solver_rhs2" localSheetId="0" hidden="1">0</definedName>
    <definedName name="solver_rhs2" localSheetId="1" hidden="1">0</definedName>
    <definedName name="solver_rhs3" localSheetId="2" hidden="1">'Основность агломерата'!$D$16</definedName>
    <definedName name="solver_rhs3" localSheetId="11" hidden="1">Проект2!$M$24</definedName>
    <definedName name="solver_rhs3" localSheetId="0" hidden="1">0</definedName>
    <definedName name="solver_rhs3" localSheetId="1" hidden="1">0</definedName>
    <definedName name="solver_rhs4" localSheetId="2" hidden="1">'Основность агломерата'!$C$17</definedName>
    <definedName name="solver_rhs4" localSheetId="11" hidden="1">Проект2!$L$24</definedName>
    <definedName name="solver_rhs4" localSheetId="0" hidden="1">0</definedName>
    <definedName name="solver_rhs4" localSheetId="1" hidden="1">0</definedName>
    <definedName name="solver_rhs5" localSheetId="2" hidden="1">'Основность агломерата'!$D$17</definedName>
    <definedName name="solver_rhs5" localSheetId="11" hidden="1">Проект2!$M$25</definedName>
    <definedName name="solver_rhs5" localSheetId="0" hidden="1">0</definedName>
    <definedName name="solver_rhs5" localSheetId="1" hidden="1">0</definedName>
    <definedName name="solver_rhs6" localSheetId="2" hidden="1">'Основность агломерата'!$C$17</definedName>
    <definedName name="solver_rhs6" localSheetId="11" hidden="1">Проект2!$L$25</definedName>
    <definedName name="solver_rhs6" localSheetId="0" hidden="1">0</definedName>
    <definedName name="solver_rhs6" localSheetId="1" hidden="1">0</definedName>
    <definedName name="solver_rhs7" localSheetId="2" hidden="1">'Основность агломерата'!$D$17</definedName>
    <definedName name="solver_rhs7" localSheetId="11" hidden="1">0</definedName>
    <definedName name="solver_rhs7" localSheetId="0" hidden="1">0</definedName>
    <definedName name="solver_rhs7" localSheetId="1" hidden="1">0</definedName>
    <definedName name="solver_rhs8" localSheetId="2" hidden="1">'Основность агломерата'!$R$6</definedName>
    <definedName name="solver_rhs8" localSheetId="11" hidden="1">Проект2!$M$28</definedName>
    <definedName name="solver_rhs8" localSheetId="0" hidden="1">'Расход флюсов'!$E$18</definedName>
    <definedName name="solver_rhs8" localSheetId="1" hidden="1">0</definedName>
    <definedName name="solver_rhs9" localSheetId="11" hidden="1">Проект2!$L$28</definedName>
    <definedName name="solver_rhs9" localSheetId="0" hidden="1">'Расход флюсов'!$D$17</definedName>
    <definedName name="solver_rhs9" localSheetId="1" hidden="1">'Соотношение расходов ЖРМ'!$E$18</definedName>
    <definedName name="solver_scl" localSheetId="16" hidden="1">2</definedName>
    <definedName name="solver_scl" localSheetId="5" hidden="1">2</definedName>
    <definedName name="solver_scl" localSheetId="2" hidden="1">2</definedName>
    <definedName name="solver_scl" localSheetId="11" hidden="1">2</definedName>
    <definedName name="solver_scl" localSheetId="0" hidden="1">2</definedName>
    <definedName name="solver_scl" localSheetId="1" hidden="1">2</definedName>
    <definedName name="solver_sho" localSheetId="16" hidden="1">2</definedName>
    <definedName name="solver_sho" localSheetId="5" hidden="1">2</definedName>
    <definedName name="solver_sho" localSheetId="2" hidden="1">2</definedName>
    <definedName name="solver_sho" localSheetId="11" hidden="1">2</definedName>
    <definedName name="solver_sho" localSheetId="0" hidden="1">2</definedName>
    <definedName name="solver_sho" localSheetId="1" hidden="1">2</definedName>
    <definedName name="solver_tim" localSheetId="16" hidden="1">100</definedName>
    <definedName name="solver_tim" localSheetId="5" hidden="1">100</definedName>
    <definedName name="solver_tim" localSheetId="2" hidden="1">100</definedName>
    <definedName name="solver_tim" localSheetId="11" hidden="1">100</definedName>
    <definedName name="solver_tim" localSheetId="0" hidden="1">100</definedName>
    <definedName name="solver_tim" localSheetId="1" hidden="1">100</definedName>
    <definedName name="solver_tol" localSheetId="16" hidden="1">0.05</definedName>
    <definedName name="solver_tol" localSheetId="5" hidden="1">0.05</definedName>
    <definedName name="solver_tol" localSheetId="2" hidden="1">0.05</definedName>
    <definedName name="solver_tol" localSheetId="11" hidden="1">0.05</definedName>
    <definedName name="solver_tol" localSheetId="0" hidden="1">0.05</definedName>
    <definedName name="solver_tol" localSheetId="1" hidden="1">0.05</definedName>
    <definedName name="solver_typ" localSheetId="16" hidden="1">3</definedName>
    <definedName name="solver_typ" localSheetId="5" hidden="1">3</definedName>
    <definedName name="solver_typ" localSheetId="2" hidden="1">3</definedName>
    <definedName name="solver_typ" localSheetId="11" hidden="1">1</definedName>
    <definedName name="solver_typ" localSheetId="0" hidden="1">3</definedName>
    <definedName name="solver_typ" localSheetId="1" hidden="1">2</definedName>
    <definedName name="solver_val" localSheetId="16" hidden="1">1.2</definedName>
    <definedName name="solver_val" localSheetId="5" hidden="1">2</definedName>
    <definedName name="solver_val" localSheetId="2" hidden="1">1.008</definedName>
    <definedName name="solver_val" localSheetId="11" hidden="1">0</definedName>
    <definedName name="solver_val" localSheetId="0" hidden="1">0.997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1" hidden="1">3</definedName>
    <definedName name="_xlnm.Print_Area" localSheetId="26">'Аглошихта по ММК'!$A$1:$AS$67</definedName>
    <definedName name="_xlnm.Print_Area" localSheetId="8">'Печать результ. (стр. 1-2)'!$A$1:$D$125</definedName>
    <definedName name="_xlnm.Print_Area" localSheetId="9">'Печать результ. шихта (стр. 3)'!$A$1:$Q$67</definedName>
  </definedNames>
  <calcPr calcId="162913" iterate="1" iterateDelta="1E-4"/>
</workbook>
</file>

<file path=xl/calcChain.xml><?xml version="1.0" encoding="utf-8"?>
<calcChain xmlns="http://schemas.openxmlformats.org/spreadsheetml/2006/main">
  <c r="F34" i="12" l="1"/>
  <c r="F33" i="12"/>
  <c r="F32" i="12"/>
  <c r="F31" i="12"/>
  <c r="F30" i="12"/>
  <c r="B53" i="12"/>
  <c r="B52" i="12"/>
  <c r="B51" i="12"/>
  <c r="B47" i="12"/>
  <c r="B46" i="12"/>
  <c r="B45" i="12"/>
  <c r="B44" i="12"/>
  <c r="B37" i="12"/>
  <c r="C54" i="2"/>
  <c r="B21" i="12" s="1"/>
  <c r="B41" i="12" s="1"/>
  <c r="C55" i="2"/>
  <c r="C56" i="2"/>
  <c r="C52" i="28" s="1"/>
  <c r="C57" i="2"/>
  <c r="C58" i="2"/>
  <c r="C54" i="28" s="1"/>
  <c r="M16" i="27"/>
  <c r="R6" i="27"/>
  <c r="C9" i="27" s="1"/>
  <c r="S9" i="27"/>
  <c r="R5" i="3"/>
  <c r="R6" i="3"/>
  <c r="Q6" i="29" s="1"/>
  <c r="R7" i="3"/>
  <c r="Q7" i="29" s="1"/>
  <c r="R8" i="3"/>
  <c r="R9" i="3"/>
  <c r="Q8" i="29" s="1"/>
  <c r="R10" i="3"/>
  <c r="Q9" i="29" s="1"/>
  <c r="R11" i="3"/>
  <c r="Q10" i="29" s="1"/>
  <c r="R12" i="3"/>
  <c r="Q11" i="29" s="1"/>
  <c r="R13" i="3"/>
  <c r="R14" i="3"/>
  <c r="Q13" i="29" s="1"/>
  <c r="R15" i="3"/>
  <c r="R16" i="3"/>
  <c r="R17" i="3"/>
  <c r="R18" i="3"/>
  <c r="R19" i="3"/>
  <c r="R20" i="3"/>
  <c r="R4" i="3"/>
  <c r="Q4" i="29" s="1"/>
  <c r="B8" i="3"/>
  <c r="B34" i="2"/>
  <c r="B51" i="2" s="1"/>
  <c r="B48" i="28" s="1"/>
  <c r="B28" i="3"/>
  <c r="B27" i="3"/>
  <c r="B26" i="3"/>
  <c r="B25" i="3"/>
  <c r="B24" i="3"/>
  <c r="B18" i="3"/>
  <c r="B17" i="3"/>
  <c r="B16" i="3"/>
  <c r="B15" i="3"/>
  <c r="B14" i="3"/>
  <c r="B13" i="3"/>
  <c r="B12" i="3"/>
  <c r="B11" i="3"/>
  <c r="B10" i="3"/>
  <c r="B9" i="3"/>
  <c r="B7" i="3"/>
  <c r="B6" i="3"/>
  <c r="B5" i="3"/>
  <c r="B4" i="3"/>
  <c r="D33" i="3"/>
  <c r="D30" i="29" s="1"/>
  <c r="B33" i="27"/>
  <c r="B32" i="27"/>
  <c r="B31" i="27"/>
  <c r="B30" i="27"/>
  <c r="T78" i="2"/>
  <c r="D107" i="28" s="1"/>
  <c r="C69" i="2"/>
  <c r="T82" i="2"/>
  <c r="D111" i="28" s="1"/>
  <c r="C71" i="2"/>
  <c r="C65" i="28" s="1"/>
  <c r="H4" i="26"/>
  <c r="A3" i="7"/>
  <c r="B7" i="7"/>
  <c r="C70" i="2"/>
  <c r="C72" i="2"/>
  <c r="C73" i="2"/>
  <c r="E9" i="27"/>
  <c r="F4" i="26" s="1"/>
  <c r="C7" i="7"/>
  <c r="F9" i="27"/>
  <c r="G4" i="26"/>
  <c r="D7" i="7"/>
  <c r="H9" i="27"/>
  <c r="I4" i="26" s="1"/>
  <c r="E7" i="7"/>
  <c r="O9" i="27"/>
  <c r="P4" i="26" s="1"/>
  <c r="A7" i="7"/>
  <c r="J9" i="27"/>
  <c r="K4" i="26" s="1"/>
  <c r="B3" i="7"/>
  <c r="K9" i="27"/>
  <c r="L4" i="26"/>
  <c r="F32" i="11"/>
  <c r="B46" i="11"/>
  <c r="B45" i="11"/>
  <c r="B41" i="11"/>
  <c r="B40" i="11"/>
  <c r="B39" i="11"/>
  <c r="B38" i="11"/>
  <c r="B37" i="11"/>
  <c r="C75" i="28"/>
  <c r="C74" i="28"/>
  <c r="B115" i="28"/>
  <c r="B116" i="28"/>
  <c r="B117" i="28"/>
  <c r="B118" i="28"/>
  <c r="B119" i="28"/>
  <c r="B120" i="28"/>
  <c r="B121" i="28"/>
  <c r="B122" i="28"/>
  <c r="B123" i="28"/>
  <c r="B124" i="28"/>
  <c r="B125" i="28"/>
  <c r="B104" i="28"/>
  <c r="B105" i="28"/>
  <c r="B106" i="28"/>
  <c r="B107" i="28"/>
  <c r="B108" i="28"/>
  <c r="B109" i="28"/>
  <c r="B110" i="28"/>
  <c r="B111" i="28"/>
  <c r="B112" i="28"/>
  <c r="B113" i="28"/>
  <c r="B103" i="28"/>
  <c r="B66" i="29"/>
  <c r="C66" i="29"/>
  <c r="D66" i="29"/>
  <c r="E66" i="29"/>
  <c r="F66" i="29"/>
  <c r="A66" i="29"/>
  <c r="B62" i="29"/>
  <c r="C62" i="29"/>
  <c r="A62" i="29"/>
  <c r="B55" i="29"/>
  <c r="C55" i="29"/>
  <c r="D55" i="29"/>
  <c r="E55" i="29"/>
  <c r="F55" i="29"/>
  <c r="G55" i="29"/>
  <c r="H55" i="29"/>
  <c r="I55" i="29"/>
  <c r="J55" i="29"/>
  <c r="B56" i="29"/>
  <c r="C56" i="29"/>
  <c r="D56" i="29"/>
  <c r="E56" i="29"/>
  <c r="F56" i="29"/>
  <c r="G56" i="29"/>
  <c r="H56" i="29"/>
  <c r="I56" i="29"/>
  <c r="J56" i="29"/>
  <c r="B57" i="29"/>
  <c r="C57" i="29"/>
  <c r="D57" i="29"/>
  <c r="E57" i="29"/>
  <c r="F57" i="29"/>
  <c r="G57" i="29"/>
  <c r="H57" i="29"/>
  <c r="I57" i="29"/>
  <c r="J57" i="29"/>
  <c r="B58" i="29"/>
  <c r="C58" i="29"/>
  <c r="D58" i="29"/>
  <c r="E58" i="29"/>
  <c r="F58" i="29"/>
  <c r="G58" i="29"/>
  <c r="H58" i="29"/>
  <c r="I58" i="29"/>
  <c r="J58" i="29"/>
  <c r="C54" i="29"/>
  <c r="D54" i="29"/>
  <c r="E54" i="29"/>
  <c r="F54" i="29"/>
  <c r="G54" i="29"/>
  <c r="H54" i="29"/>
  <c r="I54" i="29"/>
  <c r="J54" i="29"/>
  <c r="B54" i="29"/>
  <c r="B40" i="29"/>
  <c r="C40" i="29"/>
  <c r="D40" i="29"/>
  <c r="E40" i="29"/>
  <c r="F40" i="29"/>
  <c r="G40" i="29"/>
  <c r="H40" i="29"/>
  <c r="I40" i="29"/>
  <c r="J40" i="29"/>
  <c r="K40" i="29"/>
  <c r="L40" i="29"/>
  <c r="M40" i="29"/>
  <c r="N40" i="29"/>
  <c r="O40" i="29"/>
  <c r="P40" i="29"/>
  <c r="B41" i="29"/>
  <c r="C41" i="29"/>
  <c r="D41" i="29"/>
  <c r="E41" i="29"/>
  <c r="F41" i="29"/>
  <c r="G41" i="29"/>
  <c r="H41" i="29"/>
  <c r="I41" i="29"/>
  <c r="J41" i="29"/>
  <c r="K41" i="29"/>
  <c r="L41" i="29"/>
  <c r="M41" i="29"/>
  <c r="N41" i="29"/>
  <c r="O41" i="29"/>
  <c r="P41" i="29"/>
  <c r="B42" i="29"/>
  <c r="C42" i="29"/>
  <c r="D42" i="29"/>
  <c r="E42" i="29"/>
  <c r="F42" i="29"/>
  <c r="G42" i="29"/>
  <c r="H42" i="29"/>
  <c r="I42" i="29"/>
  <c r="J42" i="29"/>
  <c r="K42" i="29"/>
  <c r="L42" i="29"/>
  <c r="M42" i="29"/>
  <c r="N42" i="29"/>
  <c r="O42" i="29"/>
  <c r="P42" i="29"/>
  <c r="B43" i="29"/>
  <c r="C43" i="29"/>
  <c r="D43" i="29"/>
  <c r="E43" i="29"/>
  <c r="F43" i="29"/>
  <c r="G43" i="29"/>
  <c r="H43" i="29"/>
  <c r="I43" i="29"/>
  <c r="J43" i="29"/>
  <c r="K43" i="29"/>
  <c r="L43" i="29"/>
  <c r="M43" i="29"/>
  <c r="N43" i="29"/>
  <c r="O43" i="29"/>
  <c r="P43" i="29"/>
  <c r="B44" i="29"/>
  <c r="C44" i="29"/>
  <c r="D44" i="29"/>
  <c r="E44" i="29"/>
  <c r="F44" i="29"/>
  <c r="G44" i="29"/>
  <c r="H44" i="29"/>
  <c r="I44" i="29"/>
  <c r="J44" i="29"/>
  <c r="K44" i="29"/>
  <c r="L44" i="29"/>
  <c r="M44" i="29"/>
  <c r="N44" i="29"/>
  <c r="O44" i="29"/>
  <c r="P44" i="29"/>
  <c r="B45" i="29"/>
  <c r="C45" i="29"/>
  <c r="D45" i="29"/>
  <c r="E45" i="29"/>
  <c r="F45" i="29"/>
  <c r="G45" i="29"/>
  <c r="H45" i="29"/>
  <c r="I45" i="29"/>
  <c r="J45" i="29"/>
  <c r="K45" i="29"/>
  <c r="L45" i="29"/>
  <c r="M45" i="29"/>
  <c r="N45" i="29"/>
  <c r="O45" i="29"/>
  <c r="P45" i="29"/>
  <c r="B46" i="29"/>
  <c r="C46" i="29"/>
  <c r="D46" i="29"/>
  <c r="E46" i="29"/>
  <c r="F46" i="29"/>
  <c r="G46" i="29"/>
  <c r="H46" i="29"/>
  <c r="I46" i="29"/>
  <c r="J46" i="29"/>
  <c r="K46" i="29"/>
  <c r="L46" i="29"/>
  <c r="M46" i="29"/>
  <c r="N46" i="29"/>
  <c r="O46" i="29"/>
  <c r="P46" i="29"/>
  <c r="Q46" i="29"/>
  <c r="B47" i="29"/>
  <c r="C47" i="29"/>
  <c r="D47" i="29"/>
  <c r="E47" i="29"/>
  <c r="F47" i="29"/>
  <c r="G47" i="29"/>
  <c r="H47" i="29"/>
  <c r="I47" i="29"/>
  <c r="J47" i="29"/>
  <c r="K47" i="29"/>
  <c r="L47" i="29"/>
  <c r="M47" i="29"/>
  <c r="N47" i="29"/>
  <c r="O47" i="29"/>
  <c r="P47" i="29"/>
  <c r="B48" i="29"/>
  <c r="C48" i="29"/>
  <c r="D48" i="29"/>
  <c r="E48" i="29"/>
  <c r="F48" i="29"/>
  <c r="G48" i="29"/>
  <c r="H48" i="29"/>
  <c r="I48" i="29"/>
  <c r="J48" i="29"/>
  <c r="K48" i="29"/>
  <c r="L48" i="29"/>
  <c r="M48" i="29"/>
  <c r="N48" i="29"/>
  <c r="O48" i="29"/>
  <c r="P48" i="29"/>
  <c r="B49" i="29"/>
  <c r="C49" i="29"/>
  <c r="D49" i="29"/>
  <c r="E49" i="29"/>
  <c r="F49" i="29"/>
  <c r="G49" i="29"/>
  <c r="H49" i="29"/>
  <c r="I49" i="29"/>
  <c r="J49" i="29"/>
  <c r="K49" i="29"/>
  <c r="L49" i="29"/>
  <c r="M49" i="29"/>
  <c r="N49" i="29"/>
  <c r="O49" i="29"/>
  <c r="P49" i="29"/>
  <c r="B34" i="29"/>
  <c r="C34" i="29"/>
  <c r="D34" i="29"/>
  <c r="E34" i="29"/>
  <c r="F34" i="29"/>
  <c r="A34" i="29"/>
  <c r="B30" i="29"/>
  <c r="C30" i="29"/>
  <c r="A30" i="29"/>
  <c r="B23" i="29"/>
  <c r="C23" i="29"/>
  <c r="D23" i="29"/>
  <c r="E23" i="29"/>
  <c r="F23" i="29"/>
  <c r="G23" i="29"/>
  <c r="H23" i="29"/>
  <c r="I23" i="29"/>
  <c r="J23" i="29"/>
  <c r="B24" i="29"/>
  <c r="C24" i="29"/>
  <c r="D24" i="29"/>
  <c r="E24" i="29"/>
  <c r="F24" i="29"/>
  <c r="G24" i="29"/>
  <c r="H24" i="29"/>
  <c r="I24" i="29"/>
  <c r="J24" i="29"/>
  <c r="B25" i="29"/>
  <c r="C25" i="29"/>
  <c r="D25" i="29"/>
  <c r="E25" i="29"/>
  <c r="F25" i="29"/>
  <c r="G25" i="29"/>
  <c r="H25" i="29"/>
  <c r="I25" i="29"/>
  <c r="J25" i="29"/>
  <c r="B26" i="29"/>
  <c r="C26" i="29"/>
  <c r="D26" i="29"/>
  <c r="E26" i="29"/>
  <c r="F26" i="29"/>
  <c r="G26" i="29"/>
  <c r="H26" i="29"/>
  <c r="I26" i="29"/>
  <c r="J26" i="29"/>
  <c r="C22" i="29"/>
  <c r="D22" i="29"/>
  <c r="E22" i="29"/>
  <c r="F22" i="29"/>
  <c r="G22" i="29"/>
  <c r="H22" i="29"/>
  <c r="I22" i="29"/>
  <c r="J22" i="29"/>
  <c r="B22" i="29"/>
  <c r="B5" i="29"/>
  <c r="C5" i="29"/>
  <c r="D5" i="29"/>
  <c r="E5" i="29"/>
  <c r="F5" i="29"/>
  <c r="G5" i="29"/>
  <c r="H5" i="29"/>
  <c r="I5" i="29"/>
  <c r="J5" i="29"/>
  <c r="K5" i="29"/>
  <c r="L5" i="29"/>
  <c r="M5" i="29"/>
  <c r="N5" i="29"/>
  <c r="O5" i="29"/>
  <c r="P5" i="29"/>
  <c r="B6" i="29"/>
  <c r="C6" i="29"/>
  <c r="D6" i="29"/>
  <c r="E6" i="29"/>
  <c r="F6" i="29"/>
  <c r="G6" i="29"/>
  <c r="H6" i="29"/>
  <c r="I6" i="29"/>
  <c r="J6" i="29"/>
  <c r="K6" i="29"/>
  <c r="L6" i="29"/>
  <c r="M6" i="29"/>
  <c r="N6" i="29"/>
  <c r="O6" i="29"/>
  <c r="P6" i="29"/>
  <c r="B7" i="29"/>
  <c r="C7" i="29"/>
  <c r="D7" i="29"/>
  <c r="E7" i="29"/>
  <c r="F7" i="29"/>
  <c r="G7" i="29"/>
  <c r="H7" i="29"/>
  <c r="I7" i="29"/>
  <c r="J7" i="29"/>
  <c r="K7" i="29"/>
  <c r="L7" i="29"/>
  <c r="M7" i="29"/>
  <c r="N7" i="29"/>
  <c r="O7" i="29"/>
  <c r="P7" i="29"/>
  <c r="B8" i="29"/>
  <c r="C8" i="29"/>
  <c r="D8" i="29"/>
  <c r="E8" i="29"/>
  <c r="F8" i="29"/>
  <c r="G8" i="29"/>
  <c r="H8" i="29"/>
  <c r="I8" i="29"/>
  <c r="J8" i="29"/>
  <c r="K8" i="29"/>
  <c r="L8" i="29"/>
  <c r="M8" i="29"/>
  <c r="N8" i="29"/>
  <c r="O8" i="29"/>
  <c r="P8" i="29"/>
  <c r="B9" i="29"/>
  <c r="C9" i="29"/>
  <c r="D9" i="29"/>
  <c r="E9" i="29"/>
  <c r="F9" i="29"/>
  <c r="G9" i="29"/>
  <c r="H9" i="29"/>
  <c r="I9" i="29"/>
  <c r="J9" i="29"/>
  <c r="K9" i="29"/>
  <c r="L9" i="29"/>
  <c r="M9" i="29"/>
  <c r="N9" i="29"/>
  <c r="O9" i="29"/>
  <c r="P9" i="29"/>
  <c r="B10" i="29"/>
  <c r="C10" i="29"/>
  <c r="D10" i="29"/>
  <c r="E10" i="29"/>
  <c r="F10" i="29"/>
  <c r="G10" i="29"/>
  <c r="H10" i="29"/>
  <c r="I10" i="29"/>
  <c r="J10" i="29"/>
  <c r="K10" i="29"/>
  <c r="L10" i="29"/>
  <c r="M10" i="29"/>
  <c r="N10" i="29"/>
  <c r="O10" i="29"/>
  <c r="P10" i="29"/>
  <c r="B11" i="29"/>
  <c r="C11" i="29"/>
  <c r="D11" i="29"/>
  <c r="E11" i="29"/>
  <c r="F11" i="29"/>
  <c r="G11" i="29"/>
  <c r="H11" i="29"/>
  <c r="I11" i="29"/>
  <c r="J11" i="29"/>
  <c r="K11" i="29"/>
  <c r="L11" i="29"/>
  <c r="M11" i="29"/>
  <c r="N11" i="29"/>
  <c r="O11" i="29"/>
  <c r="P11" i="29"/>
  <c r="B12" i="29"/>
  <c r="C12" i="29"/>
  <c r="D12" i="29"/>
  <c r="E12" i="29"/>
  <c r="F12" i="29"/>
  <c r="G12" i="29"/>
  <c r="H12" i="29"/>
  <c r="I12" i="29"/>
  <c r="J12" i="29"/>
  <c r="K12" i="29"/>
  <c r="L12" i="29"/>
  <c r="M12" i="29"/>
  <c r="N12" i="29"/>
  <c r="O12" i="29"/>
  <c r="P12" i="29"/>
  <c r="B13" i="29"/>
  <c r="C13" i="29"/>
  <c r="D13" i="29"/>
  <c r="E13" i="29"/>
  <c r="F13" i="29"/>
  <c r="G13" i="29"/>
  <c r="H13" i="29"/>
  <c r="I13" i="29"/>
  <c r="J13" i="29"/>
  <c r="K13" i="29"/>
  <c r="L13" i="29"/>
  <c r="M13" i="29"/>
  <c r="N13" i="29"/>
  <c r="O13" i="29"/>
  <c r="P13" i="29"/>
  <c r="B14" i="29"/>
  <c r="C14" i="29"/>
  <c r="D14" i="29"/>
  <c r="E14" i="29"/>
  <c r="F14" i="29"/>
  <c r="G14" i="29"/>
  <c r="H14" i="29"/>
  <c r="I14" i="29"/>
  <c r="J14" i="29"/>
  <c r="K14" i="29"/>
  <c r="L14" i="29"/>
  <c r="M14" i="29"/>
  <c r="N14" i="29"/>
  <c r="O14" i="29"/>
  <c r="P14" i="29"/>
  <c r="Q14" i="29"/>
  <c r="B15" i="29"/>
  <c r="C15" i="29"/>
  <c r="D15" i="29"/>
  <c r="E15" i="29"/>
  <c r="F15" i="29"/>
  <c r="G15" i="29"/>
  <c r="H15" i="29"/>
  <c r="I15" i="29"/>
  <c r="J15" i="29"/>
  <c r="K15" i="29"/>
  <c r="L15" i="29"/>
  <c r="M15" i="29"/>
  <c r="N15" i="29"/>
  <c r="O15" i="29"/>
  <c r="P15" i="29"/>
  <c r="B16" i="29"/>
  <c r="C16" i="29"/>
  <c r="D16" i="29"/>
  <c r="E16" i="29"/>
  <c r="F16" i="29"/>
  <c r="G16" i="29"/>
  <c r="H16" i="29"/>
  <c r="I16" i="29"/>
  <c r="J16" i="29"/>
  <c r="K16" i="29"/>
  <c r="L16" i="29"/>
  <c r="M16" i="29"/>
  <c r="N16" i="29"/>
  <c r="O16" i="29"/>
  <c r="P16" i="29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P17" i="29"/>
  <c r="C4" i="29"/>
  <c r="D4" i="29"/>
  <c r="E4" i="29"/>
  <c r="F4" i="29"/>
  <c r="G4" i="29"/>
  <c r="H4" i="29"/>
  <c r="I4" i="29"/>
  <c r="J4" i="29"/>
  <c r="K4" i="29"/>
  <c r="L4" i="29"/>
  <c r="M4" i="29"/>
  <c r="N4" i="29"/>
  <c r="O4" i="29"/>
  <c r="P4" i="29"/>
  <c r="B4" i="29"/>
  <c r="C88" i="28"/>
  <c r="D88" i="28"/>
  <c r="B88" i="28"/>
  <c r="B75" i="28"/>
  <c r="B74" i="28"/>
  <c r="C66" i="28"/>
  <c r="C69" i="28"/>
  <c r="C46" i="28"/>
  <c r="C47" i="28"/>
  <c r="C48" i="28"/>
  <c r="C49" i="28"/>
  <c r="C53" i="28"/>
  <c r="C55" i="28"/>
  <c r="C56" i="28"/>
  <c r="C57" i="28"/>
  <c r="C58" i="28"/>
  <c r="C59" i="28"/>
  <c r="C60" i="28"/>
  <c r="C29" i="28"/>
  <c r="C30" i="28"/>
  <c r="C31" i="28"/>
  <c r="C32" i="28"/>
  <c r="C4" i="28"/>
  <c r="C6" i="28"/>
  <c r="C8" i="28"/>
  <c r="C9" i="28"/>
  <c r="C10" i="28"/>
  <c r="C11" i="28"/>
  <c r="C12" i="28"/>
  <c r="C14" i="28"/>
  <c r="C16" i="28"/>
  <c r="C17" i="28"/>
  <c r="C18" i="28"/>
  <c r="B64" i="28"/>
  <c r="B65" i="28"/>
  <c r="B66" i="28"/>
  <c r="B67" i="28"/>
  <c r="B68" i="28"/>
  <c r="B69" i="28"/>
  <c r="B63" i="28"/>
  <c r="B30" i="28"/>
  <c r="B31" i="28"/>
  <c r="B32" i="28"/>
  <c r="B34" i="28"/>
  <c r="B35" i="28"/>
  <c r="B36" i="28"/>
  <c r="B37" i="28"/>
  <c r="B38" i="28"/>
  <c r="B39" i="28"/>
  <c r="B40" i="28"/>
  <c r="B41" i="28"/>
  <c r="B42" i="28"/>
  <c r="B43" i="28"/>
  <c r="B29" i="28"/>
  <c r="B22" i="28"/>
  <c r="B21" i="28"/>
  <c r="B23" i="28"/>
  <c r="B24" i="28"/>
  <c r="B25" i="28"/>
  <c r="B26" i="28"/>
  <c r="B14" i="28"/>
  <c r="B15" i="28"/>
  <c r="B16" i="28"/>
  <c r="B17" i="28"/>
  <c r="B18" i="28"/>
  <c r="B19" i="28"/>
  <c r="B9" i="28"/>
  <c r="B10" i="28"/>
  <c r="B11" i="28"/>
  <c r="B12" i="28"/>
  <c r="B8" i="28"/>
  <c r="B6" i="28"/>
  <c r="B4" i="28"/>
  <c r="B3" i="28"/>
  <c r="B2" i="28"/>
  <c r="T77" i="2"/>
  <c r="D106" i="28" s="1"/>
  <c r="C64" i="28"/>
  <c r="G88" i="7"/>
  <c r="C3" i="7"/>
  <c r="B103" i="7"/>
  <c r="B99" i="7"/>
  <c r="B101" i="7" s="1"/>
  <c r="B94" i="7"/>
  <c r="B96" i="7" s="1"/>
  <c r="H18" i="2" s="1"/>
  <c r="C95" i="28" s="1"/>
  <c r="B7" i="4"/>
  <c r="B8" i="4" s="1"/>
  <c r="G8" i="2" s="1"/>
  <c r="B85" i="28" s="1"/>
  <c r="B38" i="4"/>
  <c r="B11" i="4"/>
  <c r="B12" i="4"/>
  <c r="B44" i="4"/>
  <c r="B46" i="4" s="1"/>
  <c r="G18" i="2" s="1"/>
  <c r="B95" i="28" s="1"/>
  <c r="B55" i="4"/>
  <c r="B57" i="4" s="1"/>
  <c r="B49" i="4"/>
  <c r="B51" i="4" s="1"/>
  <c r="B53" i="4"/>
  <c r="B77" i="4"/>
  <c r="G20" i="2" s="1"/>
  <c r="B97" i="28" s="1"/>
  <c r="T95" i="2"/>
  <c r="D124" i="28" s="1"/>
  <c r="T89" i="2"/>
  <c r="D118" i="28" s="1"/>
  <c r="T88" i="2"/>
  <c r="D117" i="28" s="1"/>
  <c r="T75" i="2"/>
  <c r="D104" i="28" s="1"/>
  <c r="T81" i="2"/>
  <c r="D110" i="28" s="1"/>
  <c r="T74" i="2"/>
  <c r="D103" i="28" s="1"/>
  <c r="T79" i="2"/>
  <c r="D108" i="28" s="1"/>
  <c r="T80" i="2"/>
  <c r="D109" i="28" s="1"/>
  <c r="T86" i="2"/>
  <c r="D115" i="28" s="1"/>
  <c r="T90" i="2"/>
  <c r="D119" i="28" s="1"/>
  <c r="T91" i="2"/>
  <c r="D120" i="28" s="1"/>
  <c r="T92" i="2"/>
  <c r="D121" i="28" s="1"/>
  <c r="T93" i="2"/>
  <c r="D122" i="28" s="1"/>
  <c r="G90" i="2"/>
  <c r="G86" i="2"/>
  <c r="G88" i="2"/>
  <c r="G89" i="2"/>
  <c r="G91" i="2"/>
  <c r="G92" i="2"/>
  <c r="G93" i="2"/>
  <c r="G75" i="2"/>
  <c r="G77" i="2"/>
  <c r="G78" i="2"/>
  <c r="G79" i="2"/>
  <c r="G80" i="2"/>
  <c r="G81" i="2"/>
  <c r="G74" i="2"/>
  <c r="K47" i="11"/>
  <c r="F34" i="11" s="1"/>
  <c r="K46" i="11"/>
  <c r="F33" i="11" s="1"/>
  <c r="K45" i="11"/>
  <c r="K44" i="11"/>
  <c r="F31" i="11" s="1"/>
  <c r="K43" i="11"/>
  <c r="F30" i="11" s="1"/>
  <c r="C67" i="28"/>
  <c r="K47" i="12"/>
  <c r="K46" i="12"/>
  <c r="K45" i="12"/>
  <c r="K44" i="12"/>
  <c r="K43" i="12"/>
  <c r="C3" i="14"/>
  <c r="C4" i="19" s="1"/>
  <c r="C4" i="14"/>
  <c r="C5" i="19" s="1"/>
  <c r="C5" i="20" s="1"/>
  <c r="O155" i="20" s="1"/>
  <c r="C6" i="14"/>
  <c r="C6" i="19" s="1"/>
  <c r="C5" i="14"/>
  <c r="C7" i="19" s="1"/>
  <c r="B27" i="2"/>
  <c r="G5" i="2" s="1"/>
  <c r="B82" i="28" s="1"/>
  <c r="Q6" i="27"/>
  <c r="B21" i="23"/>
  <c r="C20" i="22" s="1"/>
  <c r="H9" i="2" s="1"/>
  <c r="C86" i="28" s="1"/>
  <c r="F7" i="7"/>
  <c r="R5" i="26"/>
  <c r="Q40" i="29" s="1"/>
  <c r="R6" i="26"/>
  <c r="Q41" i="29" s="1"/>
  <c r="R7" i="26"/>
  <c r="Q42" i="29" s="1"/>
  <c r="R8" i="26"/>
  <c r="Q43" i="29" s="1"/>
  <c r="R9" i="26"/>
  <c r="Q44" i="29" s="1"/>
  <c r="R10" i="26"/>
  <c r="Q45" i="29" s="1"/>
  <c r="R12" i="26"/>
  <c r="Q47" i="29" s="1"/>
  <c r="R13" i="26"/>
  <c r="Q48" i="29"/>
  <c r="R14" i="26"/>
  <c r="Q49" i="29" s="1"/>
  <c r="D28" i="26"/>
  <c r="D62" i="29" s="1"/>
  <c r="B21" i="18"/>
  <c r="C20" i="14" s="1"/>
  <c r="G9" i="2" s="1"/>
  <c r="C154" i="25"/>
  <c r="C155" i="25"/>
  <c r="C156" i="25"/>
  <c r="C91" i="25"/>
  <c r="C92" i="25"/>
  <c r="C93" i="25"/>
  <c r="C94" i="25"/>
  <c r="D91" i="25"/>
  <c r="D92" i="25"/>
  <c r="D93" i="25"/>
  <c r="D94" i="25"/>
  <c r="N61" i="25"/>
  <c r="N62" i="25"/>
  <c r="N63" i="25"/>
  <c r="N64" i="25"/>
  <c r="N65" i="25"/>
  <c r="N66" i="25"/>
  <c r="O61" i="25"/>
  <c r="O62" i="25"/>
  <c r="O63" i="25"/>
  <c r="O64" i="25"/>
  <c r="O65" i="25"/>
  <c r="O66" i="25"/>
  <c r="P61" i="25"/>
  <c r="P62" i="25"/>
  <c r="P63" i="25"/>
  <c r="P64" i="25"/>
  <c r="P65" i="25"/>
  <c r="P66" i="25"/>
  <c r="Q61" i="25"/>
  <c r="Q62" i="25"/>
  <c r="Q63" i="25"/>
  <c r="Q64" i="25"/>
  <c r="Q65" i="25"/>
  <c r="Q66" i="25"/>
  <c r="N77" i="25"/>
  <c r="N78" i="25"/>
  <c r="N79" i="25"/>
  <c r="N80" i="25"/>
  <c r="N81" i="25"/>
  <c r="N82" i="25"/>
  <c r="O77" i="25"/>
  <c r="O78" i="25"/>
  <c r="O79" i="25"/>
  <c r="O80" i="25"/>
  <c r="O81" i="25"/>
  <c r="O82" i="25"/>
  <c r="P77" i="25"/>
  <c r="P78" i="25"/>
  <c r="P79" i="25"/>
  <c r="P80" i="25"/>
  <c r="P81" i="25"/>
  <c r="P82" i="25"/>
  <c r="Q77" i="25"/>
  <c r="Q78" i="25"/>
  <c r="Q79" i="25"/>
  <c r="Q80" i="25"/>
  <c r="Q81" i="25"/>
  <c r="Q82" i="25"/>
  <c r="C61" i="25"/>
  <c r="C62" i="25"/>
  <c r="C63" i="25"/>
  <c r="C64" i="25"/>
  <c r="C65" i="25"/>
  <c r="C66" i="25"/>
  <c r="D61" i="25"/>
  <c r="D62" i="25"/>
  <c r="D63" i="25"/>
  <c r="D64" i="25"/>
  <c r="D65" i="25"/>
  <c r="D66" i="25"/>
  <c r="E61" i="25"/>
  <c r="E62" i="25"/>
  <c r="E63" i="25"/>
  <c r="E64" i="25"/>
  <c r="E65" i="25"/>
  <c r="E66" i="25"/>
  <c r="F61" i="25"/>
  <c r="F62" i="25"/>
  <c r="F63" i="25"/>
  <c r="F64" i="25"/>
  <c r="F65" i="25"/>
  <c r="F66" i="25"/>
  <c r="C77" i="25"/>
  <c r="C78" i="25"/>
  <c r="C79" i="25"/>
  <c r="C80" i="25"/>
  <c r="C81" i="25"/>
  <c r="C82" i="25"/>
  <c r="D77" i="25"/>
  <c r="D78" i="25"/>
  <c r="D79" i="25"/>
  <c r="D80" i="25"/>
  <c r="D81" i="25"/>
  <c r="D82" i="25"/>
  <c r="E77" i="25"/>
  <c r="E78" i="25"/>
  <c r="E79" i="25"/>
  <c r="E80" i="25"/>
  <c r="E81" i="25"/>
  <c r="E82" i="25"/>
  <c r="F77" i="25"/>
  <c r="F78" i="25"/>
  <c r="F79" i="25"/>
  <c r="F80" i="25"/>
  <c r="F81" i="25"/>
  <c r="F82" i="25"/>
  <c r="C44" i="25"/>
  <c r="C45" i="25"/>
  <c r="C46" i="25"/>
  <c r="C47" i="25"/>
  <c r="D44" i="25"/>
  <c r="D45" i="25"/>
  <c r="D46" i="25"/>
  <c r="D47" i="25"/>
  <c r="N14" i="25"/>
  <c r="N15" i="25"/>
  <c r="N16" i="25"/>
  <c r="N17" i="25"/>
  <c r="N18" i="25"/>
  <c r="N19" i="25"/>
  <c r="O14" i="25"/>
  <c r="O15" i="25"/>
  <c r="O16" i="25"/>
  <c r="O17" i="25"/>
  <c r="O18" i="25"/>
  <c r="O19" i="25"/>
  <c r="P14" i="25"/>
  <c r="P15" i="25"/>
  <c r="P16" i="25"/>
  <c r="P17" i="25"/>
  <c r="P18" i="25"/>
  <c r="P19" i="25"/>
  <c r="Q14" i="25"/>
  <c r="Q15" i="25"/>
  <c r="Q16" i="25"/>
  <c r="Q17" i="25"/>
  <c r="Q18" i="25"/>
  <c r="Q19" i="25"/>
  <c r="N30" i="25"/>
  <c r="N31" i="25"/>
  <c r="N32" i="25"/>
  <c r="N33" i="25"/>
  <c r="N34" i="25"/>
  <c r="N35" i="25"/>
  <c r="O30" i="25"/>
  <c r="O31" i="25"/>
  <c r="O32" i="25"/>
  <c r="O33" i="25"/>
  <c r="O34" i="25"/>
  <c r="O35" i="25"/>
  <c r="P30" i="25"/>
  <c r="P31" i="25"/>
  <c r="P32" i="25"/>
  <c r="P33" i="25"/>
  <c r="P34" i="25"/>
  <c r="P35" i="25"/>
  <c r="Q30" i="25"/>
  <c r="Q31" i="25"/>
  <c r="Q32" i="25"/>
  <c r="Q33" i="25"/>
  <c r="Q34" i="25"/>
  <c r="Q35" i="25"/>
  <c r="C14" i="25"/>
  <c r="C15" i="25"/>
  <c r="C16" i="25"/>
  <c r="C17" i="25"/>
  <c r="C18" i="25"/>
  <c r="C19" i="25"/>
  <c r="D14" i="25"/>
  <c r="D15" i="25"/>
  <c r="D16" i="25"/>
  <c r="D17" i="25"/>
  <c r="D18" i="25"/>
  <c r="D19" i="25"/>
  <c r="E14" i="25"/>
  <c r="E15" i="25"/>
  <c r="E16" i="25"/>
  <c r="E17" i="25"/>
  <c r="E18" i="25"/>
  <c r="E19" i="25"/>
  <c r="F14" i="25"/>
  <c r="F15" i="25"/>
  <c r="F16" i="25"/>
  <c r="F17" i="25"/>
  <c r="F18" i="25"/>
  <c r="F19" i="25"/>
  <c r="C30" i="25"/>
  <c r="C31" i="25"/>
  <c r="C32" i="25"/>
  <c r="C33" i="25"/>
  <c r="C34" i="25"/>
  <c r="C35" i="25"/>
  <c r="D30" i="25"/>
  <c r="D31" i="25"/>
  <c r="D32" i="25"/>
  <c r="D33" i="25"/>
  <c r="D34" i="25"/>
  <c r="D35" i="25"/>
  <c r="E30" i="25"/>
  <c r="E31" i="25"/>
  <c r="E32" i="25"/>
  <c r="E33" i="25"/>
  <c r="E34" i="25"/>
  <c r="E35" i="25"/>
  <c r="F30" i="25"/>
  <c r="F31" i="25"/>
  <c r="F32" i="25"/>
  <c r="F33" i="25"/>
  <c r="F34" i="25"/>
  <c r="F35" i="25"/>
  <c r="C139" i="25"/>
  <c r="C140" i="25"/>
  <c r="C141" i="25"/>
  <c r="C142" i="25"/>
  <c r="D139" i="25"/>
  <c r="D140" i="25"/>
  <c r="D141" i="25"/>
  <c r="D142" i="25"/>
  <c r="N109" i="25"/>
  <c r="N110" i="25"/>
  <c r="N111" i="25"/>
  <c r="N112" i="25"/>
  <c r="N113" i="25"/>
  <c r="N114" i="25"/>
  <c r="O109" i="25"/>
  <c r="O110" i="25"/>
  <c r="O111" i="25"/>
  <c r="O112" i="25"/>
  <c r="O113" i="25"/>
  <c r="O114" i="25"/>
  <c r="P109" i="25"/>
  <c r="P110" i="25"/>
  <c r="P111" i="25"/>
  <c r="P112" i="25"/>
  <c r="P113" i="25"/>
  <c r="P114" i="25"/>
  <c r="Q109" i="25"/>
  <c r="Q110" i="25"/>
  <c r="Q111" i="25"/>
  <c r="Q112" i="25"/>
  <c r="Q113" i="25"/>
  <c r="Q114" i="25"/>
  <c r="N125" i="25"/>
  <c r="N126" i="25"/>
  <c r="N127" i="25"/>
  <c r="N128" i="25"/>
  <c r="N129" i="25"/>
  <c r="N130" i="25"/>
  <c r="O125" i="25"/>
  <c r="O126" i="25"/>
  <c r="O127" i="25"/>
  <c r="O128" i="25"/>
  <c r="O129" i="25"/>
  <c r="O130" i="25"/>
  <c r="P125" i="25"/>
  <c r="P126" i="25"/>
  <c r="P127" i="25"/>
  <c r="P128" i="25"/>
  <c r="P129" i="25"/>
  <c r="P130" i="25"/>
  <c r="Q125" i="25"/>
  <c r="Q126" i="25"/>
  <c r="Q127" i="25"/>
  <c r="Q128" i="25"/>
  <c r="Q129" i="25"/>
  <c r="Q130" i="25"/>
  <c r="C109" i="25"/>
  <c r="C110" i="25"/>
  <c r="C111" i="25"/>
  <c r="C112" i="25"/>
  <c r="C113" i="25"/>
  <c r="C114" i="25"/>
  <c r="D109" i="25"/>
  <c r="D110" i="25"/>
  <c r="D111" i="25"/>
  <c r="D112" i="25"/>
  <c r="D113" i="25"/>
  <c r="D114" i="25"/>
  <c r="E109" i="25"/>
  <c r="E110" i="25"/>
  <c r="E111" i="25"/>
  <c r="E112" i="25"/>
  <c r="E113" i="25"/>
  <c r="E114" i="25"/>
  <c r="F109" i="25"/>
  <c r="F110" i="25"/>
  <c r="F111" i="25"/>
  <c r="F112" i="25"/>
  <c r="F113" i="25"/>
  <c r="F114" i="25"/>
  <c r="C125" i="25"/>
  <c r="C126" i="25"/>
  <c r="C127" i="25"/>
  <c r="C128" i="25"/>
  <c r="C129" i="25"/>
  <c r="C130" i="25"/>
  <c r="D125" i="25"/>
  <c r="D126" i="25"/>
  <c r="D127" i="25"/>
  <c r="D128" i="25"/>
  <c r="D129" i="25"/>
  <c r="D130" i="25"/>
  <c r="E125" i="25"/>
  <c r="E126" i="25"/>
  <c r="E127" i="25"/>
  <c r="E128" i="25"/>
  <c r="E129" i="25"/>
  <c r="E130" i="25"/>
  <c r="F125" i="25"/>
  <c r="F126" i="25"/>
  <c r="F127" i="25"/>
  <c r="F128" i="25"/>
  <c r="F129" i="25"/>
  <c r="F130" i="25"/>
  <c r="C154" i="24"/>
  <c r="C155" i="24"/>
  <c r="C156" i="24"/>
  <c r="C91" i="24"/>
  <c r="C92" i="24"/>
  <c r="C93" i="24"/>
  <c r="C94" i="24"/>
  <c r="D91" i="24"/>
  <c r="D92" i="24"/>
  <c r="D93" i="24"/>
  <c r="D94" i="24"/>
  <c r="N61" i="24"/>
  <c r="N62" i="24"/>
  <c r="N63" i="24"/>
  <c r="N64" i="24"/>
  <c r="N65" i="24"/>
  <c r="N66" i="24"/>
  <c r="O61" i="24"/>
  <c r="O62" i="24"/>
  <c r="O63" i="24"/>
  <c r="O64" i="24"/>
  <c r="O65" i="24"/>
  <c r="O66" i="24"/>
  <c r="P61" i="24"/>
  <c r="P62" i="24"/>
  <c r="P63" i="24"/>
  <c r="P64" i="24"/>
  <c r="P65" i="24"/>
  <c r="P66" i="24"/>
  <c r="Q61" i="24"/>
  <c r="Q62" i="24"/>
  <c r="Q63" i="24"/>
  <c r="Q64" i="24"/>
  <c r="Q65" i="24"/>
  <c r="Q66" i="24"/>
  <c r="N77" i="24"/>
  <c r="N78" i="24"/>
  <c r="N79" i="24"/>
  <c r="N80" i="24"/>
  <c r="N81" i="24"/>
  <c r="N82" i="24"/>
  <c r="O77" i="24"/>
  <c r="O78" i="24"/>
  <c r="O79" i="24"/>
  <c r="O80" i="24"/>
  <c r="O81" i="24"/>
  <c r="O82" i="24"/>
  <c r="P77" i="24"/>
  <c r="P78" i="24"/>
  <c r="P79" i="24"/>
  <c r="P80" i="24"/>
  <c r="P81" i="24"/>
  <c r="P82" i="24"/>
  <c r="Q77" i="24"/>
  <c r="Q78" i="24"/>
  <c r="Q79" i="24"/>
  <c r="Q80" i="24"/>
  <c r="Q81" i="24"/>
  <c r="Q82" i="24"/>
  <c r="C61" i="24"/>
  <c r="C62" i="24"/>
  <c r="C63" i="24"/>
  <c r="C64" i="24"/>
  <c r="C65" i="24"/>
  <c r="C66" i="24"/>
  <c r="D61" i="24"/>
  <c r="D62" i="24"/>
  <c r="D63" i="24"/>
  <c r="D64" i="24"/>
  <c r="D65" i="24"/>
  <c r="D66" i="24"/>
  <c r="E61" i="24"/>
  <c r="E62" i="24"/>
  <c r="E63" i="24"/>
  <c r="E64" i="24"/>
  <c r="E65" i="24"/>
  <c r="E66" i="24"/>
  <c r="F61" i="24"/>
  <c r="F62" i="24"/>
  <c r="F63" i="24"/>
  <c r="F64" i="24"/>
  <c r="F65" i="24"/>
  <c r="F66" i="24"/>
  <c r="C77" i="24"/>
  <c r="C78" i="24"/>
  <c r="C79" i="24"/>
  <c r="C80" i="24"/>
  <c r="C81" i="24"/>
  <c r="C82" i="24"/>
  <c r="D77" i="24"/>
  <c r="D78" i="24"/>
  <c r="D79" i="24"/>
  <c r="D80" i="24"/>
  <c r="D81" i="24"/>
  <c r="D82" i="24"/>
  <c r="E77" i="24"/>
  <c r="E78" i="24"/>
  <c r="E79" i="24"/>
  <c r="E80" i="24"/>
  <c r="E81" i="24"/>
  <c r="E82" i="24"/>
  <c r="F77" i="24"/>
  <c r="F78" i="24"/>
  <c r="F79" i="24"/>
  <c r="F80" i="24"/>
  <c r="F81" i="24"/>
  <c r="F82" i="24"/>
  <c r="C44" i="24"/>
  <c r="C45" i="24"/>
  <c r="C46" i="24"/>
  <c r="C47" i="24"/>
  <c r="D44" i="24"/>
  <c r="D45" i="24"/>
  <c r="D46" i="24"/>
  <c r="D47" i="24"/>
  <c r="N14" i="24"/>
  <c r="N15" i="24"/>
  <c r="N16" i="24"/>
  <c r="N17" i="24"/>
  <c r="N18" i="24"/>
  <c r="N19" i="24"/>
  <c r="O14" i="24"/>
  <c r="O15" i="24"/>
  <c r="O16" i="24"/>
  <c r="O17" i="24"/>
  <c r="O18" i="24"/>
  <c r="O19" i="24"/>
  <c r="P14" i="24"/>
  <c r="P15" i="24"/>
  <c r="P16" i="24"/>
  <c r="P17" i="24"/>
  <c r="P18" i="24"/>
  <c r="P19" i="24"/>
  <c r="Q14" i="24"/>
  <c r="Q15" i="24"/>
  <c r="Q16" i="24"/>
  <c r="Q17" i="24"/>
  <c r="Q18" i="24"/>
  <c r="Q19" i="24"/>
  <c r="N30" i="24"/>
  <c r="N31" i="24"/>
  <c r="N32" i="24"/>
  <c r="N33" i="24"/>
  <c r="N34" i="24"/>
  <c r="N35" i="24"/>
  <c r="O30" i="24"/>
  <c r="O31" i="24"/>
  <c r="O32" i="24"/>
  <c r="O33" i="24"/>
  <c r="O34" i="24"/>
  <c r="O35" i="24"/>
  <c r="P30" i="24"/>
  <c r="P31" i="24"/>
  <c r="P32" i="24"/>
  <c r="P33" i="24"/>
  <c r="P34" i="24"/>
  <c r="P35" i="24"/>
  <c r="Q30" i="24"/>
  <c r="Q31" i="24"/>
  <c r="Q32" i="24"/>
  <c r="Q33" i="24"/>
  <c r="Q34" i="24"/>
  <c r="Q35" i="24"/>
  <c r="C14" i="24"/>
  <c r="C15" i="24"/>
  <c r="C16" i="24"/>
  <c r="C17" i="24"/>
  <c r="C18" i="24"/>
  <c r="C19" i="24"/>
  <c r="D14" i="24"/>
  <c r="D15" i="24"/>
  <c r="D16" i="24"/>
  <c r="D17" i="24"/>
  <c r="D18" i="24"/>
  <c r="D19" i="24"/>
  <c r="E14" i="24"/>
  <c r="E15" i="24"/>
  <c r="E16" i="24"/>
  <c r="E17" i="24"/>
  <c r="E18" i="24"/>
  <c r="E19" i="24"/>
  <c r="F14" i="24"/>
  <c r="F15" i="24"/>
  <c r="F16" i="24"/>
  <c r="F17" i="24"/>
  <c r="F18" i="24"/>
  <c r="F19" i="24"/>
  <c r="C30" i="24"/>
  <c r="C31" i="24"/>
  <c r="C32" i="24"/>
  <c r="C33" i="24"/>
  <c r="C34" i="24"/>
  <c r="C35" i="24"/>
  <c r="D30" i="24"/>
  <c r="D31" i="24"/>
  <c r="D32" i="24"/>
  <c r="D33" i="24"/>
  <c r="D34" i="24"/>
  <c r="D35" i="24"/>
  <c r="E30" i="24"/>
  <c r="E31" i="24"/>
  <c r="E32" i="24"/>
  <c r="E33" i="24"/>
  <c r="E34" i="24"/>
  <c r="E35" i="24"/>
  <c r="F30" i="24"/>
  <c r="F31" i="24"/>
  <c r="F32" i="24"/>
  <c r="F33" i="24"/>
  <c r="F34" i="24"/>
  <c r="F35" i="24"/>
  <c r="C139" i="24"/>
  <c r="C140" i="24"/>
  <c r="C141" i="24"/>
  <c r="C142" i="24"/>
  <c r="D139" i="24"/>
  <c r="D140" i="24"/>
  <c r="D141" i="24"/>
  <c r="D142" i="24"/>
  <c r="N109" i="24"/>
  <c r="N110" i="24"/>
  <c r="N111" i="24"/>
  <c r="N112" i="24"/>
  <c r="N113" i="24"/>
  <c r="N114" i="24"/>
  <c r="O109" i="24"/>
  <c r="O110" i="24"/>
  <c r="O111" i="24"/>
  <c r="O112" i="24"/>
  <c r="O113" i="24"/>
  <c r="O114" i="24"/>
  <c r="P109" i="24"/>
  <c r="P110" i="24"/>
  <c r="P111" i="24"/>
  <c r="P112" i="24"/>
  <c r="P113" i="24"/>
  <c r="P114" i="24"/>
  <c r="Q109" i="24"/>
  <c r="Q110" i="24"/>
  <c r="Q111" i="24"/>
  <c r="Q112" i="24"/>
  <c r="Q113" i="24"/>
  <c r="Q114" i="24"/>
  <c r="N125" i="24"/>
  <c r="N126" i="24"/>
  <c r="N127" i="24"/>
  <c r="N128" i="24"/>
  <c r="N129" i="24"/>
  <c r="N130" i="24"/>
  <c r="O125" i="24"/>
  <c r="O126" i="24"/>
  <c r="O127" i="24"/>
  <c r="O128" i="24"/>
  <c r="O129" i="24"/>
  <c r="O130" i="24"/>
  <c r="P125" i="24"/>
  <c r="P126" i="24"/>
  <c r="P127" i="24"/>
  <c r="P128" i="24"/>
  <c r="P129" i="24"/>
  <c r="P130" i="24"/>
  <c r="Q125" i="24"/>
  <c r="Q126" i="24"/>
  <c r="Q127" i="24"/>
  <c r="Q128" i="24"/>
  <c r="Q129" i="24"/>
  <c r="Q130" i="24"/>
  <c r="C109" i="24"/>
  <c r="C110" i="24"/>
  <c r="C111" i="24"/>
  <c r="C112" i="24"/>
  <c r="C113" i="24"/>
  <c r="C114" i="24"/>
  <c r="D109" i="24"/>
  <c r="D110" i="24"/>
  <c r="D111" i="24"/>
  <c r="D112" i="24"/>
  <c r="D113" i="24"/>
  <c r="D114" i="24"/>
  <c r="E109" i="24"/>
  <c r="E110" i="24"/>
  <c r="E111" i="24"/>
  <c r="E112" i="24"/>
  <c r="E113" i="24"/>
  <c r="E114" i="24"/>
  <c r="F109" i="24"/>
  <c r="F110" i="24"/>
  <c r="F111" i="24"/>
  <c r="F112" i="24"/>
  <c r="F113" i="24"/>
  <c r="F114" i="24"/>
  <c r="C125" i="24"/>
  <c r="C126" i="24"/>
  <c r="C127" i="24"/>
  <c r="C128" i="24"/>
  <c r="C129" i="24"/>
  <c r="C130" i="24"/>
  <c r="D125" i="24"/>
  <c r="D126" i="24"/>
  <c r="D127" i="24"/>
  <c r="D128" i="24"/>
  <c r="D129" i="24"/>
  <c r="D130" i="24"/>
  <c r="E125" i="24"/>
  <c r="E126" i="24"/>
  <c r="E127" i="24"/>
  <c r="E128" i="24"/>
  <c r="E129" i="24"/>
  <c r="E130" i="24"/>
  <c r="F125" i="24"/>
  <c r="F126" i="24"/>
  <c r="F127" i="24"/>
  <c r="F128" i="24"/>
  <c r="F129" i="24"/>
  <c r="F130" i="24"/>
  <c r="C154" i="20"/>
  <c r="C155" i="20"/>
  <c r="C156" i="20"/>
  <c r="C91" i="20"/>
  <c r="C92" i="20"/>
  <c r="C93" i="20"/>
  <c r="C94" i="20"/>
  <c r="D91" i="20"/>
  <c r="D92" i="20"/>
  <c r="D93" i="20"/>
  <c r="D94" i="20"/>
  <c r="N61" i="20"/>
  <c r="N62" i="20"/>
  <c r="N63" i="20"/>
  <c r="N64" i="20"/>
  <c r="N65" i="20"/>
  <c r="N66" i="20"/>
  <c r="O61" i="20"/>
  <c r="O62" i="20"/>
  <c r="O63" i="20"/>
  <c r="O64" i="20"/>
  <c r="O65" i="20"/>
  <c r="O66" i="20"/>
  <c r="P61" i="20"/>
  <c r="P62" i="20"/>
  <c r="P63" i="20"/>
  <c r="P64" i="20"/>
  <c r="P65" i="20"/>
  <c r="P66" i="20"/>
  <c r="Q61" i="20"/>
  <c r="Q62" i="20"/>
  <c r="Q63" i="20"/>
  <c r="Q64" i="20"/>
  <c r="Q65" i="20"/>
  <c r="Q66" i="20"/>
  <c r="N77" i="20"/>
  <c r="N78" i="20"/>
  <c r="N79" i="20"/>
  <c r="N80" i="20"/>
  <c r="N81" i="20"/>
  <c r="N82" i="20"/>
  <c r="O77" i="20"/>
  <c r="O78" i="20"/>
  <c r="O79" i="20"/>
  <c r="O80" i="20"/>
  <c r="O81" i="20"/>
  <c r="O82" i="20"/>
  <c r="P77" i="20"/>
  <c r="P78" i="20"/>
  <c r="P79" i="20"/>
  <c r="P80" i="20"/>
  <c r="P81" i="20"/>
  <c r="P82" i="20"/>
  <c r="Q77" i="20"/>
  <c r="Q78" i="20"/>
  <c r="Q79" i="20"/>
  <c r="Q80" i="20"/>
  <c r="Q81" i="20"/>
  <c r="Q82" i="20"/>
  <c r="C61" i="20"/>
  <c r="C62" i="20"/>
  <c r="C63" i="20"/>
  <c r="C64" i="20"/>
  <c r="C65" i="20"/>
  <c r="C66" i="20"/>
  <c r="D61" i="20"/>
  <c r="D62" i="20"/>
  <c r="D63" i="20"/>
  <c r="D64" i="20"/>
  <c r="D65" i="20"/>
  <c r="D66" i="20"/>
  <c r="E61" i="20"/>
  <c r="E62" i="20"/>
  <c r="E63" i="20"/>
  <c r="E64" i="20"/>
  <c r="E65" i="20"/>
  <c r="E66" i="20"/>
  <c r="F61" i="20"/>
  <c r="F62" i="20"/>
  <c r="F63" i="20"/>
  <c r="F64" i="20"/>
  <c r="F65" i="20"/>
  <c r="F66" i="20"/>
  <c r="C77" i="20"/>
  <c r="C78" i="20"/>
  <c r="C79" i="20"/>
  <c r="C80" i="20"/>
  <c r="C81" i="20"/>
  <c r="C82" i="20"/>
  <c r="D77" i="20"/>
  <c r="D78" i="20"/>
  <c r="D79" i="20"/>
  <c r="D80" i="20"/>
  <c r="D81" i="20"/>
  <c r="D82" i="20"/>
  <c r="E77" i="20"/>
  <c r="E78" i="20"/>
  <c r="E79" i="20"/>
  <c r="E80" i="20"/>
  <c r="E81" i="20"/>
  <c r="E82" i="20"/>
  <c r="F77" i="20"/>
  <c r="F78" i="20"/>
  <c r="F79" i="20"/>
  <c r="F80" i="20"/>
  <c r="F81" i="20"/>
  <c r="F82" i="20"/>
  <c r="C44" i="20"/>
  <c r="C45" i="20"/>
  <c r="C46" i="20"/>
  <c r="C47" i="20"/>
  <c r="D44" i="20"/>
  <c r="D45" i="20"/>
  <c r="D46" i="20"/>
  <c r="D47" i="20"/>
  <c r="N14" i="20"/>
  <c r="N15" i="20"/>
  <c r="N16" i="20"/>
  <c r="N17" i="20"/>
  <c r="N18" i="20"/>
  <c r="N19" i="20"/>
  <c r="O14" i="20"/>
  <c r="O15" i="20"/>
  <c r="O16" i="20"/>
  <c r="O17" i="20"/>
  <c r="O18" i="20"/>
  <c r="O19" i="20"/>
  <c r="P14" i="20"/>
  <c r="P15" i="20"/>
  <c r="P16" i="20"/>
  <c r="P17" i="20"/>
  <c r="P18" i="20"/>
  <c r="P19" i="20"/>
  <c r="Q14" i="20"/>
  <c r="Q15" i="20"/>
  <c r="Q16" i="20"/>
  <c r="Q17" i="20"/>
  <c r="Q18" i="20"/>
  <c r="Q19" i="20"/>
  <c r="N30" i="20"/>
  <c r="N31" i="20"/>
  <c r="N32" i="20"/>
  <c r="N33" i="20"/>
  <c r="N34" i="20"/>
  <c r="N35" i="20"/>
  <c r="O30" i="20"/>
  <c r="O31" i="20"/>
  <c r="O32" i="20"/>
  <c r="O33" i="20"/>
  <c r="O34" i="20"/>
  <c r="O35" i="20"/>
  <c r="P30" i="20"/>
  <c r="P31" i="20"/>
  <c r="P32" i="20"/>
  <c r="P33" i="20"/>
  <c r="P34" i="20"/>
  <c r="P35" i="20"/>
  <c r="Q30" i="20"/>
  <c r="Q31" i="20"/>
  <c r="Q32" i="20"/>
  <c r="Q33" i="20"/>
  <c r="Q34" i="20"/>
  <c r="Q35" i="20"/>
  <c r="C14" i="20"/>
  <c r="C15" i="20"/>
  <c r="C16" i="20"/>
  <c r="C17" i="20"/>
  <c r="C18" i="20"/>
  <c r="C19" i="20"/>
  <c r="D14" i="20"/>
  <c r="D15" i="20"/>
  <c r="D16" i="20"/>
  <c r="D17" i="20"/>
  <c r="D18" i="20"/>
  <c r="D19" i="20"/>
  <c r="E14" i="20"/>
  <c r="E15" i="20"/>
  <c r="E16" i="20"/>
  <c r="E17" i="20"/>
  <c r="E18" i="20"/>
  <c r="E19" i="20"/>
  <c r="F14" i="20"/>
  <c r="F15" i="20"/>
  <c r="F16" i="20"/>
  <c r="F17" i="20"/>
  <c r="F18" i="20"/>
  <c r="F19" i="20"/>
  <c r="C30" i="20"/>
  <c r="C31" i="20"/>
  <c r="C32" i="20"/>
  <c r="C33" i="20"/>
  <c r="C34" i="20"/>
  <c r="C35" i="20"/>
  <c r="D30" i="20"/>
  <c r="D31" i="20"/>
  <c r="D32" i="20"/>
  <c r="D33" i="20"/>
  <c r="D34" i="20"/>
  <c r="D35" i="20"/>
  <c r="E30" i="20"/>
  <c r="E31" i="20"/>
  <c r="E32" i="20"/>
  <c r="E33" i="20"/>
  <c r="E34" i="20"/>
  <c r="E35" i="20"/>
  <c r="F30" i="20"/>
  <c r="F31" i="20"/>
  <c r="F32" i="20"/>
  <c r="F33" i="20"/>
  <c r="F34" i="20"/>
  <c r="F35" i="20"/>
  <c r="C139" i="20"/>
  <c r="C140" i="20"/>
  <c r="C141" i="20"/>
  <c r="C142" i="20"/>
  <c r="D139" i="20"/>
  <c r="D140" i="20"/>
  <c r="D141" i="20"/>
  <c r="D142" i="20"/>
  <c r="N109" i="20"/>
  <c r="N110" i="20"/>
  <c r="N111" i="20"/>
  <c r="N112" i="20"/>
  <c r="N113" i="20"/>
  <c r="N114" i="20"/>
  <c r="O109" i="20"/>
  <c r="O110" i="20"/>
  <c r="O111" i="20"/>
  <c r="O112" i="20"/>
  <c r="O113" i="20"/>
  <c r="O114" i="20"/>
  <c r="P109" i="20"/>
  <c r="P110" i="20"/>
  <c r="P111" i="20"/>
  <c r="P112" i="20"/>
  <c r="P113" i="20"/>
  <c r="P114" i="20"/>
  <c r="Q109" i="20"/>
  <c r="Q110" i="20"/>
  <c r="Q111" i="20"/>
  <c r="Q112" i="20"/>
  <c r="Q113" i="20"/>
  <c r="Q114" i="20"/>
  <c r="N125" i="20"/>
  <c r="N126" i="20"/>
  <c r="N127" i="20"/>
  <c r="N128" i="20"/>
  <c r="N129" i="20"/>
  <c r="N130" i="20"/>
  <c r="O125" i="20"/>
  <c r="O126" i="20"/>
  <c r="O127" i="20"/>
  <c r="O128" i="20"/>
  <c r="O129" i="20"/>
  <c r="O130" i="20"/>
  <c r="P125" i="20"/>
  <c r="P126" i="20"/>
  <c r="P127" i="20"/>
  <c r="P128" i="20"/>
  <c r="P129" i="20"/>
  <c r="P130" i="20"/>
  <c r="Q125" i="20"/>
  <c r="Q126" i="20"/>
  <c r="Q127" i="20"/>
  <c r="Q128" i="20"/>
  <c r="Q129" i="20"/>
  <c r="Q130" i="20"/>
  <c r="C109" i="20"/>
  <c r="C110" i="20"/>
  <c r="C111" i="20"/>
  <c r="C112" i="20"/>
  <c r="C113" i="20"/>
  <c r="C114" i="20"/>
  <c r="D109" i="20"/>
  <c r="D110" i="20"/>
  <c r="D111" i="20"/>
  <c r="D112" i="20"/>
  <c r="D113" i="20"/>
  <c r="D114" i="20"/>
  <c r="E109" i="20"/>
  <c r="E110" i="20"/>
  <c r="E111" i="20"/>
  <c r="E112" i="20"/>
  <c r="E113" i="20"/>
  <c r="E114" i="20"/>
  <c r="F109" i="20"/>
  <c r="F110" i="20"/>
  <c r="F111" i="20"/>
  <c r="F112" i="20"/>
  <c r="F113" i="20"/>
  <c r="F114" i="20"/>
  <c r="C125" i="20"/>
  <c r="C126" i="20"/>
  <c r="C127" i="20"/>
  <c r="C128" i="20"/>
  <c r="C129" i="20"/>
  <c r="C130" i="20"/>
  <c r="D125" i="20"/>
  <c r="D126" i="20"/>
  <c r="D127" i="20"/>
  <c r="D128" i="20"/>
  <c r="D129" i="20"/>
  <c r="D130" i="20"/>
  <c r="E125" i="20"/>
  <c r="E126" i="20"/>
  <c r="E127" i="20"/>
  <c r="E128" i="20"/>
  <c r="E129" i="20"/>
  <c r="E130" i="20"/>
  <c r="F125" i="20"/>
  <c r="F126" i="20"/>
  <c r="F127" i="20"/>
  <c r="F128" i="20"/>
  <c r="F129" i="20"/>
  <c r="F130" i="20"/>
  <c r="B131" i="20" a="1"/>
  <c r="E131" i="20" s="1"/>
  <c r="C154" i="19"/>
  <c r="C155" i="19"/>
  <c r="C156" i="19"/>
  <c r="C91" i="19"/>
  <c r="C92" i="19"/>
  <c r="C93" i="19"/>
  <c r="C94" i="19"/>
  <c r="D91" i="19"/>
  <c r="D92" i="19"/>
  <c r="D93" i="19"/>
  <c r="D94" i="19"/>
  <c r="N61" i="19"/>
  <c r="N62" i="19"/>
  <c r="N63" i="19"/>
  <c r="N64" i="19"/>
  <c r="N65" i="19"/>
  <c r="N66" i="19"/>
  <c r="O61" i="19"/>
  <c r="O62" i="19"/>
  <c r="O63" i="19"/>
  <c r="O64" i="19"/>
  <c r="O65" i="19"/>
  <c r="O66" i="19"/>
  <c r="P61" i="19"/>
  <c r="P62" i="19"/>
  <c r="P63" i="19"/>
  <c r="P64" i="19"/>
  <c r="P65" i="19"/>
  <c r="P66" i="19"/>
  <c r="Q61" i="19"/>
  <c r="Q62" i="19"/>
  <c r="Q63" i="19"/>
  <c r="Q64" i="19"/>
  <c r="Q65" i="19"/>
  <c r="Q66" i="19"/>
  <c r="N77" i="19"/>
  <c r="N78" i="19"/>
  <c r="N79" i="19"/>
  <c r="N80" i="19"/>
  <c r="N81" i="19"/>
  <c r="N82" i="19"/>
  <c r="O77" i="19"/>
  <c r="O78" i="19"/>
  <c r="O79" i="19"/>
  <c r="O80" i="19"/>
  <c r="O81" i="19"/>
  <c r="O82" i="19"/>
  <c r="P77" i="19"/>
  <c r="P78" i="19"/>
  <c r="P79" i="19"/>
  <c r="P80" i="19"/>
  <c r="P81" i="19"/>
  <c r="P82" i="19"/>
  <c r="Q77" i="19"/>
  <c r="Q78" i="19"/>
  <c r="Q79" i="19"/>
  <c r="Q80" i="19"/>
  <c r="Q81" i="19"/>
  <c r="Q82" i="19"/>
  <c r="C61" i="19"/>
  <c r="C62" i="19"/>
  <c r="C63" i="19"/>
  <c r="C64" i="19"/>
  <c r="C65" i="19"/>
  <c r="C66" i="19"/>
  <c r="D61" i="19"/>
  <c r="D62" i="19"/>
  <c r="D63" i="19"/>
  <c r="D64" i="19"/>
  <c r="D65" i="19"/>
  <c r="D66" i="19"/>
  <c r="E61" i="19"/>
  <c r="E62" i="19"/>
  <c r="E63" i="19"/>
  <c r="E64" i="19"/>
  <c r="E65" i="19"/>
  <c r="E66" i="19"/>
  <c r="F61" i="19"/>
  <c r="F62" i="19"/>
  <c r="F63" i="19"/>
  <c r="F64" i="19"/>
  <c r="F65" i="19"/>
  <c r="F66" i="19"/>
  <c r="C77" i="19"/>
  <c r="C78" i="19"/>
  <c r="C79" i="19"/>
  <c r="C80" i="19"/>
  <c r="C81" i="19"/>
  <c r="C82" i="19"/>
  <c r="D77" i="19"/>
  <c r="D78" i="19"/>
  <c r="D79" i="19"/>
  <c r="D80" i="19"/>
  <c r="D81" i="19"/>
  <c r="D82" i="19"/>
  <c r="E77" i="19"/>
  <c r="E78" i="19"/>
  <c r="E79" i="19"/>
  <c r="E80" i="19"/>
  <c r="E81" i="19"/>
  <c r="E82" i="19"/>
  <c r="F77" i="19"/>
  <c r="F78" i="19"/>
  <c r="F79" i="19"/>
  <c r="F80" i="19"/>
  <c r="F81" i="19"/>
  <c r="F82" i="19"/>
  <c r="C44" i="19"/>
  <c r="C45" i="19"/>
  <c r="C46" i="19"/>
  <c r="C47" i="19"/>
  <c r="D44" i="19"/>
  <c r="D45" i="19"/>
  <c r="D46" i="19"/>
  <c r="D47" i="19"/>
  <c r="N14" i="19"/>
  <c r="N15" i="19"/>
  <c r="N16" i="19"/>
  <c r="N17" i="19"/>
  <c r="N18" i="19"/>
  <c r="N19" i="19"/>
  <c r="O14" i="19"/>
  <c r="O15" i="19"/>
  <c r="O16" i="19"/>
  <c r="O17" i="19"/>
  <c r="O18" i="19"/>
  <c r="O19" i="19"/>
  <c r="P14" i="19"/>
  <c r="P15" i="19"/>
  <c r="P16" i="19"/>
  <c r="P17" i="19"/>
  <c r="P18" i="19"/>
  <c r="P19" i="19"/>
  <c r="Q14" i="19"/>
  <c r="Q15" i="19"/>
  <c r="Q16" i="19"/>
  <c r="Q17" i="19"/>
  <c r="Q18" i="19"/>
  <c r="Q19" i="19"/>
  <c r="N30" i="19"/>
  <c r="N31" i="19"/>
  <c r="N32" i="19"/>
  <c r="N33" i="19"/>
  <c r="N34" i="19"/>
  <c r="N35" i="19"/>
  <c r="O30" i="19"/>
  <c r="O31" i="19"/>
  <c r="O32" i="19"/>
  <c r="O33" i="19"/>
  <c r="O34" i="19"/>
  <c r="O35" i="19"/>
  <c r="P30" i="19"/>
  <c r="P31" i="19"/>
  <c r="P32" i="19"/>
  <c r="P33" i="19"/>
  <c r="P34" i="19"/>
  <c r="P35" i="19"/>
  <c r="Q30" i="19"/>
  <c r="Q31" i="19"/>
  <c r="Q32" i="19"/>
  <c r="Q33" i="19"/>
  <c r="Q34" i="19"/>
  <c r="Q35" i="19"/>
  <c r="C14" i="19"/>
  <c r="C15" i="19"/>
  <c r="C16" i="19"/>
  <c r="C17" i="19"/>
  <c r="C18" i="19"/>
  <c r="C19" i="19"/>
  <c r="D14" i="19"/>
  <c r="D15" i="19"/>
  <c r="D16" i="19"/>
  <c r="D17" i="19"/>
  <c r="D18" i="19"/>
  <c r="D19" i="19"/>
  <c r="E14" i="19"/>
  <c r="E15" i="19"/>
  <c r="E16" i="19"/>
  <c r="E17" i="19"/>
  <c r="E18" i="19"/>
  <c r="E19" i="19"/>
  <c r="F14" i="19"/>
  <c r="F15" i="19"/>
  <c r="F16" i="19"/>
  <c r="F17" i="19"/>
  <c r="F18" i="19"/>
  <c r="F19" i="19"/>
  <c r="C30" i="19"/>
  <c r="C31" i="19"/>
  <c r="C32" i="19"/>
  <c r="C33" i="19"/>
  <c r="C34" i="19"/>
  <c r="C35" i="19"/>
  <c r="D30" i="19"/>
  <c r="D31" i="19"/>
  <c r="D32" i="19"/>
  <c r="D33" i="19"/>
  <c r="D34" i="19"/>
  <c r="D35" i="19"/>
  <c r="E30" i="19"/>
  <c r="E31" i="19"/>
  <c r="E32" i="19"/>
  <c r="E33" i="19"/>
  <c r="E34" i="19"/>
  <c r="E35" i="19"/>
  <c r="F30" i="19"/>
  <c r="F31" i="19"/>
  <c r="F32" i="19"/>
  <c r="F33" i="19"/>
  <c r="F34" i="19"/>
  <c r="F35" i="19"/>
  <c r="C139" i="19"/>
  <c r="C140" i="19"/>
  <c r="C141" i="19"/>
  <c r="C142" i="19"/>
  <c r="D139" i="19"/>
  <c r="D140" i="19"/>
  <c r="D141" i="19"/>
  <c r="D142" i="19"/>
  <c r="N109" i="19"/>
  <c r="N110" i="19"/>
  <c r="N111" i="19"/>
  <c r="N112" i="19"/>
  <c r="N113" i="19"/>
  <c r="N114" i="19"/>
  <c r="O109" i="19"/>
  <c r="O110" i="19"/>
  <c r="O111" i="19"/>
  <c r="O112" i="19"/>
  <c r="O113" i="19"/>
  <c r="O114" i="19"/>
  <c r="P109" i="19"/>
  <c r="P110" i="19"/>
  <c r="P111" i="19"/>
  <c r="P112" i="19"/>
  <c r="P113" i="19"/>
  <c r="P114" i="19"/>
  <c r="Q109" i="19"/>
  <c r="Q110" i="19"/>
  <c r="Q111" i="19"/>
  <c r="Q112" i="19"/>
  <c r="Q113" i="19"/>
  <c r="Q114" i="19"/>
  <c r="N125" i="19"/>
  <c r="N126" i="19"/>
  <c r="N127" i="19"/>
  <c r="N128" i="19"/>
  <c r="N129" i="19"/>
  <c r="N130" i="19"/>
  <c r="O125" i="19"/>
  <c r="O126" i="19"/>
  <c r="O127" i="19"/>
  <c r="O128" i="19"/>
  <c r="O129" i="19"/>
  <c r="O130" i="19"/>
  <c r="P125" i="19"/>
  <c r="P126" i="19"/>
  <c r="P127" i="19"/>
  <c r="P128" i="19"/>
  <c r="P129" i="19"/>
  <c r="P130" i="19"/>
  <c r="Q125" i="19"/>
  <c r="Q126" i="19"/>
  <c r="Q127" i="19"/>
  <c r="Q128" i="19"/>
  <c r="Q129" i="19"/>
  <c r="Q130" i="19"/>
  <c r="C109" i="19"/>
  <c r="C110" i="19"/>
  <c r="C111" i="19"/>
  <c r="C112" i="19"/>
  <c r="C113" i="19"/>
  <c r="C114" i="19"/>
  <c r="D109" i="19"/>
  <c r="D110" i="19"/>
  <c r="D111" i="19"/>
  <c r="D112" i="19"/>
  <c r="D113" i="19"/>
  <c r="D114" i="19"/>
  <c r="E109" i="19"/>
  <c r="E110" i="19"/>
  <c r="E111" i="19"/>
  <c r="E112" i="19"/>
  <c r="E113" i="19"/>
  <c r="E114" i="19"/>
  <c r="F109" i="19"/>
  <c r="F110" i="19"/>
  <c r="F111" i="19"/>
  <c r="F112" i="19"/>
  <c r="F113" i="19"/>
  <c r="F114" i="19"/>
  <c r="C125" i="19"/>
  <c r="C126" i="19"/>
  <c r="C127" i="19"/>
  <c r="C128" i="19"/>
  <c r="C129" i="19"/>
  <c r="C130" i="19"/>
  <c r="D125" i="19"/>
  <c r="D126" i="19"/>
  <c r="D127" i="19"/>
  <c r="D128" i="19"/>
  <c r="D129" i="19"/>
  <c r="D130" i="19"/>
  <c r="E125" i="19"/>
  <c r="E126" i="19"/>
  <c r="E127" i="19"/>
  <c r="E128" i="19"/>
  <c r="E129" i="19"/>
  <c r="E130" i="19"/>
  <c r="F125" i="19"/>
  <c r="F126" i="19"/>
  <c r="F127" i="19"/>
  <c r="F128" i="19"/>
  <c r="F129" i="19"/>
  <c r="F130" i="19"/>
  <c r="W14" i="25"/>
  <c r="V20" i="25" s="1" a="1"/>
  <c r="X20" i="25" s="1"/>
  <c r="X14" i="25"/>
  <c r="Y14" i="25"/>
  <c r="W15" i="25"/>
  <c r="W16" i="25"/>
  <c r="W17" i="25"/>
  <c r="W18" i="25"/>
  <c r="X15" i="25"/>
  <c r="X16" i="25"/>
  <c r="X17" i="25"/>
  <c r="X18" i="25"/>
  <c r="Y15" i="25"/>
  <c r="Y16" i="25"/>
  <c r="Y17" i="25"/>
  <c r="Y18" i="25"/>
  <c r="AE14" i="25"/>
  <c r="AF14" i="25"/>
  <c r="AG14" i="25"/>
  <c r="AE15" i="25"/>
  <c r="AE16" i="25"/>
  <c r="AE17" i="25"/>
  <c r="AE18" i="25"/>
  <c r="AF15" i="25"/>
  <c r="AF16" i="25"/>
  <c r="AF17" i="25"/>
  <c r="AF18" i="25"/>
  <c r="AG15" i="25"/>
  <c r="AG16" i="25"/>
  <c r="AG17" i="25"/>
  <c r="AG18" i="25"/>
  <c r="W30" i="25"/>
  <c r="X30" i="25"/>
  <c r="Y30" i="25"/>
  <c r="W31" i="25"/>
  <c r="W32" i="25"/>
  <c r="W33" i="25"/>
  <c r="W34" i="25"/>
  <c r="X31" i="25"/>
  <c r="X32" i="25"/>
  <c r="X33" i="25"/>
  <c r="X34" i="25"/>
  <c r="Y31" i="25"/>
  <c r="Y32" i="25"/>
  <c r="Y33" i="25"/>
  <c r="Y34" i="25"/>
  <c r="AE30" i="25"/>
  <c r="AF30" i="25"/>
  <c r="AG30" i="25"/>
  <c r="AE31" i="25"/>
  <c r="AE32" i="25"/>
  <c r="AE33" i="25"/>
  <c r="AE34" i="25"/>
  <c r="AF31" i="25"/>
  <c r="AF32" i="25"/>
  <c r="AF33" i="25"/>
  <c r="AF34" i="25"/>
  <c r="AG31" i="25"/>
  <c r="AG32" i="25"/>
  <c r="AG33" i="25"/>
  <c r="AG34" i="25"/>
  <c r="B2" i="15"/>
  <c r="B4" i="15"/>
  <c r="B9" i="15" s="1"/>
  <c r="C4" i="15"/>
  <c r="C9" i="15" s="1"/>
  <c r="D4" i="15"/>
  <c r="D9" i="15"/>
  <c r="D8" i="15" s="1"/>
  <c r="E4" i="15"/>
  <c r="F4" i="15"/>
  <c r="F9" i="15" s="1"/>
  <c r="G4" i="15"/>
  <c r="G9" i="15" s="1"/>
  <c r="H4" i="15"/>
  <c r="I4" i="15"/>
  <c r="J4" i="15"/>
  <c r="K4" i="15"/>
  <c r="C7" i="15"/>
  <c r="D7" i="15"/>
  <c r="E7" i="15"/>
  <c r="F7" i="15"/>
  <c r="G7" i="15"/>
  <c r="H7" i="15"/>
  <c r="I7" i="15"/>
  <c r="J7" i="15"/>
  <c r="K7" i="15"/>
  <c r="H9" i="15"/>
  <c r="J9" i="15"/>
  <c r="D14" i="15"/>
  <c r="B38" i="15"/>
  <c r="C38" i="15"/>
  <c r="C44" i="15"/>
  <c r="D38" i="15"/>
  <c r="D44" i="15" s="1"/>
  <c r="E38" i="15"/>
  <c r="F38" i="15"/>
  <c r="G38" i="15"/>
  <c r="G44" i="15" s="1"/>
  <c r="H38" i="15"/>
  <c r="H44" i="15"/>
  <c r="I38" i="15"/>
  <c r="I44" i="15" s="1"/>
  <c r="J38" i="15"/>
  <c r="K38" i="15"/>
  <c r="K44" i="15"/>
  <c r="K43" i="15"/>
  <c r="C42" i="15"/>
  <c r="D42" i="15"/>
  <c r="E42" i="15"/>
  <c r="F42" i="15"/>
  <c r="G42" i="15"/>
  <c r="H42" i="15"/>
  <c r="I42" i="15"/>
  <c r="J42" i="15"/>
  <c r="K42" i="15"/>
  <c r="B10" i="16"/>
  <c r="C10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B12" i="16"/>
  <c r="B11" i="16" s="1"/>
  <c r="B17" i="16" s="1"/>
  <c r="C12" i="16"/>
  <c r="C11" i="16" s="1"/>
  <c r="C17" i="16" s="1"/>
  <c r="D12" i="16"/>
  <c r="D11" i="16" s="1"/>
  <c r="E12" i="16"/>
  <c r="E11" i="16"/>
  <c r="E16" i="16" s="1"/>
  <c r="F12" i="16"/>
  <c r="F11" i="16"/>
  <c r="G12" i="16"/>
  <c r="G11" i="16" s="1"/>
  <c r="H12" i="16"/>
  <c r="H11" i="16"/>
  <c r="H16" i="16" s="1"/>
  <c r="I12" i="16"/>
  <c r="I11" i="16"/>
  <c r="I17" i="16" s="1"/>
  <c r="J12" i="16"/>
  <c r="J11" i="16" s="1"/>
  <c r="J18" i="16" s="1"/>
  <c r="K12" i="16"/>
  <c r="K11" i="16"/>
  <c r="L12" i="16"/>
  <c r="L11" i="16" s="1"/>
  <c r="M12" i="16"/>
  <c r="M11" i="16"/>
  <c r="N12" i="16"/>
  <c r="N11" i="16" s="1"/>
  <c r="O12" i="16"/>
  <c r="O11" i="16"/>
  <c r="P12" i="16"/>
  <c r="P11" i="16" s="1"/>
  <c r="Q12" i="16"/>
  <c r="Q11" i="16"/>
  <c r="Q18" i="16" s="1"/>
  <c r="R12" i="16"/>
  <c r="R11" i="16" s="1"/>
  <c r="C16" i="16"/>
  <c r="O16" i="16"/>
  <c r="C18" i="16"/>
  <c r="G18" i="16"/>
  <c r="B42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B44" i="16"/>
  <c r="B43" i="16" s="1"/>
  <c r="C44" i="16"/>
  <c r="C43" i="16"/>
  <c r="C50" i="16"/>
  <c r="D44" i="16"/>
  <c r="D43" i="16" s="1"/>
  <c r="D48" i="16" s="1"/>
  <c r="E44" i="16"/>
  <c r="E43" i="16" s="1"/>
  <c r="E50" i="16" s="1"/>
  <c r="F44" i="16"/>
  <c r="F43" i="16"/>
  <c r="G44" i="16"/>
  <c r="G43" i="16" s="1"/>
  <c r="H44" i="16"/>
  <c r="H43" i="16"/>
  <c r="I44" i="16"/>
  <c r="I43" i="16" s="1"/>
  <c r="J44" i="16"/>
  <c r="J43" i="16"/>
  <c r="K44" i="16"/>
  <c r="K43" i="16" s="1"/>
  <c r="L44" i="16"/>
  <c r="L43" i="16"/>
  <c r="M44" i="16"/>
  <c r="M43" i="16" s="1"/>
  <c r="N44" i="16"/>
  <c r="N43" i="16"/>
  <c r="N49" i="16" s="1"/>
  <c r="O44" i="16"/>
  <c r="O43" i="16"/>
  <c r="O48" i="16"/>
  <c r="P44" i="16"/>
  <c r="P43" i="16" s="1"/>
  <c r="P50" i="16" s="1"/>
  <c r="Q44" i="16"/>
  <c r="Q43" i="16"/>
  <c r="R44" i="16"/>
  <c r="R43" i="16" s="1"/>
  <c r="R49" i="16" s="1"/>
  <c r="B78" i="16"/>
  <c r="C78" i="16"/>
  <c r="D78" i="16"/>
  <c r="E78" i="16"/>
  <c r="F78" i="16"/>
  <c r="G78" i="16"/>
  <c r="H78" i="16"/>
  <c r="I78" i="16"/>
  <c r="J78" i="16"/>
  <c r="K78" i="16"/>
  <c r="L78" i="16"/>
  <c r="M78" i="16"/>
  <c r="N78" i="16"/>
  <c r="O78" i="16"/>
  <c r="P78" i="16"/>
  <c r="Q78" i="16"/>
  <c r="R78" i="16"/>
  <c r="B80" i="16"/>
  <c r="B79" i="16"/>
  <c r="C80" i="16"/>
  <c r="C79" i="16" s="1"/>
  <c r="D80" i="16"/>
  <c r="D79" i="16"/>
  <c r="E80" i="16"/>
  <c r="E79" i="16" s="1"/>
  <c r="F80" i="16"/>
  <c r="F79" i="16"/>
  <c r="F85" i="16" s="1"/>
  <c r="G80" i="16"/>
  <c r="G79" i="16" s="1"/>
  <c r="G84" i="16" s="1"/>
  <c r="H80" i="16"/>
  <c r="H79" i="16"/>
  <c r="I80" i="16"/>
  <c r="I79" i="16" s="1"/>
  <c r="J80" i="16"/>
  <c r="J79" i="16"/>
  <c r="K80" i="16"/>
  <c r="K79" i="16" s="1"/>
  <c r="L80" i="16"/>
  <c r="L79" i="16"/>
  <c r="L85" i="16" s="1"/>
  <c r="M80" i="16"/>
  <c r="M79" i="16"/>
  <c r="N80" i="16"/>
  <c r="N79" i="16" s="1"/>
  <c r="N85" i="16" s="1"/>
  <c r="O80" i="16"/>
  <c r="O79" i="16"/>
  <c r="P80" i="16"/>
  <c r="P79" i="16" s="1"/>
  <c r="Q80" i="16"/>
  <c r="Q79" i="16"/>
  <c r="R80" i="16"/>
  <c r="R79" i="16" s="1"/>
  <c r="B8" i="17"/>
  <c r="C8" i="17"/>
  <c r="D8" i="17"/>
  <c r="E8" i="17"/>
  <c r="F8" i="17"/>
  <c r="G8" i="17"/>
  <c r="H8" i="17"/>
  <c r="I8" i="17"/>
  <c r="J8" i="17"/>
  <c r="K8" i="17"/>
  <c r="L8" i="17"/>
  <c r="M8" i="17"/>
  <c r="B10" i="17"/>
  <c r="B9" i="17"/>
  <c r="B14" i="17"/>
  <c r="C10" i="17"/>
  <c r="C9" i="17" s="1"/>
  <c r="C16" i="17" s="1"/>
  <c r="D10" i="17"/>
  <c r="D9" i="17"/>
  <c r="D16" i="17" s="1"/>
  <c r="E10" i="17"/>
  <c r="E9" i="17" s="1"/>
  <c r="F10" i="17"/>
  <c r="F9" i="17"/>
  <c r="G10" i="17"/>
  <c r="G9" i="17"/>
  <c r="H10" i="17"/>
  <c r="H9" i="17" s="1"/>
  <c r="H15" i="17" s="1"/>
  <c r="I10" i="17"/>
  <c r="I9" i="17"/>
  <c r="J10" i="17"/>
  <c r="J9" i="17" s="1"/>
  <c r="K10" i="17"/>
  <c r="K9" i="17"/>
  <c r="K15" i="17"/>
  <c r="L10" i="17"/>
  <c r="L9" i="17" s="1"/>
  <c r="M10" i="17"/>
  <c r="M9" i="17" s="1"/>
  <c r="F15" i="17"/>
  <c r="B40" i="17"/>
  <c r="C40" i="17"/>
  <c r="D40" i="17"/>
  <c r="E40" i="17"/>
  <c r="F40" i="17"/>
  <c r="G40" i="17"/>
  <c r="H40" i="17"/>
  <c r="I40" i="17"/>
  <c r="J40" i="17"/>
  <c r="K40" i="17"/>
  <c r="L40" i="17"/>
  <c r="M40" i="17"/>
  <c r="B42" i="17"/>
  <c r="B41" i="17"/>
  <c r="B48" i="17"/>
  <c r="C42" i="17"/>
  <c r="C41" i="17" s="1"/>
  <c r="D42" i="17"/>
  <c r="D41" i="17"/>
  <c r="D46" i="17" s="1"/>
  <c r="E42" i="17"/>
  <c r="E41" i="17"/>
  <c r="E48" i="17"/>
  <c r="F42" i="17"/>
  <c r="F41" i="17" s="1"/>
  <c r="G42" i="17"/>
  <c r="G41" i="17"/>
  <c r="G48" i="17" s="1"/>
  <c r="H42" i="17"/>
  <c r="H41" i="17"/>
  <c r="I42" i="17"/>
  <c r="I41" i="17" s="1"/>
  <c r="J42" i="17"/>
  <c r="J41" i="17"/>
  <c r="J47" i="17"/>
  <c r="K42" i="17"/>
  <c r="K41" i="17" s="1"/>
  <c r="L42" i="17"/>
  <c r="L41" i="17" s="1"/>
  <c r="M42" i="17"/>
  <c r="M41" i="17"/>
  <c r="B78" i="17"/>
  <c r="C78" i="17"/>
  <c r="D78" i="17"/>
  <c r="E78" i="17"/>
  <c r="F78" i="17"/>
  <c r="G78" i="17"/>
  <c r="H78" i="17"/>
  <c r="I78" i="17"/>
  <c r="J78" i="17"/>
  <c r="K78" i="17"/>
  <c r="L78" i="17"/>
  <c r="M78" i="17"/>
  <c r="B80" i="17"/>
  <c r="B79" i="17"/>
  <c r="B85" i="17"/>
  <c r="B84" i="17"/>
  <c r="C80" i="17"/>
  <c r="C79" i="17"/>
  <c r="C85" i="17"/>
  <c r="D80" i="17"/>
  <c r="D79" i="17" s="1"/>
  <c r="D84" i="17" s="1"/>
  <c r="E80" i="17"/>
  <c r="E79" i="17" s="1"/>
  <c r="F80" i="17"/>
  <c r="F79" i="17"/>
  <c r="F86" i="17"/>
  <c r="G80" i="17"/>
  <c r="G79" i="17" s="1"/>
  <c r="H80" i="17"/>
  <c r="H79" i="17" s="1"/>
  <c r="I80" i="17"/>
  <c r="I79" i="17"/>
  <c r="J80" i="17"/>
  <c r="J79" i="17" s="1"/>
  <c r="K80" i="17"/>
  <c r="K79" i="17"/>
  <c r="L80" i="17"/>
  <c r="L79" i="17" s="1"/>
  <c r="L84" i="17" s="1"/>
  <c r="M80" i="17"/>
  <c r="M79" i="17"/>
  <c r="C84" i="17"/>
  <c r="C86" i="17"/>
  <c r="W14" i="20"/>
  <c r="X14" i="20"/>
  <c r="Y14" i="20"/>
  <c r="W15" i="20"/>
  <c r="W16" i="20"/>
  <c r="W17" i="20"/>
  <c r="W18" i="20"/>
  <c r="X15" i="20"/>
  <c r="X16" i="20"/>
  <c r="X17" i="20"/>
  <c r="X18" i="20"/>
  <c r="Y15" i="20"/>
  <c r="Y16" i="20"/>
  <c r="Y17" i="20"/>
  <c r="Y18" i="20"/>
  <c r="AE14" i="20"/>
  <c r="AF14" i="20"/>
  <c r="AG14" i="20"/>
  <c r="AE15" i="20"/>
  <c r="AE16" i="20"/>
  <c r="AE17" i="20"/>
  <c r="AE18" i="20"/>
  <c r="AF15" i="20"/>
  <c r="AF16" i="20"/>
  <c r="AF17" i="20"/>
  <c r="AF18" i="20"/>
  <c r="AG15" i="20"/>
  <c r="AG16" i="20"/>
  <c r="AG17" i="20"/>
  <c r="AG18" i="20"/>
  <c r="W30" i="20"/>
  <c r="X30" i="20"/>
  <c r="Y30" i="20"/>
  <c r="W31" i="20"/>
  <c r="W32" i="20"/>
  <c r="W33" i="20"/>
  <c r="W34" i="20"/>
  <c r="X31" i="20"/>
  <c r="X32" i="20"/>
  <c r="X33" i="20"/>
  <c r="X34" i="20"/>
  <c r="Y31" i="20"/>
  <c r="Y32" i="20"/>
  <c r="Y33" i="20"/>
  <c r="Y34" i="20"/>
  <c r="AE30" i="20"/>
  <c r="AF30" i="20"/>
  <c r="AG30" i="20"/>
  <c r="AE31" i="20"/>
  <c r="AE32" i="20"/>
  <c r="AE33" i="20"/>
  <c r="AE34" i="20"/>
  <c r="AF31" i="20"/>
  <c r="AF32" i="20"/>
  <c r="AF33" i="20"/>
  <c r="AF34" i="20"/>
  <c r="AG31" i="20"/>
  <c r="AG32" i="20"/>
  <c r="AG33" i="20"/>
  <c r="AG34" i="20"/>
  <c r="F131" i="20"/>
  <c r="E132" i="20"/>
  <c r="C133" i="20"/>
  <c r="H133" i="20"/>
  <c r="G134" i="20"/>
  <c r="E135" i="20"/>
  <c r="F135" i="20"/>
  <c r="C136" i="20"/>
  <c r="E136" i="20"/>
  <c r="L43" i="11"/>
  <c r="L43" i="12"/>
  <c r="E24" i="10"/>
  <c r="L44" i="12"/>
  <c r="L45" i="12"/>
  <c r="L46" i="12"/>
  <c r="L47" i="12"/>
  <c r="H43" i="12"/>
  <c r="I43" i="12"/>
  <c r="J43" i="12"/>
  <c r="H44" i="12"/>
  <c r="I44" i="12"/>
  <c r="J44" i="12"/>
  <c r="H45" i="12"/>
  <c r="I45" i="12"/>
  <c r="J45" i="12"/>
  <c r="H46" i="12"/>
  <c r="I46" i="12"/>
  <c r="J46" i="12"/>
  <c r="H47" i="12"/>
  <c r="I47" i="12"/>
  <c r="J47" i="12"/>
  <c r="G44" i="12"/>
  <c r="G45" i="12"/>
  <c r="G46" i="12"/>
  <c r="G47" i="12"/>
  <c r="G43" i="12"/>
  <c r="H43" i="11"/>
  <c r="I43" i="11"/>
  <c r="J43" i="11"/>
  <c r="H44" i="11"/>
  <c r="I44" i="11"/>
  <c r="J44" i="11"/>
  <c r="L44" i="11"/>
  <c r="H45" i="11"/>
  <c r="I45" i="11"/>
  <c r="J45" i="11"/>
  <c r="L45" i="11"/>
  <c r="H46" i="11"/>
  <c r="I46" i="11"/>
  <c r="J46" i="11"/>
  <c r="L46" i="11"/>
  <c r="H47" i="11"/>
  <c r="I47" i="11"/>
  <c r="J47" i="11"/>
  <c r="L47" i="11"/>
  <c r="G44" i="11"/>
  <c r="G45" i="11"/>
  <c r="G46" i="11"/>
  <c r="G47" i="11"/>
  <c r="G43" i="11"/>
  <c r="B9" i="11"/>
  <c r="B8" i="11"/>
  <c r="B10" i="12"/>
  <c r="B9" i="12"/>
  <c r="B5" i="12"/>
  <c r="B6" i="12"/>
  <c r="B7" i="12"/>
  <c r="B6" i="11"/>
  <c r="B7" i="11"/>
  <c r="B5" i="11"/>
  <c r="B88" i="7"/>
  <c r="Q17" i="29"/>
  <c r="Q5" i="29"/>
  <c r="Q12" i="29"/>
  <c r="Q15" i="29"/>
  <c r="Q16" i="29"/>
  <c r="B28" i="9"/>
  <c r="E4" i="9"/>
  <c r="E5" i="9"/>
  <c r="E6" i="9"/>
  <c r="Q6" i="9" s="1"/>
  <c r="E7" i="9"/>
  <c r="E8" i="9"/>
  <c r="E9" i="9"/>
  <c r="AC9" i="9"/>
  <c r="E10" i="9"/>
  <c r="E11" i="9"/>
  <c r="E12" i="9"/>
  <c r="E13" i="9"/>
  <c r="E14" i="9"/>
  <c r="E15" i="9"/>
  <c r="H15" i="9" s="1"/>
  <c r="E16" i="9"/>
  <c r="E17" i="9"/>
  <c r="Z17" i="9" s="1"/>
  <c r="E18" i="9"/>
  <c r="E19" i="9"/>
  <c r="AL19" i="9"/>
  <c r="E20" i="9"/>
  <c r="E21" i="9"/>
  <c r="E22" i="9"/>
  <c r="E23" i="9"/>
  <c r="H23" i="9" s="1"/>
  <c r="E24" i="9"/>
  <c r="AC24" i="9"/>
  <c r="E25" i="9"/>
  <c r="E26" i="9"/>
  <c r="E27" i="9"/>
  <c r="C56" i="9"/>
  <c r="C59" i="9"/>
  <c r="B40" i="9"/>
  <c r="B44" i="9" s="1"/>
  <c r="C54" i="9" s="1"/>
  <c r="C58" i="9"/>
  <c r="B41" i="9"/>
  <c r="B50" i="9"/>
  <c r="C71" i="9"/>
  <c r="N70" i="9"/>
  <c r="N71" i="9"/>
  <c r="P70" i="9"/>
  <c r="P71" i="9"/>
  <c r="R70" i="9"/>
  <c r="R71" i="9"/>
  <c r="T70" i="9"/>
  <c r="T71" i="9"/>
  <c r="X70" i="9"/>
  <c r="E31" i="9"/>
  <c r="V70" i="9"/>
  <c r="V71" i="9"/>
  <c r="E70" i="9"/>
  <c r="E71" i="9"/>
  <c r="K27" i="10"/>
  <c r="AC79" i="9"/>
  <c r="G70" i="9"/>
  <c r="G71" i="9"/>
  <c r="K75" i="9"/>
  <c r="K76" i="9"/>
  <c r="K78" i="9"/>
  <c r="Z70" i="9"/>
  <c r="Z71" i="9"/>
  <c r="J37" i="9"/>
  <c r="AB70" i="9"/>
  <c r="AB71" i="9"/>
  <c r="K70" i="9"/>
  <c r="K71" i="9"/>
  <c r="H5" i="9"/>
  <c r="H11" i="9"/>
  <c r="H18" i="9"/>
  <c r="H19" i="9"/>
  <c r="H22" i="9"/>
  <c r="E32" i="9"/>
  <c r="AL32" i="9" s="1"/>
  <c r="AL26" i="9"/>
  <c r="AL18" i="9"/>
  <c r="AL9" i="9"/>
  <c r="AL5" i="9"/>
  <c r="AO27" i="9"/>
  <c r="AO22" i="9"/>
  <c r="AO19" i="9"/>
  <c r="AO18" i="9"/>
  <c r="AR26" i="9"/>
  <c r="AR22" i="9"/>
  <c r="AR19" i="9"/>
  <c r="AR18" i="9"/>
  <c r="AR11" i="9"/>
  <c r="AR10" i="9"/>
  <c r="K7" i="9"/>
  <c r="K11" i="9"/>
  <c r="K15" i="9"/>
  <c r="K18" i="9"/>
  <c r="K26" i="9"/>
  <c r="K27" i="9"/>
  <c r="AI19" i="9"/>
  <c r="Z19" i="9"/>
  <c r="W19" i="9"/>
  <c r="Q19" i="9"/>
  <c r="Q4" i="9"/>
  <c r="AF11" i="9"/>
  <c r="AC11" i="9"/>
  <c r="T11" i="9"/>
  <c r="Q11" i="9"/>
  <c r="AI18" i="9"/>
  <c r="AC18" i="9"/>
  <c r="Z18" i="9"/>
  <c r="W18" i="9"/>
  <c r="Q18" i="9"/>
  <c r="W12" i="9"/>
  <c r="W6" i="9"/>
  <c r="Q9" i="9"/>
  <c r="Q15" i="9"/>
  <c r="T5" i="9"/>
  <c r="T9" i="9"/>
  <c r="T15" i="9"/>
  <c r="T24" i="9"/>
  <c r="T26" i="9"/>
  <c r="AF15" i="9"/>
  <c r="AF22" i="9"/>
  <c r="AI15" i="9"/>
  <c r="AI22" i="9"/>
  <c r="AC15" i="9"/>
  <c r="AC22" i="9"/>
  <c r="Z15" i="9"/>
  <c r="Z22" i="9"/>
  <c r="W7" i="9"/>
  <c r="W21" i="9"/>
  <c r="W22" i="9"/>
  <c r="AF8" i="9"/>
  <c r="B130" i="4"/>
  <c r="K122" i="4"/>
  <c r="G21" i="2"/>
  <c r="B98" i="28" s="1"/>
  <c r="G7" i="2"/>
  <c r="B84" i="28" s="1"/>
  <c r="G6" i="2"/>
  <c r="B83" i="28" s="1"/>
  <c r="B13" i="7"/>
  <c r="AL24" i="9"/>
  <c r="AF24" i="9"/>
  <c r="AO24" i="9"/>
  <c r="K24" i="9"/>
  <c r="K20" i="9"/>
  <c r="Z20" i="9"/>
  <c r="H16" i="9"/>
  <c r="AR12" i="9"/>
  <c r="AI12" i="9"/>
  <c r="AL8" i="9"/>
  <c r="AC8" i="9"/>
  <c r="H8" i="9"/>
  <c r="AO8" i="9"/>
  <c r="AR8" i="9"/>
  <c r="T8" i="9"/>
  <c r="AI8" i="9"/>
  <c r="Z8" i="9"/>
  <c r="K8" i="9"/>
  <c r="Q8" i="9"/>
  <c r="Q13" i="9"/>
  <c r="Q17" i="9"/>
  <c r="W8" i="9"/>
  <c r="AF4" i="9"/>
  <c r="H4" i="9"/>
  <c r="AL4" i="9"/>
  <c r="AO4" i="9"/>
  <c r="AR4" i="9"/>
  <c r="AC4" i="9"/>
  <c r="K4" i="9"/>
  <c r="T4" i="9"/>
  <c r="AI4" i="9"/>
  <c r="W4" i="9"/>
  <c r="Z4" i="9"/>
  <c r="K25" i="9"/>
  <c r="AC25" i="9"/>
  <c r="AO21" i="9"/>
  <c r="H21" i="9"/>
  <c r="AF21" i="9"/>
  <c r="H17" i="9"/>
  <c r="AO9" i="9"/>
  <c r="W9" i="9"/>
  <c r="AF9" i="9"/>
  <c r="Z5" i="9"/>
  <c r="J48" i="17"/>
  <c r="J46" i="17"/>
  <c r="AD20" i="20" a="1"/>
  <c r="L47" i="17"/>
  <c r="F47" i="17"/>
  <c r="M85" i="16"/>
  <c r="M86" i="16"/>
  <c r="B86" i="16"/>
  <c r="B85" i="16"/>
  <c r="Q25" i="9"/>
  <c r="AR25" i="9"/>
  <c r="AL21" i="9"/>
  <c r="T21" i="9"/>
  <c r="K21" i="9"/>
  <c r="AC21" i="9"/>
  <c r="AO14" i="9"/>
  <c r="K14" i="9"/>
  <c r="AI10" i="9"/>
  <c r="Z10" i="9"/>
  <c r="AF7" i="9"/>
  <c r="D85" i="17"/>
  <c r="D86" i="17"/>
  <c r="B46" i="17"/>
  <c r="B47" i="17"/>
  <c r="G85" i="16"/>
  <c r="G86" i="16"/>
  <c r="N48" i="16"/>
  <c r="N50" i="16"/>
  <c r="Z21" i="9"/>
  <c r="H25" i="9"/>
  <c r="T25" i="9"/>
  <c r="Q21" i="9"/>
  <c r="AI21" i="9"/>
  <c r="AI7" i="9"/>
  <c r="K19" i="9"/>
  <c r="AC19" i="9"/>
  <c r="AO7" i="9"/>
  <c r="AL14" i="9"/>
  <c r="AI24" i="9"/>
  <c r="Q24" i="9"/>
  <c r="AR24" i="9"/>
  <c r="W17" i="9"/>
  <c r="B86" i="17"/>
  <c r="J86" i="17"/>
  <c r="F84" i="17"/>
  <c r="F85" i="17"/>
  <c r="K14" i="17"/>
  <c r="M14" i="17"/>
  <c r="C14" i="17"/>
  <c r="C15" i="17"/>
  <c r="J85" i="16"/>
  <c r="N86" i="16"/>
  <c r="N84" i="16"/>
  <c r="I85" i="16"/>
  <c r="G49" i="16"/>
  <c r="C48" i="16"/>
  <c r="P48" i="16"/>
  <c r="P49" i="16"/>
  <c r="E49" i="16"/>
  <c r="E48" i="16"/>
  <c r="Q16" i="16"/>
  <c r="Q17" i="16"/>
  <c r="O17" i="16"/>
  <c r="O18" i="16"/>
  <c r="K17" i="16"/>
  <c r="K16" i="16"/>
  <c r="K18" i="16"/>
  <c r="G17" i="16"/>
  <c r="G16" i="16"/>
  <c r="E17" i="16"/>
  <c r="E18" i="16"/>
  <c r="K9" i="15"/>
  <c r="K8" i="15" s="1"/>
  <c r="K15" i="15" s="1"/>
  <c r="G8" i="15"/>
  <c r="C8" i="15"/>
  <c r="E14" i="17"/>
  <c r="E15" i="17"/>
  <c r="E16" i="17"/>
  <c r="Q48" i="16"/>
  <c r="D50" i="16"/>
  <c r="D49" i="16"/>
  <c r="E46" i="17"/>
  <c r="E47" i="17"/>
  <c r="L84" i="16"/>
  <c r="L86" i="16"/>
  <c r="AR21" i="9"/>
  <c r="Z25" i="9"/>
  <c r="W25" i="9"/>
  <c r="AC14" i="9"/>
  <c r="AI25" i="9"/>
  <c r="T10" i="9"/>
  <c r="Q14" i="9"/>
  <c r="K23" i="9"/>
  <c r="AF19" i="9"/>
  <c r="T19" i="9"/>
  <c r="AI16" i="9"/>
  <c r="AL12" i="9"/>
  <c r="AO12" i="9"/>
  <c r="K12" i="9"/>
  <c r="G86" i="17"/>
  <c r="H84" i="17"/>
  <c r="I86" i="17"/>
  <c r="M46" i="17"/>
  <c r="M47" i="17"/>
  <c r="M48" i="17"/>
  <c r="G46" i="17"/>
  <c r="G47" i="17"/>
  <c r="L16" i="17"/>
  <c r="B15" i="17"/>
  <c r="B16" i="17"/>
  <c r="M84" i="16"/>
  <c r="B84" i="16"/>
  <c r="H84" i="16"/>
  <c r="H85" i="16"/>
  <c r="H86" i="16"/>
  <c r="C85" i="16"/>
  <c r="C84" i="16"/>
  <c r="C86" i="16"/>
  <c r="C49" i="16"/>
  <c r="I48" i="16"/>
  <c r="O49" i="16"/>
  <c r="O50" i="16"/>
  <c r="J48" i="16"/>
  <c r="J49" i="16"/>
  <c r="J50" i="16"/>
  <c r="B37" i="15"/>
  <c r="B44" i="15"/>
  <c r="B43" i="15"/>
  <c r="B48" i="15" s="1"/>
  <c r="V36" i="25" a="1"/>
  <c r="B115" i="19" a="1"/>
  <c r="M131" i="19" a="1"/>
  <c r="I46" i="17"/>
  <c r="I47" i="17"/>
  <c r="I48" i="17"/>
  <c r="P18" i="16"/>
  <c r="L17" i="16"/>
  <c r="R16" i="16"/>
  <c r="B16" i="16"/>
  <c r="I43" i="15"/>
  <c r="F8" i="15"/>
  <c r="M115" i="20" a="1"/>
  <c r="B20" i="25" a="1"/>
  <c r="M83" i="25" a="1"/>
  <c r="M84" i="17"/>
  <c r="M85" i="17"/>
  <c r="M86" i="17"/>
  <c r="E86" i="17"/>
  <c r="I14" i="17"/>
  <c r="I15" i="17"/>
  <c r="I16" i="17"/>
  <c r="AD36" i="25" a="1"/>
  <c r="M115" i="19" a="1"/>
  <c r="M131" i="20" a="1"/>
  <c r="B131" i="24" a="1"/>
  <c r="H131" i="24" s="1"/>
  <c r="B36" i="25" a="1"/>
  <c r="I9" i="27"/>
  <c r="J4" i="26"/>
  <c r="G43" i="15"/>
  <c r="C43" i="15"/>
  <c r="Y24" i="25"/>
  <c r="V22" i="25"/>
  <c r="W21" i="25"/>
  <c r="M67" i="20" a="1"/>
  <c r="W20" i="25"/>
  <c r="X21" i="25"/>
  <c r="Y22" i="25"/>
  <c r="V23" i="25"/>
  <c r="Z23" i="25"/>
  <c r="W24" i="25"/>
  <c r="V20" i="25"/>
  <c r="Z21" i="25"/>
  <c r="X22" i="25"/>
  <c r="W23" i="25"/>
  <c r="Z24" i="25"/>
  <c r="B36" i="19" a="1"/>
  <c r="B67" i="19" a="1"/>
  <c r="M83" i="19" a="1"/>
  <c r="B20" i="20" a="1"/>
  <c r="E21" i="20"/>
  <c r="M83" i="20" a="1"/>
  <c r="M67" i="19" a="1"/>
  <c r="O68" i="19" s="1"/>
  <c r="M20" i="20" a="1"/>
  <c r="M83" i="24" a="1"/>
  <c r="M131" i="25" a="1"/>
  <c r="M115" i="25" a="1"/>
  <c r="O116" i="25" s="1"/>
  <c r="M36" i="20" a="1"/>
  <c r="M131" i="24" a="1"/>
  <c r="M134" i="24" s="1"/>
  <c r="M20" i="24" a="1"/>
  <c r="O20" i="24"/>
  <c r="B115" i="20" a="1"/>
  <c r="B67" i="20" a="1"/>
  <c r="E67" i="20" s="1"/>
  <c r="M36" i="24" a="1"/>
  <c r="N36" i="24"/>
  <c r="B131" i="25" a="1"/>
  <c r="B83" i="25" a="1"/>
  <c r="F83" i="25" s="1"/>
  <c r="M67" i="24" a="1"/>
  <c r="R67" i="24" s="1"/>
  <c r="M20" i="25" a="1"/>
  <c r="P9" i="27"/>
  <c r="Q4" i="26"/>
  <c r="P39" i="29" s="1"/>
  <c r="B42" i="15"/>
  <c r="B50" i="15"/>
  <c r="B49" i="15"/>
  <c r="B83" i="25"/>
  <c r="C86" i="25"/>
  <c r="B84" i="25"/>
  <c r="C88" i="25"/>
  <c r="F86" i="25"/>
  <c r="F84" i="25"/>
  <c r="H83" i="25"/>
  <c r="F88" i="25"/>
  <c r="P67" i="19"/>
  <c r="R69" i="19"/>
  <c r="M70" i="19"/>
  <c r="Q70" i="19"/>
  <c r="R72" i="19"/>
  <c r="P73" i="19"/>
  <c r="N68" i="19"/>
  <c r="O70" i="19"/>
  <c r="R71" i="19"/>
  <c r="Q72" i="19"/>
  <c r="R67" i="19"/>
  <c r="P68" i="19"/>
  <c r="M69" i="19"/>
  <c r="M72" i="19"/>
  <c r="M73" i="19"/>
  <c r="N67" i="19"/>
  <c r="O71" i="19"/>
  <c r="O69" i="19"/>
  <c r="P69" i="19"/>
  <c r="Q71" i="19"/>
  <c r="O73" i="19"/>
  <c r="Q68" i="19"/>
  <c r="N70" i="19"/>
  <c r="P72" i="19"/>
  <c r="O135" i="20"/>
  <c r="O134" i="20"/>
  <c r="N134" i="20"/>
  <c r="R135" i="20"/>
  <c r="O132" i="20"/>
  <c r="R133" i="20"/>
  <c r="N131" i="19"/>
  <c r="R131" i="19"/>
  <c r="M132" i="19"/>
  <c r="Q132" i="19"/>
  <c r="P133" i="19"/>
  <c r="O134" i="19"/>
  <c r="N135" i="19"/>
  <c r="R135" i="19"/>
  <c r="Q131" i="19"/>
  <c r="S129" i="19" s="1"/>
  <c r="N132" i="19"/>
  <c r="N133" i="19"/>
  <c r="N134" i="19"/>
  <c r="O135" i="19"/>
  <c r="M131" i="19"/>
  <c r="O132" i="19"/>
  <c r="O133" i="19"/>
  <c r="P134" i="19"/>
  <c r="P135" i="19"/>
  <c r="O131" i="19"/>
  <c r="R133" i="19"/>
  <c r="M134" i="19"/>
  <c r="R132" i="19"/>
  <c r="P131" i="19"/>
  <c r="S130" i="19" s="1"/>
  <c r="P132" i="19"/>
  <c r="Q134" i="19"/>
  <c r="M133" i="19"/>
  <c r="R134" i="19"/>
  <c r="M135" i="19"/>
  <c r="Q133" i="19"/>
  <c r="Q135" i="19"/>
  <c r="K14" i="15"/>
  <c r="K13" i="15"/>
  <c r="AF20" i="20"/>
  <c r="AD22" i="20"/>
  <c r="AH22" i="20"/>
  <c r="AE23" i="20"/>
  <c r="AG20" i="20"/>
  <c r="AE21" i="20"/>
  <c r="AG23" i="20"/>
  <c r="AH20" i="20"/>
  <c r="AF21" i="20"/>
  <c r="AE22" i="20"/>
  <c r="AG24" i="20"/>
  <c r="AD20" i="20"/>
  <c r="AH24" i="20"/>
  <c r="AD21" i="20"/>
  <c r="AH21" i="20"/>
  <c r="AF22" i="20"/>
  <c r="AG22" i="20"/>
  <c r="AD24" i="20"/>
  <c r="AF23" i="20"/>
  <c r="M21" i="25"/>
  <c r="P24" i="25"/>
  <c r="N20" i="25"/>
  <c r="M25" i="25"/>
  <c r="P23" i="25"/>
  <c r="O20" i="25"/>
  <c r="O26" i="25"/>
  <c r="O22" i="25"/>
  <c r="M23" i="25"/>
  <c r="C131" i="25"/>
  <c r="G131" i="25"/>
  <c r="H129" i="25" s="1"/>
  <c r="B132" i="25"/>
  <c r="F132" i="25"/>
  <c r="E133" i="25"/>
  <c r="D134" i="25"/>
  <c r="H134" i="25"/>
  <c r="C135" i="25"/>
  <c r="G135" i="25"/>
  <c r="B136" i="25"/>
  <c r="F136" i="25"/>
  <c r="D131" i="25"/>
  <c r="G132" i="25"/>
  <c r="D133" i="25"/>
  <c r="B134" i="25"/>
  <c r="G134" i="25"/>
  <c r="E135" i="25"/>
  <c r="C136" i="25"/>
  <c r="H136" i="25"/>
  <c r="E131" i="25"/>
  <c r="C132" i="25"/>
  <c r="H132" i="25"/>
  <c r="F133" i="25"/>
  <c r="C134" i="25"/>
  <c r="F135" i="25"/>
  <c r="D136" i="25"/>
  <c r="F131" i="25"/>
  <c r="D132" i="25"/>
  <c r="B133" i="25"/>
  <c r="H135" i="25"/>
  <c r="E136" i="25"/>
  <c r="H131" i="25"/>
  <c r="E132" i="25"/>
  <c r="C133" i="25"/>
  <c r="G136" i="25"/>
  <c r="G133" i="25"/>
  <c r="B135" i="25"/>
  <c r="H133" i="25"/>
  <c r="D135" i="25"/>
  <c r="E134" i="25"/>
  <c r="B131" i="25"/>
  <c r="F134" i="25"/>
  <c r="D115" i="20"/>
  <c r="H115" i="20"/>
  <c r="C116" i="20"/>
  <c r="G116" i="20"/>
  <c r="B117" i="20"/>
  <c r="F117" i="20"/>
  <c r="E118" i="20"/>
  <c r="D119" i="20"/>
  <c r="H119" i="20"/>
  <c r="E115" i="20"/>
  <c r="B116" i="20"/>
  <c r="H116" i="20"/>
  <c r="E117" i="20"/>
  <c r="C118" i="20"/>
  <c r="H118" i="20"/>
  <c r="F119" i="20"/>
  <c r="B115" i="20"/>
  <c r="D116" i="20"/>
  <c r="D117" i="20"/>
  <c r="F118" i="20"/>
  <c r="G119" i="20"/>
  <c r="C115" i="20"/>
  <c r="E116" i="20"/>
  <c r="G117" i="20"/>
  <c r="G118" i="20"/>
  <c r="B119" i="20"/>
  <c r="F115" i="20"/>
  <c r="H114" i="20" s="1"/>
  <c r="F116" i="20"/>
  <c r="H117" i="20"/>
  <c r="B118" i="20"/>
  <c r="C119" i="20"/>
  <c r="G115" i="20"/>
  <c r="C117" i="20"/>
  <c r="E119" i="20"/>
  <c r="D118" i="20"/>
  <c r="N21" i="24"/>
  <c r="R21" i="24"/>
  <c r="M22" i="24"/>
  <c r="P23" i="24"/>
  <c r="O24" i="24"/>
  <c r="M25" i="24"/>
  <c r="O26" i="24"/>
  <c r="Q20" i="24"/>
  <c r="Q21" i="24"/>
  <c r="N23" i="24"/>
  <c r="N24" i="24"/>
  <c r="N25" i="24"/>
  <c r="R26" i="24"/>
  <c r="M20" i="24"/>
  <c r="R20" i="24"/>
  <c r="O22" i="24"/>
  <c r="O23" i="24"/>
  <c r="P24" i="24"/>
  <c r="N26" i="24"/>
  <c r="P20" i="24"/>
  <c r="O21" i="24"/>
  <c r="M24" i="24"/>
  <c r="R25" i="24"/>
  <c r="P21" i="24"/>
  <c r="Q24" i="24"/>
  <c r="P26" i="24"/>
  <c r="P25" i="24"/>
  <c r="Q23" i="24"/>
  <c r="R24" i="24"/>
  <c r="Q26" i="24"/>
  <c r="M23" i="24"/>
  <c r="P115" i="25"/>
  <c r="S112" i="25" s="1"/>
  <c r="N117" i="25"/>
  <c r="R117" i="25"/>
  <c r="M118" i="25"/>
  <c r="P119" i="25"/>
  <c r="N120" i="25"/>
  <c r="R120" i="25"/>
  <c r="O115" i="25"/>
  <c r="P116" i="25"/>
  <c r="P117" i="25"/>
  <c r="M119" i="25"/>
  <c r="R119" i="25"/>
  <c r="Q120" i="25"/>
  <c r="Q115" i="25"/>
  <c r="Q116" i="25"/>
  <c r="Q117" i="25"/>
  <c r="N119" i="25"/>
  <c r="M120" i="25"/>
  <c r="M121" i="25"/>
  <c r="R115" i="25"/>
  <c r="M116" i="25"/>
  <c r="P118" i="25"/>
  <c r="N121" i="25"/>
  <c r="N116" i="25"/>
  <c r="Q119" i="25"/>
  <c r="M115" i="25"/>
  <c r="P120" i="25"/>
  <c r="N115" i="25"/>
  <c r="M117" i="25"/>
  <c r="O117" i="25"/>
  <c r="O118" i="25"/>
  <c r="P83" i="20"/>
  <c r="O84" i="20"/>
  <c r="R85" i="20"/>
  <c r="M86" i="20"/>
  <c r="Q86" i="20"/>
  <c r="O83" i="20"/>
  <c r="P84" i="20"/>
  <c r="P85" i="20"/>
  <c r="M87" i="20"/>
  <c r="R87" i="20"/>
  <c r="Q83" i="20"/>
  <c r="M85" i="20"/>
  <c r="P86" i="20"/>
  <c r="N87" i="20"/>
  <c r="M84" i="20"/>
  <c r="O85" i="20"/>
  <c r="O87" i="20"/>
  <c r="N84" i="20"/>
  <c r="Q85" i="20"/>
  <c r="N86" i="20"/>
  <c r="N83" i="20"/>
  <c r="Q84" i="20"/>
  <c r="O86" i="20"/>
  <c r="D67" i="19"/>
  <c r="H67" i="19"/>
  <c r="C68" i="19"/>
  <c r="G68" i="19"/>
  <c r="B69" i="19"/>
  <c r="F69" i="19"/>
  <c r="E70" i="19"/>
  <c r="D71" i="19"/>
  <c r="H71" i="19"/>
  <c r="B67" i="19"/>
  <c r="G67" i="19"/>
  <c r="E68" i="19"/>
  <c r="C69" i="19"/>
  <c r="H69" i="19"/>
  <c r="F70" i="19"/>
  <c r="C71" i="19"/>
  <c r="C67" i="19"/>
  <c r="F68" i="19"/>
  <c r="D69" i="19"/>
  <c r="B70" i="19"/>
  <c r="G70" i="19"/>
  <c r="E71" i="19"/>
  <c r="H68" i="19"/>
  <c r="E69" i="19"/>
  <c r="C70" i="19"/>
  <c r="F71" i="19"/>
  <c r="F67" i="19"/>
  <c r="D68" i="19"/>
  <c r="G71" i="19"/>
  <c r="G69" i="19"/>
  <c r="D70" i="19"/>
  <c r="B71" i="19"/>
  <c r="E67" i="19"/>
  <c r="B68" i="19"/>
  <c r="H70" i="19"/>
  <c r="G50" i="15"/>
  <c r="G48" i="15"/>
  <c r="G49" i="15"/>
  <c r="C36" i="25"/>
  <c r="G36" i="25"/>
  <c r="D37" i="25"/>
  <c r="H37" i="25"/>
  <c r="E38" i="25"/>
  <c r="B39" i="25"/>
  <c r="F39" i="25"/>
  <c r="C40" i="25"/>
  <c r="G40" i="25"/>
  <c r="B41" i="25"/>
  <c r="F41" i="25"/>
  <c r="E36" i="25"/>
  <c r="C37" i="25"/>
  <c r="B38" i="25"/>
  <c r="G38" i="25"/>
  <c r="E39" i="25"/>
  <c r="D40" i="25"/>
  <c r="G41" i="25"/>
  <c r="B36" i="25"/>
  <c r="G37" i="25"/>
  <c r="F38" i="25"/>
  <c r="D39" i="25"/>
  <c r="B40" i="25"/>
  <c r="D41" i="25"/>
  <c r="D36" i="25"/>
  <c r="H33" i="25" s="1"/>
  <c r="B37" i="25"/>
  <c r="H38" i="25"/>
  <c r="G39" i="25"/>
  <c r="E40" i="25"/>
  <c r="E41" i="25"/>
  <c r="F36" i="25"/>
  <c r="C38" i="25"/>
  <c r="H39" i="25"/>
  <c r="H36" i="25"/>
  <c r="D38" i="25"/>
  <c r="C41" i="25"/>
  <c r="H40" i="25"/>
  <c r="E37" i="25"/>
  <c r="H41" i="25"/>
  <c r="F37" i="25"/>
  <c r="C39" i="25"/>
  <c r="F40" i="25"/>
  <c r="AG36" i="25"/>
  <c r="AD37" i="25"/>
  <c r="AH37" i="25"/>
  <c r="AE38" i="25"/>
  <c r="AF39" i="25"/>
  <c r="AE36" i="25"/>
  <c r="AG38" i="25"/>
  <c r="AE39" i="25"/>
  <c r="AH36" i="25"/>
  <c r="AF37" i="25"/>
  <c r="AD38" i="25"/>
  <c r="AG37" i="25"/>
  <c r="AF38" i="25"/>
  <c r="AD39" i="25"/>
  <c r="AD36" i="25"/>
  <c r="AI32" i="25" s="1"/>
  <c r="AG39" i="25"/>
  <c r="AF36" i="25"/>
  <c r="AH39" i="25"/>
  <c r="AH38" i="25"/>
  <c r="AE37" i="25"/>
  <c r="P85" i="25"/>
  <c r="Q85" i="25"/>
  <c r="N84" i="25"/>
  <c r="C115" i="19"/>
  <c r="H109" i="19" s="1"/>
  <c r="G115" i="19"/>
  <c r="B116" i="19"/>
  <c r="F116" i="19"/>
  <c r="E117" i="19"/>
  <c r="D118" i="19"/>
  <c r="H118" i="19"/>
  <c r="C119" i="19"/>
  <c r="G119" i="19"/>
  <c r="D115" i="19"/>
  <c r="G116" i="19"/>
  <c r="D117" i="19"/>
  <c r="B118" i="19"/>
  <c r="G118" i="19"/>
  <c r="E119" i="19"/>
  <c r="E115" i="19"/>
  <c r="C116" i="19"/>
  <c r="H116" i="19"/>
  <c r="F117" i="19"/>
  <c r="C118" i="19"/>
  <c r="F119" i="19"/>
  <c r="B115" i="19"/>
  <c r="H117" i="19"/>
  <c r="F118" i="19"/>
  <c r="D119" i="19"/>
  <c r="H115" i="19"/>
  <c r="E116" i="19"/>
  <c r="F115" i="19"/>
  <c r="D116" i="19"/>
  <c r="B117" i="19"/>
  <c r="H119" i="19"/>
  <c r="C117" i="19"/>
  <c r="E118" i="19"/>
  <c r="G117" i="19"/>
  <c r="B119" i="19"/>
  <c r="C14" i="15"/>
  <c r="C15" i="15"/>
  <c r="C13" i="15"/>
  <c r="O83" i="19"/>
  <c r="N84" i="19"/>
  <c r="R84" i="19"/>
  <c r="M85" i="19"/>
  <c r="Q85" i="19"/>
  <c r="P86" i="19"/>
  <c r="O87" i="19"/>
  <c r="M83" i="19"/>
  <c r="R83" i="19"/>
  <c r="S80" i="19" s="1"/>
  <c r="P84" i="19"/>
  <c r="N85" i="19"/>
  <c r="Q86" i="19"/>
  <c r="N87" i="19"/>
  <c r="N83" i="19"/>
  <c r="Q84" i="19"/>
  <c r="O85" i="19"/>
  <c r="M86" i="19"/>
  <c r="R86" i="19"/>
  <c r="P87" i="19"/>
  <c r="P83" i="19"/>
  <c r="S78" i="19"/>
  <c r="O84" i="19"/>
  <c r="R85" i="19"/>
  <c r="Q87" i="19"/>
  <c r="R87" i="19"/>
  <c r="Q83" i="19"/>
  <c r="M87" i="19"/>
  <c r="N86" i="19"/>
  <c r="M84" i="19"/>
  <c r="P85" i="19"/>
  <c r="O86" i="19"/>
  <c r="C49" i="15"/>
  <c r="C50" i="15"/>
  <c r="C48" i="15"/>
  <c r="O115" i="19"/>
  <c r="P118" i="19"/>
  <c r="M120" i="19"/>
  <c r="R115" i="19"/>
  <c r="N120" i="19"/>
  <c r="M121" i="19"/>
  <c r="O117" i="19"/>
  <c r="Q115" i="19"/>
  <c r="O116" i="19"/>
  <c r="M119" i="19"/>
  <c r="R120" i="19"/>
  <c r="Q119" i="19"/>
  <c r="D20" i="25"/>
  <c r="H15" i="25" s="1"/>
  <c r="H20" i="25"/>
  <c r="E21" i="25"/>
  <c r="B22" i="25"/>
  <c r="F22" i="25"/>
  <c r="C23" i="25"/>
  <c r="G23" i="25"/>
  <c r="D24" i="25"/>
  <c r="H24" i="25"/>
  <c r="E20" i="25"/>
  <c r="C21" i="25"/>
  <c r="H21" i="25"/>
  <c r="G22" i="25"/>
  <c r="E23" i="25"/>
  <c r="C24" i="25"/>
  <c r="B20" i="25"/>
  <c r="G21" i="25"/>
  <c r="E22" i="25"/>
  <c r="D23" i="25"/>
  <c r="B24" i="25"/>
  <c r="C20" i="25"/>
  <c r="B21" i="25"/>
  <c r="H22" i="25"/>
  <c r="F23" i="25"/>
  <c r="E24" i="25"/>
  <c r="F20" i="25"/>
  <c r="F21" i="25"/>
  <c r="G20" i="25"/>
  <c r="B23" i="25"/>
  <c r="F24" i="25"/>
  <c r="D22" i="25"/>
  <c r="H23" i="25"/>
  <c r="D21" i="25"/>
  <c r="G24" i="25"/>
  <c r="C22" i="25"/>
  <c r="I50" i="15"/>
  <c r="I49" i="15"/>
  <c r="I48" i="15"/>
  <c r="N67" i="24"/>
  <c r="Q68" i="24"/>
  <c r="P69" i="24"/>
  <c r="O70" i="24"/>
  <c r="P72" i="24"/>
  <c r="N73" i="24"/>
  <c r="Q67" i="24"/>
  <c r="S62" i="24" s="1"/>
  <c r="N69" i="24"/>
  <c r="O71" i="24"/>
  <c r="N72" i="24"/>
  <c r="O68" i="24"/>
  <c r="O69" i="24"/>
  <c r="P70" i="24"/>
  <c r="O73" i="24"/>
  <c r="O67" i="24"/>
  <c r="M70" i="24"/>
  <c r="Q73" i="24"/>
  <c r="P68" i="24"/>
  <c r="Q70" i="24"/>
  <c r="R70" i="24"/>
  <c r="M71" i="24"/>
  <c r="R68" i="24"/>
  <c r="R72" i="24"/>
  <c r="M69" i="24"/>
  <c r="R36" i="24"/>
  <c r="M37" i="24"/>
  <c r="Q37" i="24"/>
  <c r="O39" i="24"/>
  <c r="N40" i="24"/>
  <c r="R40" i="24"/>
  <c r="R37" i="24"/>
  <c r="O38" i="24"/>
  <c r="M39" i="24"/>
  <c r="P40" i="24"/>
  <c r="P36" i="24"/>
  <c r="N37" i="24"/>
  <c r="N39" i="24"/>
  <c r="Q40" i="24"/>
  <c r="P37" i="24"/>
  <c r="R38" i="24"/>
  <c r="P39" i="24"/>
  <c r="M40" i="24"/>
  <c r="O40" i="24"/>
  <c r="M36" i="24"/>
  <c r="Q39" i="24"/>
  <c r="M38" i="24"/>
  <c r="P131" i="24"/>
  <c r="O132" i="24"/>
  <c r="R133" i="24"/>
  <c r="Q134" i="24"/>
  <c r="M131" i="24"/>
  <c r="R131" i="24"/>
  <c r="P134" i="24"/>
  <c r="N135" i="24"/>
  <c r="O131" i="24"/>
  <c r="M135" i="24"/>
  <c r="Q131" i="24"/>
  <c r="S125" i="24" s="1"/>
  <c r="N134" i="24"/>
  <c r="N131" i="24"/>
  <c r="P133" i="24"/>
  <c r="R134" i="24"/>
  <c r="M132" i="24"/>
  <c r="O133" i="24"/>
  <c r="O134" i="24"/>
  <c r="O131" i="25"/>
  <c r="N132" i="25"/>
  <c r="R132" i="25"/>
  <c r="M133" i="25"/>
  <c r="Q133" i="25"/>
  <c r="P134" i="25"/>
  <c r="O135" i="25"/>
  <c r="M131" i="25"/>
  <c r="R131" i="25"/>
  <c r="P132" i="25"/>
  <c r="N133" i="25"/>
  <c r="Q134" i="25"/>
  <c r="N135" i="25"/>
  <c r="N131" i="25"/>
  <c r="Q132" i="25"/>
  <c r="O133" i="25"/>
  <c r="M134" i="25"/>
  <c r="R134" i="25"/>
  <c r="P135" i="25"/>
  <c r="P133" i="25"/>
  <c r="N134" i="25"/>
  <c r="R133" i="25"/>
  <c r="O134" i="25"/>
  <c r="M135" i="25"/>
  <c r="P131" i="25"/>
  <c r="O132" i="25"/>
  <c r="R135" i="25"/>
  <c r="Q131" i="25"/>
  <c r="M132" i="25"/>
  <c r="Q135" i="25"/>
  <c r="N20" i="20"/>
  <c r="S18" i="20" s="1"/>
  <c r="R20" i="20"/>
  <c r="O21" i="20"/>
  <c r="P22" i="20"/>
  <c r="M23" i="20"/>
  <c r="Q23" i="20"/>
  <c r="N24" i="20"/>
  <c r="R24" i="20"/>
  <c r="N25" i="20"/>
  <c r="R25" i="20"/>
  <c r="P26" i="20"/>
  <c r="P20" i="20"/>
  <c r="N21" i="20"/>
  <c r="M22" i="20"/>
  <c r="R22" i="20"/>
  <c r="P23" i="20"/>
  <c r="O24" i="20"/>
  <c r="O25" i="20"/>
  <c r="N26" i="20"/>
  <c r="Q20" i="20"/>
  <c r="P21" i="20"/>
  <c r="N22" i="20"/>
  <c r="R23" i="20"/>
  <c r="P24" i="20"/>
  <c r="P25" i="20"/>
  <c r="O26" i="20"/>
  <c r="M20" i="20"/>
  <c r="Q24" i="20"/>
  <c r="Q26" i="20"/>
  <c r="O20" i="20"/>
  <c r="M21" i="20"/>
  <c r="M25" i="20"/>
  <c r="R26" i="20"/>
  <c r="Q21" i="20"/>
  <c r="O22" i="20"/>
  <c r="N23" i="20"/>
  <c r="Q25" i="20"/>
  <c r="Q22" i="20"/>
  <c r="M24" i="20"/>
  <c r="R21" i="20"/>
  <c r="O23" i="20"/>
  <c r="M26" i="20"/>
  <c r="F20" i="20"/>
  <c r="E23" i="20"/>
  <c r="C22" i="20"/>
  <c r="F21" i="20"/>
  <c r="H21" i="20"/>
  <c r="F23" i="20"/>
  <c r="E20" i="20"/>
  <c r="D36" i="19"/>
  <c r="C37" i="19"/>
  <c r="G37" i="19"/>
  <c r="B38" i="19"/>
  <c r="E39" i="19"/>
  <c r="D40" i="19"/>
  <c r="H40" i="19"/>
  <c r="G41" i="19"/>
  <c r="B36" i="19"/>
  <c r="G36" i="19"/>
  <c r="C38" i="19"/>
  <c r="H38" i="19"/>
  <c r="F39" i="19"/>
  <c r="F41" i="19"/>
  <c r="C36" i="19"/>
  <c r="H31" i="19" s="1"/>
  <c r="F37" i="19"/>
  <c r="B39" i="19"/>
  <c r="G39" i="19"/>
  <c r="E40" i="19"/>
  <c r="H41" i="19"/>
  <c r="E36" i="19"/>
  <c r="B37" i="19"/>
  <c r="F40" i="19"/>
  <c r="D41" i="19"/>
  <c r="H37" i="19"/>
  <c r="F36" i="19"/>
  <c r="H33" i="19" s="1"/>
  <c r="D37" i="19"/>
  <c r="G40" i="19"/>
  <c r="C39" i="19"/>
  <c r="G38" i="19"/>
  <c r="D39" i="19"/>
  <c r="M67" i="20"/>
  <c r="Q67" i="20"/>
  <c r="P68" i="20"/>
  <c r="O69" i="20"/>
  <c r="N70" i="20"/>
  <c r="R70" i="20"/>
  <c r="M71" i="20"/>
  <c r="Q71" i="20"/>
  <c r="O72" i="20"/>
  <c r="M73" i="20"/>
  <c r="Q73" i="20"/>
  <c r="O67" i="20"/>
  <c r="M68" i="20"/>
  <c r="R68" i="20"/>
  <c r="P69" i="20"/>
  <c r="M70" i="20"/>
  <c r="P67" i="20"/>
  <c r="N68" i="20"/>
  <c r="Q69" i="20"/>
  <c r="O70" i="20"/>
  <c r="R71" i="20"/>
  <c r="Q72" i="20"/>
  <c r="P73" i="20"/>
  <c r="R67" i="20"/>
  <c r="O68" i="20"/>
  <c r="M69" i="20"/>
  <c r="P71" i="20"/>
  <c r="R72" i="20"/>
  <c r="Q68" i="20"/>
  <c r="N69" i="20"/>
  <c r="M72" i="20"/>
  <c r="N73" i="20"/>
  <c r="R69" i="20"/>
  <c r="P70" i="20"/>
  <c r="N71" i="20"/>
  <c r="N72" i="20"/>
  <c r="O73" i="20"/>
  <c r="N67" i="20"/>
  <c r="S64" i="20" s="1"/>
  <c r="Q70" i="20"/>
  <c r="P72" i="20"/>
  <c r="R73" i="20"/>
  <c r="O71" i="20"/>
  <c r="K48" i="15"/>
  <c r="K49" i="15"/>
  <c r="K50" i="15"/>
  <c r="V36" i="25"/>
  <c r="Z36" i="25"/>
  <c r="W37" i="25"/>
  <c r="X38" i="25"/>
  <c r="Y39" i="25"/>
  <c r="W36" i="25"/>
  <c r="Z37" i="25"/>
  <c r="Y38" i="25"/>
  <c r="W39" i="25"/>
  <c r="X36" i="25"/>
  <c r="V37" i="25"/>
  <c r="Z39" i="25"/>
  <c r="Y36" i="25"/>
  <c r="AA33" i="25" s="1"/>
  <c r="X37" i="25"/>
  <c r="V38" i="25"/>
  <c r="W38" i="25"/>
  <c r="Z38" i="25"/>
  <c r="V39" i="25"/>
  <c r="Y37" i="25"/>
  <c r="X39" i="25"/>
  <c r="G14" i="15"/>
  <c r="G13" i="15"/>
  <c r="G15" i="15"/>
  <c r="D68" i="20"/>
  <c r="B70" i="20"/>
  <c r="F67" i="20"/>
  <c r="B71" i="20"/>
  <c r="E68" i="20"/>
  <c r="E70" i="20"/>
  <c r="H71" i="20"/>
  <c r="D71" i="20"/>
  <c r="H70" i="20"/>
  <c r="H67" i="20"/>
  <c r="E69" i="20"/>
  <c r="M36" i="20"/>
  <c r="Q36" i="20"/>
  <c r="N37" i="20"/>
  <c r="R37" i="20"/>
  <c r="O38" i="20"/>
  <c r="P39" i="20"/>
  <c r="M40" i="20"/>
  <c r="Q40" i="20"/>
  <c r="R36" i="20"/>
  <c r="S35" i="20" s="1"/>
  <c r="P37" i="20"/>
  <c r="N38" i="20"/>
  <c r="M39" i="20"/>
  <c r="R39" i="20"/>
  <c r="P40" i="20"/>
  <c r="N36" i="20"/>
  <c r="Q37" i="20"/>
  <c r="P38" i="20"/>
  <c r="N39" i="20"/>
  <c r="R40" i="20"/>
  <c r="M37" i="20"/>
  <c r="Q38" i="20"/>
  <c r="O36" i="20"/>
  <c r="O37" i="20"/>
  <c r="R38" i="20"/>
  <c r="P36" i="20"/>
  <c r="O39" i="20"/>
  <c r="N40" i="20"/>
  <c r="Q39" i="20"/>
  <c r="O40" i="20"/>
  <c r="M38" i="20"/>
  <c r="M83" i="24"/>
  <c r="Q83" i="24"/>
  <c r="P84" i="24"/>
  <c r="N86" i="24"/>
  <c r="R86" i="24"/>
  <c r="M87" i="24"/>
  <c r="O83" i="24"/>
  <c r="M84" i="24"/>
  <c r="R84" i="24"/>
  <c r="M86" i="24"/>
  <c r="P87" i="24"/>
  <c r="P83" i="24"/>
  <c r="Q85" i="24"/>
  <c r="O86" i="24"/>
  <c r="R87" i="24"/>
  <c r="M85" i="24"/>
  <c r="P86" i="24"/>
  <c r="N87" i="24"/>
  <c r="Q86" i="24"/>
  <c r="Q84" i="24"/>
  <c r="O87" i="24"/>
  <c r="O84" i="24"/>
  <c r="R85" i="24"/>
  <c r="G132" i="24"/>
  <c r="D133" i="24"/>
  <c r="D136" i="24"/>
  <c r="F136" i="24"/>
  <c r="N117" i="20"/>
  <c r="R117" i="20"/>
  <c r="P121" i="20"/>
  <c r="R118" i="20"/>
  <c r="O119" i="20"/>
  <c r="P117" i="20"/>
  <c r="O115" i="20"/>
  <c r="Q117" i="20"/>
  <c r="R116" i="20"/>
  <c r="Q121" i="20"/>
  <c r="M117" i="20"/>
  <c r="Q120" i="20"/>
  <c r="AA30" i="25"/>
  <c r="H65" i="19"/>
  <c r="AI30" i="25"/>
  <c r="S127" i="19"/>
  <c r="S126" i="19"/>
  <c r="S62" i="20"/>
  <c r="S66" i="20"/>
  <c r="S61" i="20"/>
  <c r="S65" i="20"/>
  <c r="S129" i="25"/>
  <c r="S126" i="25"/>
  <c r="S128" i="25"/>
  <c r="S110" i="25"/>
  <c r="S114" i="25"/>
  <c r="H113" i="20"/>
  <c r="H35" i="19"/>
  <c r="S15" i="20"/>
  <c r="S14" i="20"/>
  <c r="K28" i="10"/>
  <c r="K12" i="10"/>
  <c r="D4" i="26"/>
  <c r="C39" i="29" s="1"/>
  <c r="K39" i="29"/>
  <c r="H39" i="29"/>
  <c r="I39" i="29"/>
  <c r="M9" i="27"/>
  <c r="N4" i="26" s="1"/>
  <c r="O39" i="29"/>
  <c r="F39" i="29"/>
  <c r="N9" i="27"/>
  <c r="O4" i="26" s="1"/>
  <c r="N39" i="29" s="1"/>
  <c r="L9" i="27"/>
  <c r="M4" i="26"/>
  <c r="J39" i="29"/>
  <c r="S31" i="20"/>
  <c r="H18" i="25"/>
  <c r="H14" i="25"/>
  <c r="H114" i="19"/>
  <c r="H113" i="19"/>
  <c r="H111" i="19"/>
  <c r="M84" i="25"/>
  <c r="N87" i="25"/>
  <c r="N85" i="25"/>
  <c r="O84" i="25"/>
  <c r="R84" i="25"/>
  <c r="M85" i="25"/>
  <c r="O85" i="25"/>
  <c r="N83" i="25"/>
  <c r="O86" i="25"/>
  <c r="Q86" i="25"/>
  <c r="R86" i="25"/>
  <c r="M87" i="25"/>
  <c r="P86" i="25"/>
  <c r="R83" i="25"/>
  <c r="R87" i="25"/>
  <c r="O87" i="25"/>
  <c r="P83" i="25"/>
  <c r="N86" i="25"/>
  <c r="Q87" i="25"/>
  <c r="F13" i="15"/>
  <c r="F15" i="15"/>
  <c r="AD36" i="20" a="1"/>
  <c r="V36" i="20" a="1"/>
  <c r="H34" i="25"/>
  <c r="D134" i="24"/>
  <c r="B135" i="24"/>
  <c r="F132" i="24"/>
  <c r="H24" i="20"/>
  <c r="G24" i="20"/>
  <c r="S19" i="20"/>
  <c r="S127" i="25"/>
  <c r="S130" i="25"/>
  <c r="S128" i="24"/>
  <c r="S129" i="24"/>
  <c r="P87" i="25"/>
  <c r="O83" i="25"/>
  <c r="Q84" i="25"/>
  <c r="N132" i="20"/>
  <c r="P134" i="20"/>
  <c r="M132" i="20"/>
  <c r="P132" i="20"/>
  <c r="Q132" i="20"/>
  <c r="P131" i="20"/>
  <c r="Q131" i="20"/>
  <c r="N135" i="20"/>
  <c r="R132" i="20"/>
  <c r="M131" i="20"/>
  <c r="P135" i="20"/>
  <c r="N133" i="20"/>
  <c r="R134" i="20"/>
  <c r="M134" i="20"/>
  <c r="O131" i="20"/>
  <c r="R131" i="20"/>
  <c r="Q135" i="20"/>
  <c r="P133" i="20"/>
  <c r="M133" i="20"/>
  <c r="O133" i="20"/>
  <c r="N131" i="20"/>
  <c r="M135" i="20"/>
  <c r="R116" i="19"/>
  <c r="O119" i="19"/>
  <c r="M115" i="19"/>
  <c r="Q118" i="19"/>
  <c r="R121" i="19"/>
  <c r="M118" i="19"/>
  <c r="N121" i="19"/>
  <c r="Q121" i="19"/>
  <c r="N118" i="19"/>
  <c r="M116" i="19"/>
  <c r="M117" i="19"/>
  <c r="Q120" i="19"/>
  <c r="N117" i="19"/>
  <c r="N115" i="19"/>
  <c r="P119" i="19"/>
  <c r="R119" i="19"/>
  <c r="P120" i="19"/>
  <c r="P121" i="19"/>
  <c r="Q117" i="19"/>
  <c r="O121" i="19"/>
  <c r="N119" i="19"/>
  <c r="Q116" i="19"/>
  <c r="O120" i="19"/>
  <c r="R117" i="19"/>
  <c r="O118" i="19"/>
  <c r="P115" i="19"/>
  <c r="S110" i="19" s="1"/>
  <c r="P115" i="20"/>
  <c r="M118" i="20"/>
  <c r="R120" i="20"/>
  <c r="O117" i="20"/>
  <c r="N121" i="20"/>
  <c r="P118" i="20"/>
  <c r="P116" i="20"/>
  <c r="O121" i="20"/>
  <c r="N119" i="20"/>
  <c r="Q119" i="20"/>
  <c r="R115" i="20"/>
  <c r="Q118" i="20"/>
  <c r="N115" i="20"/>
  <c r="O120" i="20"/>
  <c r="R119" i="20"/>
  <c r="M119" i="20"/>
  <c r="N118" i="20"/>
  <c r="M116" i="20"/>
  <c r="O116" i="20"/>
  <c r="P119" i="20"/>
  <c r="Q116" i="20"/>
  <c r="M115" i="20"/>
  <c r="M121" i="20"/>
  <c r="M120" i="20"/>
  <c r="P120" i="20"/>
  <c r="O118" i="20"/>
  <c r="C132" i="24"/>
  <c r="E134" i="24"/>
  <c r="G136" i="24"/>
  <c r="B134" i="24"/>
  <c r="H136" i="24"/>
  <c r="H134" i="24"/>
  <c r="H132" i="24"/>
  <c r="E136" i="24"/>
  <c r="F135" i="24"/>
  <c r="E133" i="24"/>
  <c r="B133" i="24"/>
  <c r="C136" i="24"/>
  <c r="G134" i="24"/>
  <c r="E132" i="24"/>
  <c r="F131" i="24"/>
  <c r="B132" i="24"/>
  <c r="B131" i="24"/>
  <c r="G131" i="24"/>
  <c r="D131" i="24"/>
  <c r="F133" i="24"/>
  <c r="C131" i="24"/>
  <c r="E135" i="24"/>
  <c r="G133" i="24"/>
  <c r="H133" i="24"/>
  <c r="C133" i="24"/>
  <c r="D132" i="24"/>
  <c r="H31" i="25"/>
  <c r="G135" i="24"/>
  <c r="C135" i="24"/>
  <c r="E131" i="24"/>
  <c r="H135" i="24"/>
  <c r="F14" i="15"/>
  <c r="M86" i="25"/>
  <c r="P84" i="25"/>
  <c r="H64" i="19"/>
  <c r="H63" i="19"/>
  <c r="H111" i="20"/>
  <c r="H126" i="25"/>
  <c r="B20" i="20"/>
  <c r="D22" i="20"/>
  <c r="F24" i="20"/>
  <c r="B23" i="20"/>
  <c r="H20" i="20"/>
  <c r="H23" i="20"/>
  <c r="D23" i="20"/>
  <c r="D24" i="20"/>
  <c r="D21" i="20"/>
  <c r="C21" i="20"/>
  <c r="B24" i="20"/>
  <c r="G23" i="20"/>
  <c r="E22" i="20"/>
  <c r="F22" i="20"/>
  <c r="D20" i="20"/>
  <c r="B22" i="20"/>
  <c r="G21" i="20"/>
  <c r="G20" i="20"/>
  <c r="E24" i="20"/>
  <c r="C23" i="20"/>
  <c r="C24" i="20"/>
  <c r="B21" i="20"/>
  <c r="M36" i="19" a="1"/>
  <c r="M20" i="19" a="1"/>
  <c r="H32" i="19"/>
  <c r="H128" i="25"/>
  <c r="H109" i="20"/>
  <c r="S77" i="19"/>
  <c r="S125" i="25"/>
  <c r="S126" i="24"/>
  <c r="R121" i="20"/>
  <c r="Q115" i="20"/>
  <c r="N116" i="20"/>
  <c r="N120" i="20"/>
  <c r="F134" i="24"/>
  <c r="C134" i="24"/>
  <c r="B136" i="24"/>
  <c r="D135" i="24"/>
  <c r="AA31" i="25"/>
  <c r="AA34" i="25"/>
  <c r="G22" i="20"/>
  <c r="C20" i="20"/>
  <c r="H22" i="20"/>
  <c r="H16" i="25"/>
  <c r="P117" i="19"/>
  <c r="R118" i="19"/>
  <c r="P116" i="19"/>
  <c r="N116" i="19"/>
  <c r="Q83" i="25"/>
  <c r="R85" i="25"/>
  <c r="M83" i="25"/>
  <c r="AI33" i="25"/>
  <c r="Q134" i="20"/>
  <c r="Q133" i="20"/>
  <c r="P25" i="25"/>
  <c r="R21" i="25"/>
  <c r="R24" i="25"/>
  <c r="M26" i="25"/>
  <c r="O24" i="25"/>
  <c r="R23" i="25"/>
  <c r="R20" i="25"/>
  <c r="N133" i="24"/>
  <c r="P135" i="24"/>
  <c r="M133" i="24"/>
  <c r="Q132" i="24"/>
  <c r="R132" i="24"/>
  <c r="N132" i="24"/>
  <c r="Q135" i="24"/>
  <c r="O85" i="24"/>
  <c r="Q87" i="24"/>
  <c r="P85" i="24"/>
  <c r="N84" i="24"/>
  <c r="R83" i="24"/>
  <c r="N83" i="24"/>
  <c r="N85" i="24"/>
  <c r="AG21" i="20"/>
  <c r="AF24" i="20"/>
  <c r="AE24" i="20"/>
  <c r="AH23" i="20"/>
  <c r="AE20" i="20"/>
  <c r="AI18" i="20"/>
  <c r="AD23" i="20"/>
  <c r="B29" i="9"/>
  <c r="E28" i="9"/>
  <c r="J14" i="17"/>
  <c r="J15" i="17"/>
  <c r="J16" i="17"/>
  <c r="H16" i="17"/>
  <c r="H14" i="17"/>
  <c r="R85" i="16"/>
  <c r="R86" i="16"/>
  <c r="R84" i="16"/>
  <c r="E85" i="16"/>
  <c r="E84" i="16"/>
  <c r="E86" i="16"/>
  <c r="Q50" i="16"/>
  <c r="Q49" i="16"/>
  <c r="M49" i="16"/>
  <c r="M48" i="16"/>
  <c r="M50" i="16"/>
  <c r="K48" i="16"/>
  <c r="K50" i="16"/>
  <c r="K49" i="16"/>
  <c r="I49" i="16"/>
  <c r="I50" i="16"/>
  <c r="B50" i="16"/>
  <c r="B48" i="16"/>
  <c r="B49" i="16"/>
  <c r="E44" i="15"/>
  <c r="E43" i="15" s="1"/>
  <c r="I9" i="15"/>
  <c r="I8" i="15" s="1"/>
  <c r="I13" i="15" s="1"/>
  <c r="B8" i="15"/>
  <c r="B115" i="24" a="1"/>
  <c r="M115" i="24" a="1"/>
  <c r="B36" i="24" a="1"/>
  <c r="B67" i="25" a="1"/>
  <c r="F69" i="25" s="1"/>
  <c r="M67" i="25" a="1"/>
  <c r="S32" i="20"/>
  <c r="AA32" i="25"/>
  <c r="Q24" i="25"/>
  <c r="P26" i="25"/>
  <c r="M22" i="25"/>
  <c r="N21" i="25"/>
  <c r="Q22" i="25"/>
  <c r="M24" i="25"/>
  <c r="R26" i="25"/>
  <c r="R22" i="25"/>
  <c r="M68" i="24"/>
  <c r="N71" i="24"/>
  <c r="R73" i="24"/>
  <c r="N70" i="24"/>
  <c r="M67" i="24"/>
  <c r="P71" i="24"/>
  <c r="R69" i="24"/>
  <c r="P67" i="24"/>
  <c r="S65" i="24" s="1"/>
  <c r="Q69" i="24"/>
  <c r="P73" i="24"/>
  <c r="H68" i="20"/>
  <c r="F70" i="20"/>
  <c r="F69" i="20"/>
  <c r="B67" i="20"/>
  <c r="H69" i="20"/>
  <c r="C67" i="20"/>
  <c r="B68" i="20"/>
  <c r="F68" i="20"/>
  <c r="G68" i="20"/>
  <c r="N85" i="20"/>
  <c r="P87" i="20"/>
  <c r="R86" i="20"/>
  <c r="R84" i="20"/>
  <c r="R83" i="20"/>
  <c r="M83" i="20"/>
  <c r="S82" i="20" s="1"/>
  <c r="Q87" i="20"/>
  <c r="H36" i="19"/>
  <c r="F38" i="19"/>
  <c r="C41" i="19"/>
  <c r="E37" i="19"/>
  <c r="C40" i="19"/>
  <c r="D38" i="19"/>
  <c r="B41" i="19"/>
  <c r="H39" i="19"/>
  <c r="E38" i="19"/>
  <c r="E41" i="19"/>
  <c r="B40" i="19"/>
  <c r="W31" i="9"/>
  <c r="Z31" i="9"/>
  <c r="AI31" i="9"/>
  <c r="H31" i="9"/>
  <c r="AC31" i="9"/>
  <c r="X71" i="9" s="1"/>
  <c r="K31" i="9"/>
  <c r="AL31" i="9"/>
  <c r="Q31" i="9"/>
  <c r="AF31" i="9"/>
  <c r="AO31" i="9"/>
  <c r="H27" i="9"/>
  <c r="W27" i="9"/>
  <c r="AI27" i="9"/>
  <c r="AF27" i="9"/>
  <c r="T27" i="9"/>
  <c r="AC27" i="9"/>
  <c r="AL27" i="9"/>
  <c r="AR27" i="9"/>
  <c r="Z27" i="9"/>
  <c r="Q27" i="9"/>
  <c r="AL23" i="9"/>
  <c r="AO23" i="9"/>
  <c r="AR23" i="9"/>
  <c r="Z23" i="9"/>
  <c r="W23" i="9"/>
  <c r="AI23" i="9"/>
  <c r="Q23" i="9"/>
  <c r="AC23" i="9"/>
  <c r="AL16" i="9"/>
  <c r="Q16" i="9"/>
  <c r="K16" i="9"/>
  <c r="T16" i="9"/>
  <c r="AF16" i="9"/>
  <c r="AC16" i="9"/>
  <c r="AO16" i="9"/>
  <c r="AR16" i="9"/>
  <c r="Z16" i="9"/>
  <c r="W16" i="9"/>
  <c r="AL6" i="9"/>
  <c r="AC6" i="9"/>
  <c r="AI6" i="9"/>
  <c r="AF6" i="9"/>
  <c r="K6" i="9"/>
  <c r="Z6" i="9"/>
  <c r="E29" i="9"/>
  <c r="F23" i="9" s="1"/>
  <c r="AO6" i="9"/>
  <c r="T6" i="9"/>
  <c r="H6" i="9"/>
  <c r="AR6" i="9"/>
  <c r="V20" i="20" a="1"/>
  <c r="Q36" i="24"/>
  <c r="S30" i="24" s="1"/>
  <c r="O37" i="24"/>
  <c r="N38" i="24"/>
  <c r="Q38" i="24"/>
  <c r="R39" i="24"/>
  <c r="O36" i="24"/>
  <c r="P38" i="24"/>
  <c r="R22" i="24"/>
  <c r="N20" i="24"/>
  <c r="P22" i="24"/>
  <c r="R23" i="24"/>
  <c r="O25" i="24"/>
  <c r="M21" i="24"/>
  <c r="M26" i="24"/>
  <c r="N22" i="24"/>
  <c r="Q25" i="24"/>
  <c r="Q22" i="24"/>
  <c r="N69" i="19"/>
  <c r="P71" i="19"/>
  <c r="Q67" i="19"/>
  <c r="M71" i="19"/>
  <c r="M67" i="19"/>
  <c r="P70" i="19"/>
  <c r="R73" i="19"/>
  <c r="N73" i="19"/>
  <c r="M68" i="19"/>
  <c r="O72" i="19"/>
  <c r="F18" i="16"/>
  <c r="F16" i="16"/>
  <c r="F17" i="16"/>
  <c r="H43" i="15"/>
  <c r="H49" i="15" s="1"/>
  <c r="H8" i="15"/>
  <c r="AI17" i="9"/>
  <c r="K17" i="9"/>
  <c r="AF17" i="9"/>
  <c r="AO17" i="9"/>
  <c r="AC17" i="9"/>
  <c r="T17" i="9"/>
  <c r="AR17" i="9"/>
  <c r="Z13" i="9"/>
  <c r="AR13" i="9"/>
  <c r="H13" i="9"/>
  <c r="K13" i="9"/>
  <c r="AI13" i="9"/>
  <c r="W13" i="9"/>
  <c r="T13" i="9"/>
  <c r="AF13" i="9"/>
  <c r="AF10" i="9"/>
  <c r="AC10" i="9"/>
  <c r="Q10" i="9"/>
  <c r="W10" i="9"/>
  <c r="H10" i="9"/>
  <c r="K10" i="9"/>
  <c r="AL10" i="9"/>
  <c r="AO10" i="9"/>
  <c r="T7" i="9"/>
  <c r="AR7" i="9"/>
  <c r="H7" i="9"/>
  <c r="AC7" i="9"/>
  <c r="Z7" i="9"/>
  <c r="AL7" i="9"/>
  <c r="Q7" i="9"/>
  <c r="L85" i="17"/>
  <c r="L86" i="17"/>
  <c r="I84" i="17"/>
  <c r="I85" i="17"/>
  <c r="E84" i="17"/>
  <c r="E85" i="17"/>
  <c r="AF14" i="9"/>
  <c r="AL20" i="9"/>
  <c r="W24" i="9"/>
  <c r="H24" i="9"/>
  <c r="Z24" i="9"/>
  <c r="K86" i="17"/>
  <c r="K84" i="17"/>
  <c r="K85" i="17"/>
  <c r="C46" i="17"/>
  <c r="C47" i="17"/>
  <c r="C48" i="17"/>
  <c r="R18" i="16"/>
  <c r="R17" i="16"/>
  <c r="B83" i="20" a="1"/>
  <c r="E83" i="20" s="1"/>
  <c r="B67" i="24" a="1"/>
  <c r="K32" i="9"/>
  <c r="AI32" i="9"/>
  <c r="Q20" i="9"/>
  <c r="H20" i="9"/>
  <c r="AI20" i="9"/>
  <c r="P84" i="16"/>
  <c r="P86" i="16"/>
  <c r="P85" i="16"/>
  <c r="R48" i="16"/>
  <c r="R50" i="16"/>
  <c r="G50" i="16"/>
  <c r="G48" i="16"/>
  <c r="M18" i="16"/>
  <c r="M16" i="16"/>
  <c r="M17" i="16"/>
  <c r="Y20" i="25"/>
  <c r="V21" i="25"/>
  <c r="Z22" i="25"/>
  <c r="Z20" i="25"/>
  <c r="X23" i="25"/>
  <c r="V24" i="25"/>
  <c r="Y23" i="25"/>
  <c r="Y21" i="25"/>
  <c r="X24" i="25"/>
  <c r="W22" i="25"/>
  <c r="B36" i="20" a="1"/>
  <c r="F36" i="20" s="1"/>
  <c r="AF18" i="9"/>
  <c r="T18" i="9"/>
  <c r="AL15" i="9"/>
  <c r="AO15" i="9"/>
  <c r="AR15" i="9"/>
  <c r="W15" i="9"/>
  <c r="K5" i="9"/>
  <c r="W5" i="9"/>
  <c r="Q5" i="9"/>
  <c r="K48" i="17"/>
  <c r="H46" i="17"/>
  <c r="H47" i="17"/>
  <c r="H48" i="17"/>
  <c r="D48" i="17"/>
  <c r="K16" i="17"/>
  <c r="G14" i="17"/>
  <c r="G15" i="17"/>
  <c r="G16" i="17"/>
  <c r="K84" i="16"/>
  <c r="K86" i="16"/>
  <c r="K85" i="16"/>
  <c r="L16" i="16"/>
  <c r="L18" i="16"/>
  <c r="D15" i="15"/>
  <c r="D13" i="15"/>
  <c r="D15" i="17"/>
  <c r="D14" i="17"/>
  <c r="Q85" i="16"/>
  <c r="Q86" i="16"/>
  <c r="Q84" i="16"/>
  <c r="F86" i="16"/>
  <c r="F84" i="16"/>
  <c r="H48" i="16"/>
  <c r="H49" i="16"/>
  <c r="H50" i="16"/>
  <c r="N18" i="16"/>
  <c r="N16" i="16"/>
  <c r="N17" i="16"/>
  <c r="J17" i="16"/>
  <c r="J16" i="16"/>
  <c r="H17" i="16"/>
  <c r="H18" i="16"/>
  <c r="B20" i="24" a="1"/>
  <c r="E22" i="24" s="1"/>
  <c r="B115" i="25" a="1"/>
  <c r="H116" i="25" s="1"/>
  <c r="H136" i="20"/>
  <c r="D136" i="20"/>
  <c r="G135" i="20"/>
  <c r="C135" i="20"/>
  <c r="F134" i="20"/>
  <c r="B134" i="20"/>
  <c r="E133" i="20"/>
  <c r="H132" i="20"/>
  <c r="D132" i="20"/>
  <c r="G131" i="20"/>
  <c r="I18" i="16"/>
  <c r="I16" i="16"/>
  <c r="AD20" i="25" a="1"/>
  <c r="B20" i="19" a="1"/>
  <c r="B23" i="19" s="1"/>
  <c r="C63" i="28"/>
  <c r="G82" i="2"/>
  <c r="T94" i="2"/>
  <c r="D123" i="28" s="1"/>
  <c r="G94" i="2"/>
  <c r="Q9" i="27"/>
  <c r="M39" i="29"/>
  <c r="AA23" i="9"/>
  <c r="M23" i="9"/>
  <c r="AP23" i="9"/>
  <c r="R23" i="9"/>
  <c r="U23" i="9"/>
  <c r="AG23" i="9"/>
  <c r="AS23" i="9"/>
  <c r="O23" i="9"/>
  <c r="X23" i="9"/>
  <c r="I14" i="15"/>
  <c r="I15" i="15"/>
  <c r="D37" i="20"/>
  <c r="B38" i="20"/>
  <c r="F39" i="20"/>
  <c r="B41" i="20"/>
  <c r="C36" i="20"/>
  <c r="C37" i="20"/>
  <c r="C40" i="20"/>
  <c r="C41" i="20"/>
  <c r="D36" i="20"/>
  <c r="F40" i="20"/>
  <c r="F41" i="20"/>
  <c r="C38" i="20"/>
  <c r="G36" i="20"/>
  <c r="E39" i="20"/>
  <c r="G40" i="20"/>
  <c r="E37" i="20"/>
  <c r="B40" i="20"/>
  <c r="F37" i="20"/>
  <c r="D39" i="20"/>
  <c r="H36" i="20"/>
  <c r="F38" i="20"/>
  <c r="G39" i="20"/>
  <c r="B36" i="20"/>
  <c r="H41" i="20"/>
  <c r="D67" i="25"/>
  <c r="B71" i="25"/>
  <c r="D68" i="25"/>
  <c r="B70" i="25"/>
  <c r="G68" i="25"/>
  <c r="G70" i="25"/>
  <c r="H71" i="25"/>
  <c r="C71" i="25"/>
  <c r="E68" i="25"/>
  <c r="D71" i="25"/>
  <c r="E70" i="25"/>
  <c r="C67" i="25"/>
  <c r="E69" i="25"/>
  <c r="C69" i="25"/>
  <c r="F67" i="25"/>
  <c r="E71" i="25"/>
  <c r="H70" i="25"/>
  <c r="F70" i="25"/>
  <c r="D69" i="25"/>
  <c r="B67" i="25"/>
  <c r="H68" i="25"/>
  <c r="E67" i="25"/>
  <c r="B68" i="25"/>
  <c r="B69" i="25"/>
  <c r="H67" i="25"/>
  <c r="D70" i="25"/>
  <c r="P36" i="19"/>
  <c r="M39" i="19"/>
  <c r="N37" i="19"/>
  <c r="R40" i="19"/>
  <c r="M38" i="19"/>
  <c r="O38" i="19"/>
  <c r="Q40" i="19"/>
  <c r="O36" i="19"/>
  <c r="N38" i="19"/>
  <c r="Q36" i="19"/>
  <c r="M36" i="19"/>
  <c r="N40" i="19"/>
  <c r="O40" i="19"/>
  <c r="M37" i="19"/>
  <c r="R38" i="19"/>
  <c r="Q38" i="19"/>
  <c r="R36" i="19"/>
  <c r="Q37" i="19"/>
  <c r="R37" i="19"/>
  <c r="O39" i="19"/>
  <c r="N36" i="19"/>
  <c r="O37" i="19"/>
  <c r="M40" i="19"/>
  <c r="R39" i="19"/>
  <c r="Q39" i="19"/>
  <c r="P37" i="19"/>
  <c r="P38" i="19"/>
  <c r="P40" i="19"/>
  <c r="P39" i="19"/>
  <c r="N39" i="19"/>
  <c r="S113" i="20"/>
  <c r="S110" i="20"/>
  <c r="S111" i="20"/>
  <c r="S112" i="20"/>
  <c r="S109" i="20"/>
  <c r="S114" i="20"/>
  <c r="D21" i="19"/>
  <c r="E22" i="19"/>
  <c r="G24" i="19"/>
  <c r="B20" i="19"/>
  <c r="H22" i="19"/>
  <c r="G23" i="19"/>
  <c r="F21" i="19"/>
  <c r="C23" i="19"/>
  <c r="G22" i="19"/>
  <c r="D24" i="19"/>
  <c r="H24" i="19"/>
  <c r="B22" i="19"/>
  <c r="B21" i="19"/>
  <c r="H115" i="24"/>
  <c r="G116" i="24"/>
  <c r="C118" i="24"/>
  <c r="B119" i="24"/>
  <c r="D115" i="24"/>
  <c r="C116" i="24"/>
  <c r="E117" i="24"/>
  <c r="G118" i="24"/>
  <c r="F119" i="24"/>
  <c r="C115" i="24"/>
  <c r="D117" i="24"/>
  <c r="D119" i="24"/>
  <c r="B116" i="24"/>
  <c r="H118" i="24"/>
  <c r="F116" i="24"/>
  <c r="G119" i="24"/>
  <c r="F117" i="24"/>
  <c r="E115" i="24"/>
  <c r="G117" i="24"/>
  <c r="B115" i="24"/>
  <c r="H117" i="24"/>
  <c r="D118" i="24"/>
  <c r="D116" i="24"/>
  <c r="B118" i="24"/>
  <c r="G115" i="24"/>
  <c r="E118" i="24"/>
  <c r="F115" i="24"/>
  <c r="H116" i="24"/>
  <c r="E116" i="24"/>
  <c r="C117" i="24"/>
  <c r="B117" i="24"/>
  <c r="F118" i="24"/>
  <c r="E119" i="24"/>
  <c r="C119" i="24"/>
  <c r="H119" i="24"/>
  <c r="E50" i="15"/>
  <c r="E49" i="15"/>
  <c r="E48" i="15"/>
  <c r="W28" i="9"/>
  <c r="AI28" i="9"/>
  <c r="AR28" i="9"/>
  <c r="AO28" i="9"/>
  <c r="AL28" i="9"/>
  <c r="H28" i="9"/>
  <c r="Z28" i="9"/>
  <c r="K28" i="9"/>
  <c r="Q28" i="9"/>
  <c r="T28" i="9"/>
  <c r="F28" i="9"/>
  <c r="AC28" i="9"/>
  <c r="AF28" i="9"/>
  <c r="S78" i="25"/>
  <c r="S79" i="25"/>
  <c r="S81" i="25"/>
  <c r="S82" i="25"/>
  <c r="S77" i="25"/>
  <c r="S80" i="25"/>
  <c r="AF23" i="25"/>
  <c r="AE24" i="25"/>
  <c r="AD21" i="25"/>
  <c r="AF20" i="25"/>
  <c r="AF24" i="25"/>
  <c r="AF22" i="25"/>
  <c r="AE20" i="25"/>
  <c r="AG20" i="25"/>
  <c r="AI18" i="25" s="1"/>
  <c r="AG21" i="25"/>
  <c r="AH22" i="25"/>
  <c r="AD20" i="25"/>
  <c r="AG23" i="25"/>
  <c r="AH21" i="25"/>
  <c r="AF21" i="25"/>
  <c r="AE22" i="25"/>
  <c r="AH24" i="25"/>
  <c r="AG24" i="25"/>
  <c r="AH23" i="25"/>
  <c r="AH20" i="25"/>
  <c r="AG22" i="25"/>
  <c r="AD23" i="25"/>
  <c r="AD24" i="25"/>
  <c r="AE23" i="25"/>
  <c r="AE21" i="25"/>
  <c r="AD22" i="25"/>
  <c r="D21" i="24"/>
  <c r="H21" i="24"/>
  <c r="C24" i="24"/>
  <c r="G24" i="24"/>
  <c r="C22" i="24"/>
  <c r="D23" i="24"/>
  <c r="B22" i="24"/>
  <c r="C23" i="24"/>
  <c r="H22" i="24"/>
  <c r="F24" i="24"/>
  <c r="H24" i="24"/>
  <c r="G23" i="24"/>
  <c r="D22" i="24"/>
  <c r="H50" i="15"/>
  <c r="Y22" i="20"/>
  <c r="V24" i="20"/>
  <c r="V21" i="20"/>
  <c r="Y24" i="20"/>
  <c r="V22" i="20"/>
  <c r="X22" i="20"/>
  <c r="Z24" i="20"/>
  <c r="Z21" i="20"/>
  <c r="X20" i="20"/>
  <c r="W24" i="20"/>
  <c r="Y21" i="20"/>
  <c r="W22" i="20"/>
  <c r="Z20" i="20"/>
  <c r="X23" i="20"/>
  <c r="X21" i="20"/>
  <c r="Y20" i="20"/>
  <c r="W21" i="20"/>
  <c r="Z22" i="20"/>
  <c r="X24" i="20"/>
  <c r="S81" i="20"/>
  <c r="S77" i="20"/>
  <c r="S78" i="20"/>
  <c r="S79" i="20"/>
  <c r="S80" i="20"/>
  <c r="B15" i="15"/>
  <c r="B14" i="15"/>
  <c r="B13" i="15"/>
  <c r="C23" i="9"/>
  <c r="C4" i="9"/>
  <c r="C22" i="9"/>
  <c r="C27" i="9"/>
  <c r="C6" i="9"/>
  <c r="C14" i="9"/>
  <c r="C7" i="9"/>
  <c r="C12" i="9"/>
  <c r="C10" i="9"/>
  <c r="C36" i="9"/>
  <c r="C9" i="9"/>
  <c r="C5" i="9"/>
  <c r="C15" i="9"/>
  <c r="C25" i="9"/>
  <c r="C24" i="9"/>
  <c r="C13" i="9"/>
  <c r="C11" i="9"/>
  <c r="C21" i="9"/>
  <c r="C19" i="9"/>
  <c r="C20" i="9"/>
  <c r="C28" i="9"/>
  <c r="C18" i="9"/>
  <c r="C16" i="9"/>
  <c r="C8" i="9"/>
  <c r="C26" i="9"/>
  <c r="C17" i="9"/>
  <c r="AI17" i="20"/>
  <c r="S64" i="24"/>
  <c r="AI16" i="20"/>
  <c r="S111" i="19"/>
  <c r="B84" i="20"/>
  <c r="F84" i="20"/>
  <c r="C85" i="20"/>
  <c r="D86" i="20"/>
  <c r="H86" i="20"/>
  <c r="E87" i="20"/>
  <c r="F88" i="20"/>
  <c r="C83" i="20"/>
  <c r="H83" i="20"/>
  <c r="E85" i="20"/>
  <c r="C86" i="20"/>
  <c r="B87" i="20"/>
  <c r="E88" i="20"/>
  <c r="G83" i="20"/>
  <c r="H84" i="20"/>
  <c r="G86" i="20"/>
  <c r="H87" i="20"/>
  <c r="H88" i="20"/>
  <c r="C84" i="20"/>
  <c r="B85" i="20"/>
  <c r="B86" i="20"/>
  <c r="C88" i="20"/>
  <c r="F83" i="20"/>
  <c r="F85" i="20"/>
  <c r="D84" i="20"/>
  <c r="E86" i="20"/>
  <c r="D88" i="20"/>
  <c r="D87" i="20"/>
  <c r="E84" i="20"/>
  <c r="G88" i="20"/>
  <c r="F86" i="20"/>
  <c r="S15" i="24"/>
  <c r="S14" i="24"/>
  <c r="S17" i="24"/>
  <c r="S16" i="24"/>
  <c r="S18" i="24"/>
  <c r="F10" i="9"/>
  <c r="F11" i="9"/>
  <c r="AS11" i="9" s="1"/>
  <c r="F5" i="9"/>
  <c r="F16" i="9"/>
  <c r="F4" i="9"/>
  <c r="F19" i="9"/>
  <c r="U19" i="9" s="1"/>
  <c r="F27" i="9"/>
  <c r="F14" i="9"/>
  <c r="F26" i="9"/>
  <c r="F12" i="9"/>
  <c r="O12" i="9" s="1"/>
  <c r="F21" i="9"/>
  <c r="F22" i="9"/>
  <c r="F18" i="9"/>
  <c r="F20" i="9"/>
  <c r="X20" i="9" s="1"/>
  <c r="F7" i="9"/>
  <c r="F25" i="9"/>
  <c r="F8" i="9"/>
  <c r="F13" i="9"/>
  <c r="U13" i="9" s="1"/>
  <c r="F9" i="9"/>
  <c r="F24" i="9"/>
  <c r="F15" i="9"/>
  <c r="F17" i="9"/>
  <c r="M17" i="9" s="1"/>
  <c r="L39" i="29"/>
  <c r="O117" i="24"/>
  <c r="Q119" i="24"/>
  <c r="P115" i="24"/>
  <c r="R119" i="24"/>
  <c r="N117" i="24"/>
  <c r="N115" i="24"/>
  <c r="M120" i="24"/>
  <c r="P120" i="24"/>
  <c r="R116" i="24"/>
  <c r="O115" i="24"/>
  <c r="M115" i="24"/>
  <c r="R118" i="24"/>
  <c r="Q121" i="24"/>
  <c r="Q120" i="24"/>
  <c r="P119" i="24"/>
  <c r="Q118" i="24"/>
  <c r="Q116" i="24"/>
  <c r="O119" i="24"/>
  <c r="Q115" i="24"/>
  <c r="M119" i="24"/>
  <c r="N116" i="24"/>
  <c r="P121" i="24"/>
  <c r="R120" i="24"/>
  <c r="N121" i="24"/>
  <c r="N119" i="24"/>
  <c r="R121" i="24"/>
  <c r="O120" i="24"/>
  <c r="M116" i="24"/>
  <c r="R115" i="24"/>
  <c r="R117" i="24"/>
  <c r="M121" i="24"/>
  <c r="P118" i="24"/>
  <c r="M118" i="24"/>
  <c r="N120" i="24"/>
  <c r="P116" i="24"/>
  <c r="Q117" i="24"/>
  <c r="O116" i="24"/>
  <c r="O121" i="24"/>
  <c r="O118" i="24"/>
  <c r="P117" i="24"/>
  <c r="M117" i="24"/>
  <c r="N118" i="24"/>
  <c r="AI15" i="20"/>
  <c r="AF37" i="20"/>
  <c r="AH36" i="20"/>
  <c r="AH37" i="20"/>
  <c r="AH38" i="20"/>
  <c r="AF39" i="20"/>
  <c r="AG38" i="20"/>
  <c r="AE38" i="20"/>
  <c r="AD37" i="20"/>
  <c r="AD38" i="20"/>
  <c r="AD39" i="20"/>
  <c r="AD36" i="20"/>
  <c r="AF36" i="20"/>
  <c r="AG39" i="20"/>
  <c r="AF38" i="20"/>
  <c r="AE36" i="20"/>
  <c r="AE39" i="20"/>
  <c r="AH39" i="20"/>
  <c r="AE37" i="20"/>
  <c r="AG37" i="20"/>
  <c r="AG36" i="20"/>
  <c r="H18" i="29"/>
  <c r="G115" i="25"/>
  <c r="D116" i="25"/>
  <c r="B118" i="25"/>
  <c r="F118" i="25"/>
  <c r="C119" i="25"/>
  <c r="B116" i="25"/>
  <c r="F116" i="25"/>
  <c r="G117" i="25"/>
  <c r="H118" i="25"/>
  <c r="D115" i="25"/>
  <c r="E116" i="25"/>
  <c r="H119" i="25"/>
  <c r="F115" i="25"/>
  <c r="B117" i="25"/>
  <c r="D117" i="25"/>
  <c r="B119" i="25"/>
  <c r="B115" i="25"/>
  <c r="G116" i="25"/>
  <c r="C116" i="25"/>
  <c r="F119" i="25"/>
  <c r="AA16" i="25"/>
  <c r="AA17" i="25"/>
  <c r="AA15" i="25"/>
  <c r="AA14" i="25"/>
  <c r="AA18" i="25"/>
  <c r="D67" i="24"/>
  <c r="H67" i="24"/>
  <c r="E68" i="24"/>
  <c r="B69" i="24"/>
  <c r="F69" i="24"/>
  <c r="C70" i="24"/>
  <c r="G70" i="24"/>
  <c r="D71" i="24"/>
  <c r="H71" i="24"/>
  <c r="B67" i="24"/>
  <c r="F67" i="24"/>
  <c r="C68" i="24"/>
  <c r="G68" i="24"/>
  <c r="D69" i="24"/>
  <c r="H69" i="24"/>
  <c r="E70" i="24"/>
  <c r="B71" i="24"/>
  <c r="F71" i="24"/>
  <c r="E67" i="24"/>
  <c r="F68" i="24"/>
  <c r="G69" i="24"/>
  <c r="H70" i="24"/>
  <c r="B68" i="24"/>
  <c r="E69" i="24"/>
  <c r="C71" i="24"/>
  <c r="D68" i="24"/>
  <c r="B70" i="24"/>
  <c r="E71" i="24"/>
  <c r="H68" i="24"/>
  <c r="G71" i="24"/>
  <c r="C69" i="24"/>
  <c r="F70" i="24"/>
  <c r="C67" i="24"/>
  <c r="G67" i="24"/>
  <c r="D70" i="24"/>
  <c r="H14" i="15"/>
  <c r="H15" i="15"/>
  <c r="H13" i="15"/>
  <c r="S32" i="24"/>
  <c r="S31" i="24"/>
  <c r="S33" i="24"/>
  <c r="F6" i="9"/>
  <c r="M69" i="25"/>
  <c r="M72" i="25"/>
  <c r="O68" i="25"/>
  <c r="R71" i="25"/>
  <c r="N69" i="25"/>
  <c r="Q69" i="25"/>
  <c r="O73" i="25"/>
  <c r="M71" i="25"/>
  <c r="N70" i="25"/>
  <c r="M67" i="25"/>
  <c r="Q71" i="25"/>
  <c r="P69" i="25"/>
  <c r="Q68" i="25"/>
  <c r="P73" i="25"/>
  <c r="O67" i="25"/>
  <c r="O71" i="25"/>
  <c r="O70" i="25"/>
  <c r="P71" i="25"/>
  <c r="O69" i="25"/>
  <c r="P68" i="25"/>
  <c r="O72" i="25"/>
  <c r="N68" i="25"/>
  <c r="Q72" i="25"/>
  <c r="R72" i="25"/>
  <c r="P72" i="25"/>
  <c r="Q70" i="25"/>
  <c r="R70" i="25"/>
  <c r="M70" i="25"/>
  <c r="R68" i="25"/>
  <c r="Q73" i="25"/>
  <c r="M73" i="25"/>
  <c r="N73" i="25"/>
  <c r="P70" i="25"/>
  <c r="R67" i="25"/>
  <c r="N67" i="25"/>
  <c r="N71" i="25"/>
  <c r="Q67" i="25"/>
  <c r="S62" i="25" s="1"/>
  <c r="R73" i="25"/>
  <c r="N72" i="25"/>
  <c r="R69" i="25"/>
  <c r="M68" i="25"/>
  <c r="P67" i="25"/>
  <c r="D38" i="24"/>
  <c r="B40" i="24"/>
  <c r="C37" i="24"/>
  <c r="G40" i="24"/>
  <c r="B38" i="24"/>
  <c r="H40" i="24"/>
  <c r="H39" i="24"/>
  <c r="F37" i="24"/>
  <c r="F39" i="24"/>
  <c r="E38" i="24"/>
  <c r="B36" i="24"/>
  <c r="C39" i="24"/>
  <c r="E36" i="24"/>
  <c r="D41" i="24"/>
  <c r="E39" i="24"/>
  <c r="B37" i="24"/>
  <c r="C38" i="24"/>
  <c r="G37" i="24"/>
  <c r="F36" i="24"/>
  <c r="G39" i="24"/>
  <c r="H37" i="24"/>
  <c r="G36" i="24"/>
  <c r="C40" i="24"/>
  <c r="E40" i="24"/>
  <c r="G41" i="24"/>
  <c r="B39" i="24"/>
  <c r="H38" i="24"/>
  <c r="D39" i="24"/>
  <c r="D36" i="24"/>
  <c r="B41" i="24"/>
  <c r="F40" i="24"/>
  <c r="D37" i="24"/>
  <c r="C41" i="24"/>
  <c r="H41" i="24"/>
  <c r="E41" i="24"/>
  <c r="G38" i="24"/>
  <c r="H36" i="24"/>
  <c r="D40" i="24"/>
  <c r="E37" i="24"/>
  <c r="F38" i="24"/>
  <c r="F41" i="24"/>
  <c r="C36" i="24"/>
  <c r="S78" i="24"/>
  <c r="S77" i="24"/>
  <c r="S81" i="24"/>
  <c r="S80" i="24"/>
  <c r="S82" i="24"/>
  <c r="S79" i="24"/>
  <c r="S19" i="24"/>
  <c r="AI14" i="20"/>
  <c r="O22" i="19"/>
  <c r="Q24" i="19"/>
  <c r="N20" i="19"/>
  <c r="P24" i="19"/>
  <c r="O21" i="19"/>
  <c r="Q25" i="19"/>
  <c r="N24" i="19"/>
  <c r="M22" i="19"/>
  <c r="Q22" i="19"/>
  <c r="R22" i="19"/>
  <c r="M20" i="19"/>
  <c r="R23" i="19"/>
  <c r="Q26" i="19"/>
  <c r="P25" i="19"/>
  <c r="P23" i="19"/>
  <c r="Q23" i="19"/>
  <c r="O24" i="19"/>
  <c r="R20" i="19"/>
  <c r="Q20" i="19"/>
  <c r="M24" i="19"/>
  <c r="N21" i="19"/>
  <c r="O26" i="19"/>
  <c r="R24" i="19"/>
  <c r="R25" i="19"/>
  <c r="N26" i="19"/>
  <c r="M21" i="19"/>
  <c r="M26" i="19"/>
  <c r="P22" i="19"/>
  <c r="R21" i="19"/>
  <c r="N25" i="19"/>
  <c r="P21" i="19"/>
  <c r="N22" i="19"/>
  <c r="P26" i="19"/>
  <c r="P20" i="19"/>
  <c r="N23" i="19"/>
  <c r="O23" i="19"/>
  <c r="Q21" i="19"/>
  <c r="M25" i="19"/>
  <c r="O20" i="19"/>
  <c r="R26" i="19"/>
  <c r="M23" i="19"/>
  <c r="O25" i="19"/>
  <c r="H18" i="20"/>
  <c r="H16" i="20"/>
  <c r="H19" i="20"/>
  <c r="H15" i="20"/>
  <c r="H14" i="20"/>
  <c r="H17" i="20"/>
  <c r="H128" i="24"/>
  <c r="H127" i="24"/>
  <c r="H130" i="24"/>
  <c r="H125" i="24"/>
  <c r="H126" i="24"/>
  <c r="H129" i="24"/>
  <c r="S130" i="20"/>
  <c r="S127" i="20"/>
  <c r="S129" i="20"/>
  <c r="S126" i="20"/>
  <c r="S125" i="20"/>
  <c r="S128" i="20"/>
  <c r="S34" i="24"/>
  <c r="X36" i="20"/>
  <c r="W39" i="20"/>
  <c r="Z39" i="20"/>
  <c r="V39" i="20"/>
  <c r="V37" i="20"/>
  <c r="Z38" i="20"/>
  <c r="V36" i="20"/>
  <c r="X39" i="20"/>
  <c r="W37" i="20"/>
  <c r="Z36" i="20"/>
  <c r="Z37" i="20"/>
  <c r="Y39" i="20"/>
  <c r="X37" i="20"/>
  <c r="Y38" i="20"/>
  <c r="W38" i="20"/>
  <c r="W36" i="20"/>
  <c r="Y37" i="20"/>
  <c r="X38" i="20"/>
  <c r="V38" i="20"/>
  <c r="Y36" i="20"/>
  <c r="S66" i="24"/>
  <c r="S114" i="19"/>
  <c r="S113" i="19"/>
  <c r="E39" i="29"/>
  <c r="R4" i="26"/>
  <c r="Q39" i="29" s="1"/>
  <c r="S63" i="25"/>
  <c r="S66" i="25"/>
  <c r="S64" i="25"/>
  <c r="S61" i="25"/>
  <c r="H62" i="24"/>
  <c r="H65" i="24"/>
  <c r="H61" i="24"/>
  <c r="AM22" i="9"/>
  <c r="AP22" i="9"/>
  <c r="AA22" i="9"/>
  <c r="AS22" i="9"/>
  <c r="U22" i="9"/>
  <c r="X22" i="9"/>
  <c r="AD22" i="9"/>
  <c r="M22" i="9"/>
  <c r="AJ22" i="9"/>
  <c r="S110" i="24"/>
  <c r="S112" i="24"/>
  <c r="S114" i="24"/>
  <c r="S109" i="24"/>
  <c r="R9" i="9"/>
  <c r="AS9" i="9"/>
  <c r="AD9" i="9"/>
  <c r="AG9" i="9"/>
  <c r="U9" i="9"/>
  <c r="X9" i="9"/>
  <c r="M9" i="9"/>
  <c r="AA9" i="9"/>
  <c r="AJ9" i="9"/>
  <c r="AM9" i="9"/>
  <c r="O9" i="9"/>
  <c r="AP9" i="9"/>
  <c r="AA21" i="9"/>
  <c r="X21" i="9"/>
  <c r="AD21" i="9"/>
  <c r="O21" i="9"/>
  <c r="AM21" i="9"/>
  <c r="R21" i="9"/>
  <c r="M21" i="9"/>
  <c r="U21" i="9"/>
  <c r="AJ21" i="9"/>
  <c r="AP21" i="9"/>
  <c r="AS21" i="9"/>
  <c r="AG21" i="9"/>
  <c r="AD5" i="9"/>
  <c r="AM5" i="9"/>
  <c r="AS5" i="9"/>
  <c r="U5" i="9"/>
  <c r="AA5" i="9"/>
  <c r="AJ5" i="9"/>
  <c r="R5" i="9"/>
  <c r="M5" i="9"/>
  <c r="AP5" i="9"/>
  <c r="O5" i="9"/>
  <c r="X5" i="9"/>
  <c r="AG5" i="9"/>
  <c r="AI14" i="25"/>
  <c r="AI16" i="25"/>
  <c r="AI15" i="25"/>
  <c r="AI17" i="25"/>
  <c r="H30" i="24"/>
  <c r="H31" i="24"/>
  <c r="H32" i="24"/>
  <c r="H33" i="24"/>
  <c r="AJ6" i="9"/>
  <c r="O6" i="9"/>
  <c r="AS6" i="9"/>
  <c r="AG6" i="9"/>
  <c r="M6" i="9"/>
  <c r="AA6" i="9"/>
  <c r="U6" i="9"/>
  <c r="X6" i="9"/>
  <c r="R6" i="9"/>
  <c r="AP6" i="9"/>
  <c r="AM6" i="9"/>
  <c r="AD6" i="9"/>
  <c r="AP17" i="9"/>
  <c r="AJ17" i="9"/>
  <c r="R17" i="9"/>
  <c r="AG17" i="9"/>
  <c r="AM17" i="9"/>
  <c r="X17" i="9"/>
  <c r="AA17" i="9"/>
  <c r="AD17" i="9"/>
  <c r="U17" i="9"/>
  <c r="AS13" i="9"/>
  <c r="O13" i="9"/>
  <c r="X13" i="9"/>
  <c r="R13" i="9"/>
  <c r="M13" i="9"/>
  <c r="AJ13" i="9"/>
  <c r="AM13" i="9"/>
  <c r="AD13" i="9"/>
  <c r="AA13" i="9"/>
  <c r="AA20" i="9"/>
  <c r="AP20" i="9"/>
  <c r="U20" i="9"/>
  <c r="M20" i="9"/>
  <c r="AD20" i="9"/>
  <c r="AG20" i="9"/>
  <c r="AJ20" i="9"/>
  <c r="AM20" i="9"/>
  <c r="O20" i="9"/>
  <c r="R12" i="9"/>
  <c r="AP12" i="9"/>
  <c r="AD12" i="9"/>
  <c r="AJ12" i="9"/>
  <c r="X12" i="9"/>
  <c r="AG12" i="9"/>
  <c r="U12" i="9"/>
  <c r="AA12" i="9"/>
  <c r="AS12" i="9"/>
  <c r="AG19" i="9"/>
  <c r="M19" i="9"/>
  <c r="AM19" i="9"/>
  <c r="X19" i="9"/>
  <c r="R19" i="9"/>
  <c r="AP19" i="9"/>
  <c r="AS19" i="9"/>
  <c r="O19" i="9"/>
  <c r="AD19" i="9"/>
  <c r="AP11" i="9"/>
  <c r="AD11" i="9"/>
  <c r="AJ11" i="9"/>
  <c r="AM11" i="9"/>
  <c r="M11" i="9"/>
  <c r="R11" i="9"/>
  <c r="O11" i="9"/>
  <c r="X11" i="9"/>
  <c r="U11" i="9"/>
  <c r="B71" i="9"/>
  <c r="B45" i="9"/>
  <c r="E54" i="9" s="1"/>
  <c r="E58" i="9" s="1"/>
  <c r="E56" i="9"/>
  <c r="E59" i="9" s="1"/>
  <c r="C29" i="9"/>
  <c r="AS28" i="9"/>
  <c r="AD28" i="9"/>
  <c r="X28" i="9"/>
  <c r="AA28" i="9"/>
  <c r="M28" i="9"/>
  <c r="O28" i="9"/>
  <c r="U28" i="9"/>
  <c r="AM28" i="9"/>
  <c r="AJ28" i="9"/>
  <c r="R28" i="9"/>
  <c r="AG28" i="9"/>
  <c r="AP28" i="9"/>
  <c r="H109" i="24"/>
  <c r="H112" i="24"/>
  <c r="H113" i="24"/>
  <c r="H114" i="24"/>
  <c r="S35" i="19"/>
  <c r="S32" i="19"/>
  <c r="S34" i="19"/>
  <c r="S33" i="19"/>
  <c r="S31" i="19"/>
  <c r="AA30" i="20"/>
  <c r="AA31" i="20"/>
  <c r="AA34" i="20"/>
  <c r="AA33" i="20"/>
  <c r="S16" i="19"/>
  <c r="S15" i="19"/>
  <c r="S14" i="19"/>
  <c r="S19" i="19"/>
  <c r="S18" i="19"/>
  <c r="AI31" i="20"/>
  <c r="AI33" i="20"/>
  <c r="AI30" i="20"/>
  <c r="AI34" i="20"/>
  <c r="M24" i="9"/>
  <c r="AD24" i="9"/>
  <c r="R24" i="9"/>
  <c r="O24" i="9"/>
  <c r="AM24" i="9"/>
  <c r="X24" i="9"/>
  <c r="U24" i="9"/>
  <c r="AP24" i="9"/>
  <c r="AG24" i="9"/>
  <c r="AJ25" i="9"/>
  <c r="M25" i="9"/>
  <c r="AG25" i="9"/>
  <c r="O25" i="9"/>
  <c r="X25" i="9"/>
  <c r="AA25" i="9"/>
  <c r="AD25" i="9"/>
  <c r="AP25" i="9"/>
  <c r="AS25" i="9"/>
  <c r="AM14" i="9"/>
  <c r="U14" i="9"/>
  <c r="M14" i="9"/>
  <c r="AG14" i="9"/>
  <c r="AP14" i="9"/>
  <c r="AA14" i="9"/>
  <c r="AS14" i="9"/>
  <c r="R14" i="9"/>
  <c r="O14" i="9"/>
  <c r="AP16" i="9"/>
  <c r="AM16" i="9"/>
  <c r="O16" i="9"/>
  <c r="AS16" i="9"/>
  <c r="M16" i="9"/>
  <c r="AD16" i="9"/>
  <c r="U16" i="9"/>
  <c r="R16" i="9"/>
  <c r="AJ16" i="9"/>
  <c r="AM7" i="9"/>
  <c r="O7" i="9"/>
  <c r="AJ7" i="9"/>
  <c r="R7" i="9"/>
  <c r="X7" i="9"/>
  <c r="AS7" i="9"/>
  <c r="M7" i="9"/>
  <c r="AG7" i="9"/>
  <c r="AP7" i="9"/>
  <c r="AD7" i="9"/>
  <c r="AA7" i="9"/>
  <c r="U7" i="9"/>
  <c r="O27" i="9"/>
  <c r="X27" i="9"/>
  <c r="AA27" i="9"/>
  <c r="AJ27" i="9"/>
  <c r="M27" i="9"/>
  <c r="U27" i="9"/>
  <c r="AM27" i="9"/>
  <c r="AP27" i="9"/>
  <c r="AD27" i="9"/>
  <c r="AS27" i="9"/>
  <c r="R27" i="9"/>
  <c r="AG27" i="9"/>
  <c r="M15" i="9"/>
  <c r="AS15" i="9"/>
  <c r="AP15" i="9"/>
  <c r="AG15" i="9"/>
  <c r="AD15" i="9"/>
  <c r="AM15" i="9"/>
  <c r="R15" i="9"/>
  <c r="AJ15" i="9"/>
  <c r="U15" i="9"/>
  <c r="AA15" i="9"/>
  <c r="O15" i="9"/>
  <c r="X15" i="9"/>
  <c r="O8" i="9"/>
  <c r="AA8" i="9"/>
  <c r="AD8" i="9"/>
  <c r="X8" i="9"/>
  <c r="U8" i="9"/>
  <c r="AS8" i="9"/>
  <c r="AM8" i="9"/>
  <c r="AJ8" i="9"/>
  <c r="AP8" i="9"/>
  <c r="R8" i="9"/>
  <c r="AG8" i="9"/>
  <c r="M8" i="9"/>
  <c r="O18" i="9"/>
  <c r="AP18" i="9"/>
  <c r="AG18" i="9"/>
  <c r="AJ18" i="9"/>
  <c r="AM18" i="9"/>
  <c r="X18" i="9"/>
  <c r="AA18" i="9"/>
  <c r="U18" i="9"/>
  <c r="AS18" i="9"/>
  <c r="AD18" i="9"/>
  <c r="R18" i="9"/>
  <c r="M18" i="9"/>
  <c r="O26" i="9"/>
  <c r="AD26" i="9"/>
  <c r="AA26" i="9"/>
  <c r="AM26" i="9"/>
  <c r="U26" i="9"/>
  <c r="M26" i="9"/>
  <c r="AS26" i="9"/>
  <c r="R26" i="9"/>
  <c r="AJ26" i="9"/>
  <c r="AP26" i="9"/>
  <c r="AG26" i="9"/>
  <c r="X26" i="9"/>
  <c r="R4" i="9"/>
  <c r="AS4" i="9"/>
  <c r="AD4" i="9"/>
  <c r="X4" i="9"/>
  <c r="O4" i="9"/>
  <c r="F29" i="9"/>
  <c r="AG4" i="9"/>
  <c r="AA4" i="9"/>
  <c r="AJ4" i="9"/>
  <c r="M4" i="9"/>
  <c r="U4" i="9"/>
  <c r="AP4" i="9"/>
  <c r="AM4" i="9"/>
  <c r="X10" i="9"/>
  <c r="AG10" i="9"/>
  <c r="AJ10" i="9"/>
  <c r="O10" i="9"/>
  <c r="M10" i="9"/>
  <c r="R10" i="9"/>
  <c r="AS10" i="9"/>
  <c r="AA10" i="9"/>
  <c r="AM10" i="9"/>
  <c r="U10" i="9"/>
  <c r="AD10" i="9"/>
  <c r="AP10" i="9"/>
  <c r="D71" i="9"/>
  <c r="F71" i="9"/>
  <c r="W71" i="9"/>
  <c r="U71" i="9"/>
  <c r="Q71" i="9"/>
  <c r="H71" i="9"/>
  <c r="AC71" i="9"/>
  <c r="AA71" i="9"/>
  <c r="S71" i="9"/>
  <c r="M71" i="9"/>
  <c r="O71" i="9"/>
  <c r="Y71" i="9"/>
  <c r="B36" i="12"/>
  <c r="D3" i="7" l="1"/>
  <c r="O155" i="19"/>
  <c r="C9" i="19"/>
  <c r="E139" i="19" s="1"/>
  <c r="C50" i="28"/>
  <c r="B40" i="12"/>
  <c r="C8" i="14"/>
  <c r="M12" i="7"/>
  <c r="M13" i="7" s="1"/>
  <c r="C9" i="14"/>
  <c r="C10" i="14"/>
  <c r="B27" i="28"/>
  <c r="N12" i="7"/>
  <c r="N13" i="7" s="1"/>
  <c r="T83" i="2"/>
  <c r="D112" i="28" s="1"/>
  <c r="G83" i="2"/>
  <c r="G95" i="2"/>
  <c r="B29" i="3"/>
  <c r="D12" i="7"/>
  <c r="D13" i="7" s="1"/>
  <c r="C67" i="2"/>
  <c r="C61" i="28" s="1"/>
  <c r="F12" i="7"/>
  <c r="F13" i="7" s="1"/>
  <c r="O12" i="7"/>
  <c r="O13" i="7" s="1"/>
  <c r="L12" i="7"/>
  <c r="L13" i="7" s="1"/>
  <c r="C12" i="7"/>
  <c r="C13" i="7" s="1"/>
  <c r="C51" i="28"/>
  <c r="H12" i="7"/>
  <c r="H13" i="7" s="1"/>
  <c r="I12" i="7"/>
  <c r="I13" i="7" s="1"/>
  <c r="K12" i="7"/>
  <c r="K13" i="7" s="1"/>
  <c r="J12" i="7"/>
  <c r="J13" i="7" s="1"/>
  <c r="B21" i="3"/>
  <c r="B33" i="28"/>
  <c r="F31" i="2"/>
  <c r="C6" i="20"/>
  <c r="O156" i="20" s="1"/>
  <c r="O156" i="19"/>
  <c r="I18" i="2"/>
  <c r="D95" i="28" s="1"/>
  <c r="B59" i="4"/>
  <c r="B61" i="4" s="1"/>
  <c r="B65" i="4" s="1"/>
  <c r="S17" i="19"/>
  <c r="H63" i="24"/>
  <c r="H66" i="24"/>
  <c r="AA24" i="9"/>
  <c r="AS24" i="9"/>
  <c r="AJ24" i="9"/>
  <c r="R25" i="9"/>
  <c r="U25" i="9"/>
  <c r="U29" i="9" s="1"/>
  <c r="AM25" i="9"/>
  <c r="R22" i="9"/>
  <c r="AG22" i="9"/>
  <c r="O22" i="9"/>
  <c r="X14" i="9"/>
  <c r="AD14" i="9"/>
  <c r="AJ14" i="9"/>
  <c r="AJ29" i="9" s="1"/>
  <c r="G69" i="9" s="1"/>
  <c r="G29" i="9"/>
  <c r="AB69" i="9" s="1"/>
  <c r="X16" i="9"/>
  <c r="AG16" i="9"/>
  <c r="AA16" i="9"/>
  <c r="S30" i="19"/>
  <c r="H64" i="24"/>
  <c r="S65" i="25"/>
  <c r="AA32" i="20"/>
  <c r="H35" i="24"/>
  <c r="H34" i="24"/>
  <c r="AI32" i="20"/>
  <c r="S111" i="24"/>
  <c r="S113" i="24"/>
  <c r="H110" i="24"/>
  <c r="H111" i="24"/>
  <c r="H35" i="20"/>
  <c r="AA11" i="9"/>
  <c r="AA29" i="9" s="1"/>
  <c r="R69" i="9" s="1"/>
  <c r="AG11" i="9"/>
  <c r="AJ19" i="9"/>
  <c r="AA19" i="9"/>
  <c r="M12" i="9"/>
  <c r="M29" i="9" s="1"/>
  <c r="C69" i="9" s="1"/>
  <c r="AM12" i="9"/>
  <c r="AM29" i="9" s="1"/>
  <c r="R20" i="9"/>
  <c r="R29" i="9" s="1"/>
  <c r="N69" i="9" s="1"/>
  <c r="AS20" i="9"/>
  <c r="AP13" i="9"/>
  <c r="AP29" i="9" s="1"/>
  <c r="Z69" i="9" s="1"/>
  <c r="AG13" i="9"/>
  <c r="AS17" i="9"/>
  <c r="AS29" i="9" s="1"/>
  <c r="V69" i="9" s="1"/>
  <c r="O17" i="9"/>
  <c r="O29" i="9" s="1"/>
  <c r="C118" i="25"/>
  <c r="H115" i="25"/>
  <c r="F117" i="25"/>
  <c r="D118" i="25"/>
  <c r="E115" i="25"/>
  <c r="H48" i="15"/>
  <c r="B24" i="24"/>
  <c r="E23" i="24"/>
  <c r="E21" i="24"/>
  <c r="E24" i="24"/>
  <c r="F21" i="24"/>
  <c r="F23" i="24"/>
  <c r="C20" i="24"/>
  <c r="F20" i="19"/>
  <c r="D23" i="19"/>
  <c r="F24" i="19"/>
  <c r="H20" i="19"/>
  <c r="C22" i="19"/>
  <c r="F23" i="19"/>
  <c r="D20" i="19"/>
  <c r="H39" i="20"/>
  <c r="H40" i="20"/>
  <c r="G38" i="20"/>
  <c r="E40" i="20"/>
  <c r="B39" i="20"/>
  <c r="D38" i="20"/>
  <c r="D40" i="20"/>
  <c r="AD23" i="9"/>
  <c r="AM23" i="9"/>
  <c r="AJ23" i="9"/>
  <c r="C21" i="24"/>
  <c r="G21" i="24"/>
  <c r="D24" i="24"/>
  <c r="H23" i="24"/>
  <c r="B21" i="24"/>
  <c r="B24" i="19"/>
  <c r="E20" i="19"/>
  <c r="H23" i="19"/>
  <c r="C20" i="19"/>
  <c r="G20" i="19"/>
  <c r="H38" i="20"/>
  <c r="G41" i="20"/>
  <c r="C39" i="20"/>
  <c r="G37" i="20"/>
  <c r="E36" i="20"/>
  <c r="H37" i="20"/>
  <c r="D41" i="20"/>
  <c r="E38" i="20"/>
  <c r="B37" i="20"/>
  <c r="E41" i="20"/>
  <c r="H21" i="19"/>
  <c r="C24" i="19"/>
  <c r="E21" i="19"/>
  <c r="E24" i="19"/>
  <c r="D22" i="19"/>
  <c r="C21" i="19"/>
  <c r="G21" i="19"/>
  <c r="F22" i="19"/>
  <c r="E23" i="19"/>
  <c r="C115" i="25"/>
  <c r="H111" i="25" s="1"/>
  <c r="E117" i="25"/>
  <c r="G119" i="25"/>
  <c r="C117" i="25"/>
  <c r="E119" i="25"/>
  <c r="G118" i="25"/>
  <c r="E118" i="25"/>
  <c r="H117" i="25"/>
  <c r="D119" i="25"/>
  <c r="G20" i="24"/>
  <c r="B23" i="24"/>
  <c r="E20" i="24"/>
  <c r="G22" i="24"/>
  <c r="H20" i="24"/>
  <c r="B20" i="24"/>
  <c r="D20" i="24"/>
  <c r="F20" i="24"/>
  <c r="F22" i="24"/>
  <c r="W20" i="20"/>
  <c r="Y23" i="20"/>
  <c r="W23" i="20"/>
  <c r="Z23" i="20"/>
  <c r="V20" i="20"/>
  <c r="V23" i="20"/>
  <c r="S35" i="24"/>
  <c r="S61" i="24"/>
  <c r="S63" i="24"/>
  <c r="H30" i="25"/>
  <c r="S34" i="20"/>
  <c r="S30" i="20"/>
  <c r="H125" i="25"/>
  <c r="H110" i="20"/>
  <c r="S111" i="25"/>
  <c r="S79" i="19"/>
  <c r="AI34" i="25"/>
  <c r="H112" i="20"/>
  <c r="C85" i="25"/>
  <c r="E88" i="25"/>
  <c r="D88" i="25"/>
  <c r="H88" i="25"/>
  <c r="C83" i="25"/>
  <c r="B86" i="25"/>
  <c r="F87" i="25"/>
  <c r="E84" i="25"/>
  <c r="O23" i="25"/>
  <c r="P22" i="25"/>
  <c r="Q26" i="25"/>
  <c r="Q23" i="25"/>
  <c r="O21" i="25"/>
  <c r="P21" i="25"/>
  <c r="H127" i="25"/>
  <c r="H61" i="19"/>
  <c r="S109" i="19"/>
  <c r="S127" i="24"/>
  <c r="H35" i="25"/>
  <c r="H112" i="19"/>
  <c r="H19" i="25"/>
  <c r="S33" i="20"/>
  <c r="S112" i="19"/>
  <c r="H110" i="19"/>
  <c r="H30" i="19"/>
  <c r="H130" i="25"/>
  <c r="S109" i="25"/>
  <c r="S113" i="25"/>
  <c r="S128" i="19"/>
  <c r="S125" i="19"/>
  <c r="AI31" i="25"/>
  <c r="D69" i="20"/>
  <c r="D67" i="20"/>
  <c r="C71" i="20"/>
  <c r="G71" i="20"/>
  <c r="E71" i="20"/>
  <c r="S63" i="20"/>
  <c r="Q20" i="25"/>
  <c r="N25" i="25"/>
  <c r="R25" i="25"/>
  <c r="N26" i="25"/>
  <c r="P20" i="25"/>
  <c r="B85" i="25"/>
  <c r="D86" i="25"/>
  <c r="C87" i="25"/>
  <c r="H87" i="25"/>
  <c r="G88" i="25"/>
  <c r="E85" i="25"/>
  <c r="G86" i="25"/>
  <c r="D85" i="25"/>
  <c r="B87" i="25"/>
  <c r="G84" i="25"/>
  <c r="E87" i="25"/>
  <c r="D84" i="25"/>
  <c r="B88" i="25"/>
  <c r="G85" i="25"/>
  <c r="H84" i="25"/>
  <c r="C84" i="25"/>
  <c r="D87" i="25"/>
  <c r="G69" i="20"/>
  <c r="C68" i="20"/>
  <c r="G67" i="20"/>
  <c r="D85" i="20"/>
  <c r="D83" i="20"/>
  <c r="H82" i="20" s="1"/>
  <c r="F87" i="20"/>
  <c r="C87" i="20"/>
  <c r="B83" i="20"/>
  <c r="H85" i="20"/>
  <c r="G87" i="20"/>
  <c r="G84" i="20"/>
  <c r="B88" i="20"/>
  <c r="G85" i="20"/>
  <c r="C68" i="25"/>
  <c r="H69" i="25"/>
  <c r="G67" i="25"/>
  <c r="F71" i="25"/>
  <c r="G71" i="25"/>
  <c r="C70" i="25"/>
  <c r="F68" i="25"/>
  <c r="G69" i="25"/>
  <c r="Q25" i="25"/>
  <c r="M20" i="25"/>
  <c r="N22" i="25"/>
  <c r="H17" i="25"/>
  <c r="H66" i="19"/>
  <c r="S82" i="19"/>
  <c r="S16" i="20"/>
  <c r="H62" i="19"/>
  <c r="H34" i="19"/>
  <c r="S130" i="24"/>
  <c r="S17" i="20"/>
  <c r="S81" i="19"/>
  <c r="H32" i="25"/>
  <c r="C70" i="20"/>
  <c r="F71" i="20"/>
  <c r="G70" i="20"/>
  <c r="B69" i="20"/>
  <c r="D70" i="20"/>
  <c r="C69" i="20"/>
  <c r="O25" i="25"/>
  <c r="N24" i="25"/>
  <c r="N23" i="25"/>
  <c r="Q21" i="25"/>
  <c r="G87" i="25"/>
  <c r="E86" i="25"/>
  <c r="G83" i="25"/>
  <c r="E83" i="25"/>
  <c r="F85" i="25"/>
  <c r="H86" i="25"/>
  <c r="D83" i="25"/>
  <c r="H85" i="25"/>
  <c r="AF20" i="9"/>
  <c r="AC20" i="9"/>
  <c r="AR20" i="9"/>
  <c r="AO20" i="9"/>
  <c r="W20" i="9"/>
  <c r="AO13" i="9"/>
  <c r="AL13" i="9"/>
  <c r="H85" i="17"/>
  <c r="H86" i="17"/>
  <c r="D85" i="16"/>
  <c r="D86" i="16"/>
  <c r="D84" i="16"/>
  <c r="B83" i="19" a="1"/>
  <c r="W32" i="9"/>
  <c r="Q32" i="9"/>
  <c r="Z32" i="9"/>
  <c r="H26" i="9"/>
  <c r="AO26" i="9"/>
  <c r="Q26" i="9"/>
  <c r="AF26" i="9"/>
  <c r="AI26" i="9"/>
  <c r="AC26" i="9"/>
  <c r="Z26" i="9"/>
  <c r="W26" i="9"/>
  <c r="AF12" i="9"/>
  <c r="Z12" i="9"/>
  <c r="H12" i="9"/>
  <c r="AC12" i="9"/>
  <c r="Q12" i="9"/>
  <c r="Q29" i="9" s="1"/>
  <c r="T12" i="9"/>
  <c r="T29" i="9" s="1"/>
  <c r="K9" i="9"/>
  <c r="Z9" i="9"/>
  <c r="AI9" i="9"/>
  <c r="H9" i="9"/>
  <c r="AR9" i="9"/>
  <c r="AC5" i="9"/>
  <c r="AR5" i="9"/>
  <c r="AR29" i="9" s="1"/>
  <c r="AF5" i="9"/>
  <c r="AO5" i="9"/>
  <c r="J85" i="17"/>
  <c r="J84" i="17"/>
  <c r="G84" i="17"/>
  <c r="G85" i="17"/>
  <c r="L46" i="17"/>
  <c r="L48" i="17"/>
  <c r="F16" i="17"/>
  <c r="F14" i="17"/>
  <c r="I84" i="16"/>
  <c r="I86" i="16"/>
  <c r="L48" i="16"/>
  <c r="L50" i="16"/>
  <c r="D16" i="16"/>
  <c r="D18" i="16"/>
  <c r="D17" i="16"/>
  <c r="B86" i="28"/>
  <c r="I9" i="2"/>
  <c r="D86" i="28" s="1"/>
  <c r="R135" i="24"/>
  <c r="O135" i="24"/>
  <c r="Q133" i="24"/>
  <c r="P132" i="24"/>
  <c r="Q71" i="24"/>
  <c r="Q72" i="24"/>
  <c r="M72" i="24"/>
  <c r="O72" i="24"/>
  <c r="M73" i="24"/>
  <c r="N68" i="24"/>
  <c r="R71" i="24"/>
  <c r="O120" i="25"/>
  <c r="R116" i="25"/>
  <c r="O121" i="25"/>
  <c r="O119" i="25"/>
  <c r="R121" i="25"/>
  <c r="N118" i="25"/>
  <c r="Q121" i="25"/>
  <c r="R118" i="25"/>
  <c r="P121" i="25"/>
  <c r="Q118" i="25"/>
  <c r="R68" i="19"/>
  <c r="O67" i="19"/>
  <c r="S66" i="19" s="1"/>
  <c r="R70" i="19"/>
  <c r="N71" i="19"/>
  <c r="Q73" i="19"/>
  <c r="Q69" i="19"/>
  <c r="N72" i="19"/>
  <c r="T23" i="9"/>
  <c r="AI5" i="9"/>
  <c r="AC13" i="9"/>
  <c r="AF32" i="9"/>
  <c r="T20" i="9"/>
  <c r="T32" i="9"/>
  <c r="AF23" i="9"/>
  <c r="AL17" i="9"/>
  <c r="AO25" i="9"/>
  <c r="AL25" i="9"/>
  <c r="AF25" i="9"/>
  <c r="AL22" i="9"/>
  <c r="K22" i="9"/>
  <c r="T22" i="9"/>
  <c r="Q22" i="9"/>
  <c r="AL11" i="9"/>
  <c r="AO11" i="9"/>
  <c r="AI11" i="9"/>
  <c r="W11" i="9"/>
  <c r="W29" i="9" s="1"/>
  <c r="Z11" i="9"/>
  <c r="D47" i="17"/>
  <c r="K46" i="17"/>
  <c r="K47" i="17"/>
  <c r="M16" i="17"/>
  <c r="M15" i="17"/>
  <c r="L49" i="16"/>
  <c r="F49" i="16"/>
  <c r="F50" i="16"/>
  <c r="F48" i="16"/>
  <c r="P17" i="16"/>
  <c r="P16" i="16"/>
  <c r="F44" i="15"/>
  <c r="F43" i="15"/>
  <c r="E9" i="15"/>
  <c r="E8" i="15" s="1"/>
  <c r="AR32" i="9"/>
  <c r="AO32" i="9"/>
  <c r="AC32" i="9"/>
  <c r="H32" i="9"/>
  <c r="T31" i="9"/>
  <c r="AR31" i="9"/>
  <c r="AI14" i="9"/>
  <c r="Z14" i="9"/>
  <c r="H14" i="9"/>
  <c r="W14" i="9"/>
  <c r="AR14" i="9"/>
  <c r="T14" i="9"/>
  <c r="F46" i="17"/>
  <c r="F48" i="17"/>
  <c r="L15" i="17"/>
  <c r="L14" i="17"/>
  <c r="O84" i="16"/>
  <c r="O85" i="16"/>
  <c r="O86" i="16"/>
  <c r="J84" i="16"/>
  <c r="J86" i="16"/>
  <c r="C7" i="20"/>
  <c r="O157" i="20" s="1"/>
  <c r="O157" i="19"/>
  <c r="O154" i="19"/>
  <c r="C4" i="20"/>
  <c r="O154" i="20" s="1"/>
  <c r="F136" i="20"/>
  <c r="H135" i="20"/>
  <c r="B135" i="20"/>
  <c r="D134" i="20"/>
  <c r="F133" i="20"/>
  <c r="G132" i="20"/>
  <c r="B132" i="20"/>
  <c r="D131" i="20"/>
  <c r="H128" i="20" s="1"/>
  <c r="B18" i="16"/>
  <c r="J8" i="15"/>
  <c r="M18" i="27"/>
  <c r="M20" i="27" s="1"/>
  <c r="B9" i="27" s="1"/>
  <c r="H134" i="20"/>
  <c r="C134" i="20"/>
  <c r="D133" i="20"/>
  <c r="F132" i="20"/>
  <c r="H131" i="20"/>
  <c r="B131" i="20"/>
  <c r="J44" i="15"/>
  <c r="J43" i="15" s="1"/>
  <c r="D43" i="15"/>
  <c r="C131" i="20"/>
  <c r="B83" i="24" a="1"/>
  <c r="G12" i="7"/>
  <c r="G13" i="7" s="1"/>
  <c r="G39" i="29"/>
  <c r="G136" i="20"/>
  <c r="B136" i="20"/>
  <c r="D135" i="20"/>
  <c r="E134" i="20"/>
  <c r="G133" i="20"/>
  <c r="B133" i="20"/>
  <c r="C132" i="20"/>
  <c r="B131" i="19" a="1"/>
  <c r="M36" i="25" a="1"/>
  <c r="B13" i="4"/>
  <c r="F32" i="2"/>
  <c r="F33" i="2"/>
  <c r="B66" i="2"/>
  <c r="B62" i="2"/>
  <c r="B58" i="2"/>
  <c r="B54" i="28" s="1"/>
  <c r="B54" i="2"/>
  <c r="B50" i="2"/>
  <c r="B47" i="28" s="1"/>
  <c r="B65" i="2"/>
  <c r="B61" i="2"/>
  <c r="B57" i="28" s="1"/>
  <c r="B57" i="2"/>
  <c r="B53" i="28" s="1"/>
  <c r="B53" i="2"/>
  <c r="F30" i="2"/>
  <c r="D9" i="27"/>
  <c r="B64" i="2"/>
  <c r="B60" i="28" s="1"/>
  <c r="B60" i="2"/>
  <c r="B56" i="28" s="1"/>
  <c r="B56" i="2"/>
  <c r="B52" i="28" s="1"/>
  <c r="B52" i="2"/>
  <c r="B49" i="28" s="1"/>
  <c r="B15" i="26"/>
  <c r="F29" i="2"/>
  <c r="B47" i="2"/>
  <c r="B49" i="2"/>
  <c r="B63" i="2"/>
  <c r="B59" i="28" s="1"/>
  <c r="B59" i="2"/>
  <c r="B55" i="28" s="1"/>
  <c r="B55" i="2"/>
  <c r="B51" i="28" s="1"/>
  <c r="E92" i="19" l="1"/>
  <c r="E93" i="19"/>
  <c r="C9" i="20"/>
  <c r="E139" i="20" s="1"/>
  <c r="E47" i="19"/>
  <c r="O159" i="19"/>
  <c r="E141" i="19"/>
  <c r="E44" i="19"/>
  <c r="E45" i="19"/>
  <c r="E140" i="19"/>
  <c r="B22" i="12"/>
  <c r="B42" i="12" s="1"/>
  <c r="B63" i="4"/>
  <c r="B64" i="4"/>
  <c r="J48" i="15"/>
  <c r="J49" i="15"/>
  <c r="J50" i="15"/>
  <c r="P69" i="9"/>
  <c r="B56" i="9"/>
  <c r="B59" i="9" s="1"/>
  <c r="E15" i="15"/>
  <c r="E13" i="15"/>
  <c r="E14" i="15"/>
  <c r="C4" i="27"/>
  <c r="G4" i="27"/>
  <c r="K4" i="27"/>
  <c r="O4" i="27"/>
  <c r="E15" i="26"/>
  <c r="D50" i="29" s="1"/>
  <c r="I15" i="26"/>
  <c r="H50" i="29" s="1"/>
  <c r="M15" i="26"/>
  <c r="L50" i="29" s="1"/>
  <c r="Q15" i="26"/>
  <c r="P50" i="29" s="1"/>
  <c r="F34" i="2"/>
  <c r="D4" i="27"/>
  <c r="D7" i="27" s="1"/>
  <c r="H4" i="27"/>
  <c r="L4" i="27"/>
  <c r="P4" i="27"/>
  <c r="F15" i="26"/>
  <c r="E50" i="29" s="1"/>
  <c r="J15" i="26"/>
  <c r="I50" i="29" s="1"/>
  <c r="N15" i="26"/>
  <c r="M50" i="29" s="1"/>
  <c r="C15" i="26"/>
  <c r="B50" i="29" s="1"/>
  <c r="E4" i="27"/>
  <c r="I4" i="27"/>
  <c r="M4" i="27"/>
  <c r="B4" i="27"/>
  <c r="B7" i="27" s="1"/>
  <c r="G15" i="26"/>
  <c r="F50" i="29" s="1"/>
  <c r="K15" i="26"/>
  <c r="J50" i="29" s="1"/>
  <c r="O15" i="26"/>
  <c r="N50" i="29" s="1"/>
  <c r="F4" i="27"/>
  <c r="J4" i="27"/>
  <c r="N4" i="27"/>
  <c r="D15" i="26"/>
  <c r="C50" i="29" s="1"/>
  <c r="H15" i="26"/>
  <c r="L15" i="26"/>
  <c r="K50" i="29" s="1"/>
  <c r="P15" i="26"/>
  <c r="O50" i="29" s="1"/>
  <c r="F88" i="24"/>
  <c r="D85" i="24"/>
  <c r="F86" i="24"/>
  <c r="E87" i="24"/>
  <c r="C84" i="24"/>
  <c r="D87" i="24"/>
  <c r="H83" i="24"/>
  <c r="B87" i="24"/>
  <c r="E84" i="24"/>
  <c r="F85" i="24"/>
  <c r="C88" i="24"/>
  <c r="D88" i="24"/>
  <c r="B86" i="24"/>
  <c r="C85" i="24"/>
  <c r="B85" i="24"/>
  <c r="B88" i="24"/>
  <c r="F84" i="24"/>
  <c r="G87" i="24"/>
  <c r="C86" i="24"/>
  <c r="H87" i="24"/>
  <c r="H86" i="24"/>
  <c r="D83" i="24"/>
  <c r="H88" i="24"/>
  <c r="H85" i="24"/>
  <c r="G88" i="24"/>
  <c r="E85" i="24"/>
  <c r="E88" i="24"/>
  <c r="F87" i="24"/>
  <c r="B84" i="24"/>
  <c r="E83" i="24"/>
  <c r="C87" i="24"/>
  <c r="H84" i="24"/>
  <c r="F83" i="24"/>
  <c r="G86" i="24"/>
  <c r="C83" i="24"/>
  <c r="D86" i="24"/>
  <c r="B83" i="24"/>
  <c r="G83" i="24"/>
  <c r="E86" i="24"/>
  <c r="G85" i="24"/>
  <c r="D84" i="24"/>
  <c r="G84" i="24"/>
  <c r="J14" i="15"/>
  <c r="J13" i="15"/>
  <c r="J15" i="15"/>
  <c r="AI29" i="9"/>
  <c r="AF29" i="9"/>
  <c r="H29" i="9"/>
  <c r="I9" i="9" s="1"/>
  <c r="H64" i="20"/>
  <c r="H62" i="20"/>
  <c r="H61" i="20"/>
  <c r="H66" i="20"/>
  <c r="H65" i="20"/>
  <c r="H63" i="20"/>
  <c r="S18" i="25"/>
  <c r="S14" i="25"/>
  <c r="S19" i="25"/>
  <c r="S16" i="25"/>
  <c r="S15" i="25"/>
  <c r="S17" i="25"/>
  <c r="H30" i="20"/>
  <c r="H31" i="20"/>
  <c r="H34" i="20"/>
  <c r="H33" i="20"/>
  <c r="H32" i="20"/>
  <c r="H80" i="20"/>
  <c r="E83" i="19"/>
  <c r="H83" i="19"/>
  <c r="H84" i="19"/>
  <c r="H85" i="19"/>
  <c r="G86" i="19"/>
  <c r="H87" i="19"/>
  <c r="D83" i="19"/>
  <c r="E84" i="19"/>
  <c r="D85" i="19"/>
  <c r="C86" i="19"/>
  <c r="E87" i="19"/>
  <c r="E88" i="19"/>
  <c r="F83" i="19"/>
  <c r="G84" i="19"/>
  <c r="F85" i="19"/>
  <c r="F86" i="19"/>
  <c r="F87" i="19"/>
  <c r="G88" i="19"/>
  <c r="C85" i="19"/>
  <c r="B84" i="19"/>
  <c r="H86" i="19"/>
  <c r="F88" i="19"/>
  <c r="B86" i="19"/>
  <c r="C83" i="19"/>
  <c r="F84" i="19"/>
  <c r="C87" i="19"/>
  <c r="B83" i="19"/>
  <c r="B87" i="19"/>
  <c r="E85" i="19"/>
  <c r="G87" i="19"/>
  <c r="C84" i="19"/>
  <c r="D88" i="19"/>
  <c r="G83" i="19"/>
  <c r="D86" i="19"/>
  <c r="B88" i="19"/>
  <c r="C88" i="19"/>
  <c r="B85" i="19"/>
  <c r="G85" i="19"/>
  <c r="H88" i="19"/>
  <c r="D84" i="19"/>
  <c r="D87" i="19"/>
  <c r="E86" i="19"/>
  <c r="H18" i="24"/>
  <c r="H17" i="24"/>
  <c r="H16" i="24"/>
  <c r="H19" i="24"/>
  <c r="H14" i="24"/>
  <c r="H15" i="24"/>
  <c r="H15" i="19"/>
  <c r="H19" i="19"/>
  <c r="H18" i="19"/>
  <c r="H14" i="19"/>
  <c r="E46" i="19"/>
  <c r="H17" i="19"/>
  <c r="H16" i="19"/>
  <c r="AG29" i="9"/>
  <c r="AD29" i="9"/>
  <c r="X69" i="9" s="1"/>
  <c r="C131" i="19"/>
  <c r="H132" i="19"/>
  <c r="C134" i="19"/>
  <c r="G135" i="19"/>
  <c r="H131" i="19"/>
  <c r="F133" i="19"/>
  <c r="B135" i="19"/>
  <c r="D136" i="19"/>
  <c r="B131" i="19"/>
  <c r="G132" i="19"/>
  <c r="B134" i="19"/>
  <c r="C135" i="19"/>
  <c r="G136" i="19"/>
  <c r="G131" i="19"/>
  <c r="D133" i="19"/>
  <c r="G134" i="19"/>
  <c r="H135" i="19"/>
  <c r="E134" i="19"/>
  <c r="C133" i="19"/>
  <c r="E135" i="19"/>
  <c r="C132" i="19"/>
  <c r="H133" i="19"/>
  <c r="H136" i="19"/>
  <c r="E136" i="19"/>
  <c r="E132" i="19"/>
  <c r="B132" i="19"/>
  <c r="D134" i="19"/>
  <c r="F136" i="19"/>
  <c r="D132" i="19"/>
  <c r="D135" i="19"/>
  <c r="F135" i="19"/>
  <c r="E131" i="19"/>
  <c r="B136" i="19"/>
  <c r="F134" i="19"/>
  <c r="F132" i="19"/>
  <c r="D131" i="19"/>
  <c r="C136" i="19"/>
  <c r="G133" i="19"/>
  <c r="F131" i="19"/>
  <c r="E133" i="19"/>
  <c r="H134" i="19"/>
  <c r="B133" i="19"/>
  <c r="F49" i="15"/>
  <c r="F48" i="15"/>
  <c r="F50" i="15"/>
  <c r="I26" i="9"/>
  <c r="H3" i="4"/>
  <c r="K3" i="4"/>
  <c r="K18" i="29" s="1"/>
  <c r="O3" i="4"/>
  <c r="O18" i="29" s="1"/>
  <c r="D3" i="4"/>
  <c r="E18" i="29" s="1"/>
  <c r="L3" i="4"/>
  <c r="L18" i="29" s="1"/>
  <c r="P3" i="4"/>
  <c r="P18" i="29" s="1"/>
  <c r="E3" i="4"/>
  <c r="F18" i="29" s="1"/>
  <c r="A3" i="4"/>
  <c r="I3" i="4"/>
  <c r="I18" i="29" s="1"/>
  <c r="M3" i="4"/>
  <c r="M18" i="29" s="1"/>
  <c r="B3" i="4"/>
  <c r="C18" i="29" s="1"/>
  <c r="F3" i="4"/>
  <c r="G18" i="29" s="1"/>
  <c r="J3" i="4"/>
  <c r="J18" i="29" s="1"/>
  <c r="N3" i="4"/>
  <c r="N18" i="29" s="1"/>
  <c r="C3" i="4"/>
  <c r="D18" i="29" s="1"/>
  <c r="B46" i="28"/>
  <c r="E4" i="26"/>
  <c r="R9" i="27"/>
  <c r="D49" i="15"/>
  <c r="D48" i="15"/>
  <c r="D50" i="15"/>
  <c r="H127" i="20"/>
  <c r="H130" i="20"/>
  <c r="I14" i="9"/>
  <c r="AL29" i="9"/>
  <c r="AC29" i="9"/>
  <c r="Z29" i="9"/>
  <c r="H79" i="20"/>
  <c r="H77" i="20"/>
  <c r="H81" i="20"/>
  <c r="H78" i="20"/>
  <c r="H126" i="20"/>
  <c r="H112" i="25"/>
  <c r="H113" i="25"/>
  <c r="H109" i="25"/>
  <c r="H110" i="25"/>
  <c r="H114" i="25"/>
  <c r="X29" i="9"/>
  <c r="T69" i="9" s="1"/>
  <c r="Q37" i="25"/>
  <c r="R36" i="25"/>
  <c r="Q40" i="25"/>
  <c r="O36" i="25"/>
  <c r="N39" i="25"/>
  <c r="M37" i="25"/>
  <c r="M40" i="25"/>
  <c r="P39" i="25"/>
  <c r="Q39" i="25"/>
  <c r="P37" i="25"/>
  <c r="R39" i="25"/>
  <c r="R37" i="25"/>
  <c r="R40" i="25"/>
  <c r="N40" i="25"/>
  <c r="P40" i="25"/>
  <c r="M38" i="25"/>
  <c r="O40" i="25"/>
  <c r="P38" i="25"/>
  <c r="M36" i="25"/>
  <c r="P36" i="25"/>
  <c r="Q38" i="25"/>
  <c r="N36" i="25"/>
  <c r="O39" i="25"/>
  <c r="R38" i="25"/>
  <c r="N37" i="25"/>
  <c r="M39" i="25"/>
  <c r="Q36" i="25"/>
  <c r="N38" i="25"/>
  <c r="O37" i="25"/>
  <c r="O38" i="25"/>
  <c r="B67" i="2"/>
  <c r="B61" i="28" s="1"/>
  <c r="B8" i="12"/>
  <c r="D8" i="12" s="1"/>
  <c r="B50" i="28"/>
  <c r="B72" i="4"/>
  <c r="K132" i="4" s="1"/>
  <c r="B44" i="28"/>
  <c r="T96" i="2"/>
  <c r="D125" i="28" s="1"/>
  <c r="T84" i="2"/>
  <c r="D113" i="28" s="1"/>
  <c r="B58" i="28"/>
  <c r="B17" i="4"/>
  <c r="B21" i="4" s="1"/>
  <c r="B18" i="4"/>
  <c r="B22" i="4" s="1"/>
  <c r="C4" i="26"/>
  <c r="E91" i="19"/>
  <c r="S64" i="19"/>
  <c r="S63" i="19"/>
  <c r="S61" i="19"/>
  <c r="S62" i="19"/>
  <c r="S65" i="19"/>
  <c r="AO29" i="9"/>
  <c r="K29" i="9"/>
  <c r="I12" i="9"/>
  <c r="H79" i="25"/>
  <c r="H80" i="25"/>
  <c r="H77" i="25"/>
  <c r="H82" i="25"/>
  <c r="H81" i="25"/>
  <c r="H78" i="25"/>
  <c r="H66" i="25"/>
  <c r="H61" i="25"/>
  <c r="H63" i="25"/>
  <c r="H62" i="25"/>
  <c r="H64" i="25"/>
  <c r="H65" i="25"/>
  <c r="AA17" i="20"/>
  <c r="AA18" i="20"/>
  <c r="AA15" i="20"/>
  <c r="AA14" i="20"/>
  <c r="H129" i="20"/>
  <c r="H125" i="20"/>
  <c r="B49" i="9"/>
  <c r="K69" i="9"/>
  <c r="AA16" i="20"/>
  <c r="E94" i="20" l="1"/>
  <c r="E91" i="20"/>
  <c r="E142" i="20"/>
  <c r="E44" i="20"/>
  <c r="E140" i="20"/>
  <c r="E92" i="20"/>
  <c r="E45" i="20"/>
  <c r="E46" i="20"/>
  <c r="E47" i="20"/>
  <c r="E93" i="20"/>
  <c r="E141" i="20"/>
  <c r="O159" i="20"/>
  <c r="B48" i="19" a="1"/>
  <c r="E52" i="19" s="1"/>
  <c r="Q18" i="29"/>
  <c r="B10" i="27"/>
  <c r="D10" i="27"/>
  <c r="B26" i="4"/>
  <c r="B27" i="4" s="1"/>
  <c r="B67" i="4"/>
  <c r="B69" i="4" s="1"/>
  <c r="G19" i="2" s="1"/>
  <c r="B96" i="28" s="1"/>
  <c r="M10" i="27"/>
  <c r="M7" i="27"/>
  <c r="L10" i="27"/>
  <c r="L7" i="27"/>
  <c r="O7" i="27"/>
  <c r="O10" i="27"/>
  <c r="S32" i="25"/>
  <c r="S34" i="25"/>
  <c r="S33" i="25"/>
  <c r="S35" i="25"/>
  <c r="S30" i="25"/>
  <c r="S31" i="25"/>
  <c r="I6" i="9"/>
  <c r="I24" i="9"/>
  <c r="I27" i="9"/>
  <c r="I20" i="9"/>
  <c r="I13" i="9"/>
  <c r="I15" i="9"/>
  <c r="I16" i="9"/>
  <c r="I10" i="9"/>
  <c r="I22" i="9"/>
  <c r="I23" i="9"/>
  <c r="I11" i="9"/>
  <c r="I5" i="9"/>
  <c r="I4" i="9"/>
  <c r="I17" i="9"/>
  <c r="I28" i="9"/>
  <c r="I19" i="9"/>
  <c r="I25" i="9"/>
  <c r="I21" i="9"/>
  <c r="I8" i="9"/>
  <c r="I18" i="9"/>
  <c r="I7" i="9"/>
  <c r="N10" i="27"/>
  <c r="N7" i="27"/>
  <c r="I10" i="27"/>
  <c r="I7" i="27"/>
  <c r="H10" i="27"/>
  <c r="H7" i="27"/>
  <c r="K10" i="27"/>
  <c r="K7" i="27"/>
  <c r="A12" i="7"/>
  <c r="A13" i="7" s="1"/>
  <c r="B39" i="29"/>
  <c r="E12" i="7"/>
  <c r="E13" i="7" s="1"/>
  <c r="D39" i="29"/>
  <c r="B39" i="9"/>
  <c r="B43" i="9" s="1"/>
  <c r="B54" i="9" s="1"/>
  <c r="B58" i="9" s="1"/>
  <c r="E69" i="9"/>
  <c r="H79" i="19"/>
  <c r="H81" i="19"/>
  <c r="E94" i="19"/>
  <c r="B95" i="19" s="1" a="1"/>
  <c r="H77" i="19"/>
  <c r="H78" i="19"/>
  <c r="H82" i="19"/>
  <c r="H80" i="19"/>
  <c r="J10" i="27"/>
  <c r="J7" i="27"/>
  <c r="E10" i="27"/>
  <c r="E7" i="27"/>
  <c r="G10" i="27"/>
  <c r="Q4" i="27"/>
  <c r="G7" i="27"/>
  <c r="B76" i="2"/>
  <c r="B80" i="4"/>
  <c r="B18" i="29"/>
  <c r="A4" i="4"/>
  <c r="H126" i="19"/>
  <c r="H125" i="19"/>
  <c r="H129" i="19"/>
  <c r="H128" i="19"/>
  <c r="E142" i="19"/>
  <c r="B143" i="19" s="1" a="1"/>
  <c r="H130" i="19"/>
  <c r="H127" i="19"/>
  <c r="H80" i="24"/>
  <c r="H77" i="24"/>
  <c r="H82" i="24"/>
  <c r="H78" i="24"/>
  <c r="H79" i="24"/>
  <c r="H81" i="24"/>
  <c r="G50" i="29"/>
  <c r="R15" i="26"/>
  <c r="Q50" i="29" s="1"/>
  <c r="F7" i="27"/>
  <c r="F10" i="27"/>
  <c r="P7" i="27"/>
  <c r="P10" i="27"/>
  <c r="C7" i="27"/>
  <c r="C10" i="27"/>
  <c r="B143" i="20" l="1" a="1"/>
  <c r="B145" i="20" s="1"/>
  <c r="B48" i="20" a="1"/>
  <c r="C50" i="20" s="1"/>
  <c r="B95" i="20" a="1"/>
  <c r="D100" i="20" s="1"/>
  <c r="B50" i="19"/>
  <c r="B52" i="19"/>
  <c r="D53" i="19"/>
  <c r="C52" i="19"/>
  <c r="B53" i="19"/>
  <c r="E51" i="19"/>
  <c r="D51" i="19"/>
  <c r="E48" i="19"/>
  <c r="E53" i="19"/>
  <c r="B49" i="19"/>
  <c r="B48" i="19"/>
  <c r="C51" i="19"/>
  <c r="C49" i="19"/>
  <c r="B51" i="19"/>
  <c r="E50" i="19"/>
  <c r="C50" i="19"/>
  <c r="E49" i="19"/>
  <c r="D50" i="19"/>
  <c r="D52" i="19"/>
  <c r="C53" i="19"/>
  <c r="C48" i="19"/>
  <c r="D48" i="19"/>
  <c r="D49" i="19"/>
  <c r="C95" i="19"/>
  <c r="B96" i="19"/>
  <c r="D95" i="19"/>
  <c r="D96" i="19"/>
  <c r="C98" i="19"/>
  <c r="C100" i="19"/>
  <c r="C99" i="19"/>
  <c r="C96" i="19"/>
  <c r="C97" i="19"/>
  <c r="B99" i="19"/>
  <c r="E100" i="19"/>
  <c r="E97" i="19"/>
  <c r="B95" i="19"/>
  <c r="B98" i="19"/>
  <c r="D99" i="19"/>
  <c r="D97" i="19"/>
  <c r="E96" i="19"/>
  <c r="E98" i="19"/>
  <c r="D98" i="19"/>
  <c r="B97" i="19"/>
  <c r="E99" i="19"/>
  <c r="B100" i="19"/>
  <c r="E95" i="19"/>
  <c r="D100" i="19"/>
  <c r="B61" i="9"/>
  <c r="B69" i="9" s="1"/>
  <c r="D148" i="19"/>
  <c r="B148" i="19"/>
  <c r="B144" i="19"/>
  <c r="D147" i="19"/>
  <c r="C146" i="19"/>
  <c r="C148" i="19"/>
  <c r="C143" i="19"/>
  <c r="D144" i="19"/>
  <c r="E145" i="19"/>
  <c r="C147" i="19"/>
  <c r="D143" i="19"/>
  <c r="E147" i="19"/>
  <c r="E143" i="19"/>
  <c r="C145" i="19"/>
  <c r="B145" i="19"/>
  <c r="E144" i="19"/>
  <c r="D146" i="19"/>
  <c r="B146" i="19"/>
  <c r="E148" i="19"/>
  <c r="C144" i="19"/>
  <c r="B143" i="19"/>
  <c r="D145" i="19"/>
  <c r="E146" i="19"/>
  <c r="B147" i="19"/>
  <c r="B70" i="28"/>
  <c r="I29" i="9"/>
  <c r="Q7" i="27"/>
  <c r="Q10" i="27"/>
  <c r="B15" i="7"/>
  <c r="C76" i="2"/>
  <c r="G76" i="2" s="1"/>
  <c r="G84" i="2" s="1"/>
  <c r="H84" i="2" s="1"/>
  <c r="B30" i="7"/>
  <c r="D3" i="2" s="1"/>
  <c r="B29" i="7"/>
  <c r="D74" i="2" s="1"/>
  <c r="D32" i="4"/>
  <c r="B36" i="4"/>
  <c r="K133" i="4" s="1"/>
  <c r="B40" i="4"/>
  <c r="F32" i="4"/>
  <c r="B32" i="4"/>
  <c r="E33" i="4"/>
  <c r="C32" i="4"/>
  <c r="E32" i="4"/>
  <c r="B82" i="4"/>
  <c r="B85" i="4"/>
  <c r="B90" i="4"/>
  <c r="B88" i="4"/>
  <c r="B87" i="4"/>
  <c r="B92" i="4"/>
  <c r="H80" i="4"/>
  <c r="D47" i="2" s="1"/>
  <c r="B86" i="4"/>
  <c r="B91" i="4"/>
  <c r="L132" i="4"/>
  <c r="B74" i="4"/>
  <c r="G17" i="2" s="1"/>
  <c r="B94" i="28" s="1"/>
  <c r="F69" i="9"/>
  <c r="B144" i="20" l="1"/>
  <c r="B146" i="20"/>
  <c r="C146" i="20"/>
  <c r="E148" i="20"/>
  <c r="E143" i="20"/>
  <c r="D146" i="20"/>
  <c r="B147" i="20"/>
  <c r="D144" i="20"/>
  <c r="D143" i="20"/>
  <c r="B143" i="20"/>
  <c r="E145" i="20"/>
  <c r="C144" i="20"/>
  <c r="B148" i="20"/>
  <c r="C147" i="20"/>
  <c r="C143" i="20"/>
  <c r="D147" i="20"/>
  <c r="E146" i="20"/>
  <c r="D148" i="20"/>
  <c r="D145" i="20"/>
  <c r="E147" i="20"/>
  <c r="E144" i="20"/>
  <c r="C145" i="20"/>
  <c r="C148" i="20"/>
  <c r="D51" i="20"/>
  <c r="C53" i="20"/>
  <c r="D53" i="20"/>
  <c r="C49" i="20"/>
  <c r="D48" i="20"/>
  <c r="D49" i="20"/>
  <c r="B50" i="20"/>
  <c r="B53" i="20"/>
  <c r="E49" i="20"/>
  <c r="B51" i="20"/>
  <c r="E52" i="20"/>
  <c r="E53" i="20"/>
  <c r="B48" i="20"/>
  <c r="B52" i="20"/>
  <c r="E50" i="20"/>
  <c r="C51" i="20"/>
  <c r="E51" i="20"/>
  <c r="C48" i="20"/>
  <c r="D50" i="20"/>
  <c r="B49" i="20"/>
  <c r="C52" i="20"/>
  <c r="E48" i="20"/>
  <c r="D52" i="20"/>
  <c r="E97" i="20"/>
  <c r="E98" i="20"/>
  <c r="E96" i="20"/>
  <c r="D97" i="20"/>
  <c r="B95" i="20"/>
  <c r="D95" i="20"/>
  <c r="C96" i="20"/>
  <c r="C99" i="20"/>
  <c r="C98" i="20"/>
  <c r="C95" i="20"/>
  <c r="D98" i="20"/>
  <c r="B100" i="20"/>
  <c r="B97" i="20"/>
  <c r="B98" i="20"/>
  <c r="C100" i="20"/>
  <c r="B99" i="20"/>
  <c r="D96" i="20"/>
  <c r="B96" i="20"/>
  <c r="C97" i="20"/>
  <c r="E100" i="20"/>
  <c r="D99" i="20"/>
  <c r="E99" i="20"/>
  <c r="E95" i="20"/>
  <c r="F44" i="19"/>
  <c r="F45" i="19"/>
  <c r="D155" i="19"/>
  <c r="F47" i="19"/>
  <c r="F46" i="19"/>
  <c r="K131" i="4"/>
  <c r="I76" i="4"/>
  <c r="I77" i="4" s="1"/>
  <c r="F140" i="19"/>
  <c r="F139" i="19"/>
  <c r="D156" i="19"/>
  <c r="F142" i="19"/>
  <c r="F141" i="19"/>
  <c r="D154" i="19"/>
  <c r="F93" i="19"/>
  <c r="F91" i="19"/>
  <c r="F94" i="19"/>
  <c r="F92" i="19"/>
  <c r="T76" i="2"/>
  <c r="C70" i="28"/>
  <c r="T87" i="2"/>
  <c r="G87" i="2"/>
  <c r="G96" i="2" s="1"/>
  <c r="H96" i="2" s="1"/>
  <c r="D69" i="9"/>
  <c r="W69" i="9"/>
  <c r="O69" i="9"/>
  <c r="AC69" i="9"/>
  <c r="H69" i="9"/>
  <c r="S69" i="9"/>
  <c r="AA69" i="9"/>
  <c r="M69" i="9"/>
  <c r="Q69" i="9"/>
  <c r="Y69" i="9"/>
  <c r="U69" i="9"/>
  <c r="D38" i="2"/>
  <c r="D42" i="2"/>
  <c r="D46" i="2"/>
  <c r="D35" i="2"/>
  <c r="D39" i="2"/>
  <c r="D43" i="2"/>
  <c r="D36" i="2"/>
  <c r="D40" i="2"/>
  <c r="D44" i="2"/>
  <c r="D37" i="2"/>
  <c r="D41" i="2"/>
  <c r="D45" i="2"/>
  <c r="D34" i="2"/>
  <c r="B78" i="2"/>
  <c r="M122" i="4"/>
  <c r="B41" i="7"/>
  <c r="B16" i="7"/>
  <c r="B62" i="9"/>
  <c r="B70" i="9" s="1"/>
  <c r="F94" i="20" l="1"/>
  <c r="F45" i="20"/>
  <c r="F141" i="20"/>
  <c r="F140" i="20"/>
  <c r="F44" i="20"/>
  <c r="F47" i="20"/>
  <c r="D156" i="20"/>
  <c r="F139" i="20"/>
  <c r="F142" i="20"/>
  <c r="D155" i="20"/>
  <c r="F46" i="20"/>
  <c r="F91" i="20"/>
  <c r="F93" i="20"/>
  <c r="D154" i="20"/>
  <c r="F92" i="20"/>
  <c r="I88" i="4"/>
  <c r="B71" i="28"/>
  <c r="E47" i="2"/>
  <c r="B27" i="7"/>
  <c r="B23" i="7"/>
  <c r="B19" i="7"/>
  <c r="B18" i="7"/>
  <c r="B22" i="7"/>
  <c r="B24" i="7"/>
  <c r="B26" i="7"/>
  <c r="B20" i="7"/>
  <c r="B21" i="7"/>
  <c r="B28" i="7"/>
  <c r="B25" i="7"/>
  <c r="D116" i="28"/>
  <c r="U95" i="2"/>
  <c r="C3" i="2" s="1"/>
  <c r="T97" i="2"/>
  <c r="T98" i="2" s="1"/>
  <c r="D105" i="28"/>
  <c r="U84" i="2"/>
  <c r="U83" i="2"/>
  <c r="V84" i="2" s="1"/>
  <c r="C74" i="2" s="1"/>
  <c r="AA70" i="9"/>
  <c r="AA74" i="9" s="1"/>
  <c r="Z75" i="9" s="1"/>
  <c r="Z76" i="9" s="1"/>
  <c r="Z78" i="9" s="1"/>
  <c r="O70" i="9"/>
  <c r="O74" i="9" s="1"/>
  <c r="N75" i="9" s="1"/>
  <c r="N76" i="9" s="1"/>
  <c r="D70" i="9"/>
  <c r="D74" i="9" s="1"/>
  <c r="C75" i="9" s="1"/>
  <c r="C76" i="9" s="1"/>
  <c r="AC70" i="9"/>
  <c r="AC74" i="9" s="1"/>
  <c r="Q70" i="9"/>
  <c r="F70" i="9"/>
  <c r="F74" i="9" s="1"/>
  <c r="Y70" i="9"/>
  <c r="Y74" i="9" s="1"/>
  <c r="X75" i="9" s="1"/>
  <c r="X76" i="9" s="1"/>
  <c r="X78" i="9" s="1"/>
  <c r="U70" i="9"/>
  <c r="U74" i="9" s="1"/>
  <c r="T75" i="9" s="1"/>
  <c r="T76" i="9" s="1"/>
  <c r="T78" i="9" s="1"/>
  <c r="H70" i="9"/>
  <c r="M70" i="9"/>
  <c r="M74" i="9" s="1"/>
  <c r="S70" i="9"/>
  <c r="S74" i="9" s="1"/>
  <c r="R75" i="9" s="1"/>
  <c r="R76" i="9" s="1"/>
  <c r="R78" i="9" s="1"/>
  <c r="W70" i="9"/>
  <c r="W74" i="9" s="1"/>
  <c r="V75" i="9" s="1"/>
  <c r="V76" i="9" s="1"/>
  <c r="V78" i="9" s="1"/>
  <c r="C70" i="9"/>
  <c r="Q74" i="9"/>
  <c r="P75" i="9" s="1"/>
  <c r="P76" i="9" s="1"/>
  <c r="H74" i="9"/>
  <c r="G75" i="9" s="1"/>
  <c r="G76" i="9" s="1"/>
  <c r="G78" i="9" s="1"/>
  <c r="B74" i="9"/>
  <c r="B157" i="19" a="1"/>
  <c r="B157" i="20" l="1" a="1"/>
  <c r="B160" i="20" s="1"/>
  <c r="C78" i="9"/>
  <c r="I78" i="9" s="1"/>
  <c r="I76" i="9"/>
  <c r="J35" i="9"/>
  <c r="N78" i="9"/>
  <c r="AC76" i="9"/>
  <c r="P78" i="9"/>
  <c r="E75" i="9"/>
  <c r="E76" i="9" s="1"/>
  <c r="AA76" i="9" s="1"/>
  <c r="E78" i="9"/>
  <c r="E36" i="2"/>
  <c r="E40" i="2"/>
  <c r="E44" i="2"/>
  <c r="E37" i="2"/>
  <c r="E41" i="2"/>
  <c r="E45" i="2"/>
  <c r="E38" i="2"/>
  <c r="E42" i="2"/>
  <c r="E46" i="2"/>
  <c r="E35" i="2"/>
  <c r="E39" i="2"/>
  <c r="E43" i="2"/>
  <c r="E34" i="2"/>
  <c r="C47" i="2"/>
  <c r="D158" i="19"/>
  <c r="C160" i="19"/>
  <c r="B159" i="19"/>
  <c r="D157" i="19"/>
  <c r="C159" i="19"/>
  <c r="B158" i="19"/>
  <c r="B160" i="19"/>
  <c r="D159" i="19"/>
  <c r="C158" i="19"/>
  <c r="B157" i="19"/>
  <c r="C157" i="19"/>
  <c r="D160" i="19"/>
  <c r="C6" i="12"/>
  <c r="K30" i="10"/>
  <c r="C6" i="11"/>
  <c r="C68" i="28"/>
  <c r="B105" i="7"/>
  <c r="K14" i="10"/>
  <c r="B39" i="7"/>
  <c r="B38" i="7"/>
  <c r="B42" i="7"/>
  <c r="B37" i="7"/>
  <c r="B43" i="7"/>
  <c r="B34" i="7"/>
  <c r="B36" i="7"/>
  <c r="C5" i="11"/>
  <c r="K15" i="10"/>
  <c r="C5" i="12"/>
  <c r="C3" i="28"/>
  <c r="K31" i="10"/>
  <c r="I90" i="4"/>
  <c r="I92" i="4" s="1"/>
  <c r="D19" i="2" s="1"/>
  <c r="B89" i="4"/>
  <c r="B40" i="7"/>
  <c r="B159" i="20" l="1"/>
  <c r="C158" i="20"/>
  <c r="D158" i="20"/>
  <c r="D159" i="20"/>
  <c r="D160" i="20"/>
  <c r="C157" i="20"/>
  <c r="D157" i="20"/>
  <c r="B157" i="20"/>
  <c r="C160" i="20"/>
  <c r="C159" i="20"/>
  <c r="B158" i="20"/>
  <c r="D6" i="12"/>
  <c r="B49" i="12"/>
  <c r="D5" i="12"/>
  <c r="B48" i="12"/>
  <c r="H17" i="2"/>
  <c r="H155" i="19"/>
  <c r="E155" i="19"/>
  <c r="E154" i="19"/>
  <c r="E156" i="19"/>
  <c r="C35" i="2"/>
  <c r="C37" i="2"/>
  <c r="C39" i="2"/>
  <c r="C41" i="2"/>
  <c r="C43" i="2"/>
  <c r="C34" i="2"/>
  <c r="C45" i="2"/>
  <c r="C46" i="2"/>
  <c r="C36" i="2"/>
  <c r="C38" i="2"/>
  <c r="C40" i="2"/>
  <c r="C42" i="2"/>
  <c r="C44" i="2"/>
  <c r="C44" i="28"/>
  <c r="AC78" i="9"/>
  <c r="J36" i="9"/>
  <c r="B43" i="11"/>
  <c r="D6" i="11"/>
  <c r="E37" i="10"/>
  <c r="E25" i="10"/>
  <c r="E9" i="10"/>
  <c r="D5" i="11"/>
  <c r="B42" i="11"/>
  <c r="AA78" i="9"/>
  <c r="B94" i="4"/>
  <c r="F89" i="4" s="1"/>
  <c r="B46" i="7"/>
  <c r="B55" i="7" s="1"/>
  <c r="E25" i="2" s="1"/>
  <c r="B107" i="7"/>
  <c r="B109" i="7" s="1"/>
  <c r="B113" i="7" s="1"/>
  <c r="E156" i="20" l="1"/>
  <c r="E155" i="20"/>
  <c r="E154" i="20"/>
  <c r="H155" i="20"/>
  <c r="B4" i="18" s="1"/>
  <c r="B5" i="18" s="1"/>
  <c r="D10" i="18" s="1"/>
  <c r="C13" i="14" s="1"/>
  <c r="G14" i="2" s="1"/>
  <c r="B91" i="28" s="1"/>
  <c r="B54" i="7"/>
  <c r="B116" i="7"/>
  <c r="B117" i="7"/>
  <c r="B115" i="7"/>
  <c r="B48" i="7"/>
  <c r="B49" i="7"/>
  <c r="B10" i="26"/>
  <c r="C39" i="28"/>
  <c r="B9" i="26"/>
  <c r="C38" i="28"/>
  <c r="B5" i="2"/>
  <c r="B5" i="28" s="1"/>
  <c r="L122" i="4"/>
  <c r="F88" i="4"/>
  <c r="F92" i="4"/>
  <c r="F86" i="4"/>
  <c r="F90" i="4"/>
  <c r="F85" i="4"/>
  <c r="F87" i="4"/>
  <c r="F91" i="4"/>
  <c r="B51" i="7"/>
  <c r="E24" i="2" s="1"/>
  <c r="B8" i="26"/>
  <c r="C37" i="28"/>
  <c r="B4" i="26"/>
  <c r="C33" i="28"/>
  <c r="E10" i="10"/>
  <c r="E11" i="10"/>
  <c r="B7" i="26"/>
  <c r="C36" i="28"/>
  <c r="D26" i="2"/>
  <c r="L129" i="4"/>
  <c r="B14" i="26"/>
  <c r="C43" i="28"/>
  <c r="B6" i="26"/>
  <c r="C35" i="28"/>
  <c r="B13" i="26"/>
  <c r="C42" i="28"/>
  <c r="B5" i="26"/>
  <c r="C34" i="28"/>
  <c r="C5" i="2"/>
  <c r="B53" i="7"/>
  <c r="B52" i="7"/>
  <c r="E26" i="2" s="1"/>
  <c r="B12" i="26"/>
  <c r="C41" i="28"/>
  <c r="B11" i="26"/>
  <c r="C40" i="28"/>
  <c r="B50" i="7"/>
  <c r="E23" i="2" s="1"/>
  <c r="C94" i="28"/>
  <c r="I17" i="2"/>
  <c r="D94" i="28" s="1"/>
  <c r="B10" i="18" l="1"/>
  <c r="C11" i="14" s="1"/>
  <c r="C10" i="18"/>
  <c r="C12" i="14" s="1"/>
  <c r="G13" i="2" s="1"/>
  <c r="B90" i="28" s="1"/>
  <c r="B23" i="18"/>
  <c r="C21" i="14" s="1"/>
  <c r="G12" i="2" s="1"/>
  <c r="B89" i="28" s="1"/>
  <c r="F10" i="18"/>
  <c r="C15" i="14" s="1"/>
  <c r="G16" i="2" s="1"/>
  <c r="B93" i="28" s="1"/>
  <c r="E10" i="18"/>
  <c r="C14" i="14" s="1"/>
  <c r="G15" i="2" s="1"/>
  <c r="B92" i="28" s="1"/>
  <c r="E11" i="18"/>
  <c r="C17" i="14" s="1"/>
  <c r="G22" i="2" s="1"/>
  <c r="B14" i="18"/>
  <c r="C16" i="14" s="1"/>
  <c r="G10" i="2" s="1"/>
  <c r="B87" i="28" s="1"/>
  <c r="C26" i="2"/>
  <c r="C26" i="28" s="1"/>
  <c r="B119" i="7"/>
  <c r="B121" i="7" s="1"/>
  <c r="H19" i="2" s="1"/>
  <c r="C5" i="28"/>
  <c r="D22" i="2"/>
  <c r="L125" i="4"/>
  <c r="B99" i="4"/>
  <c r="B100" i="4" s="1"/>
  <c r="B104" i="4"/>
  <c r="D23" i="2"/>
  <c r="C23" i="2" s="1"/>
  <c r="L126" i="4"/>
  <c r="B105" i="4"/>
  <c r="L128" i="4"/>
  <c r="D25" i="2"/>
  <c r="C25" i="2" s="1"/>
  <c r="E22" i="2"/>
  <c r="B63" i="7"/>
  <c r="B58" i="7"/>
  <c r="B59" i="7" s="1"/>
  <c r="D21" i="2"/>
  <c r="B103" i="4"/>
  <c r="F93" i="4"/>
  <c r="L130" i="4" s="1"/>
  <c r="F94" i="4"/>
  <c r="L124" i="4"/>
  <c r="D24" i="2"/>
  <c r="C24" i="2" s="1"/>
  <c r="L127" i="4"/>
  <c r="E21" i="2"/>
  <c r="B56" i="7"/>
  <c r="B62" i="7"/>
  <c r="D17" i="18" l="1"/>
  <c r="C19" i="14" s="1"/>
  <c r="D16" i="18"/>
  <c r="C18" i="14" s="1"/>
  <c r="D27" i="2"/>
  <c r="G52" i="7"/>
  <c r="C22" i="2"/>
  <c r="E7" i="10" s="1"/>
  <c r="B64" i="7"/>
  <c r="B68" i="7" s="1"/>
  <c r="B72" i="7" s="1"/>
  <c r="I19" i="2"/>
  <c r="D96" i="28" s="1"/>
  <c r="C96" i="28"/>
  <c r="C24" i="28"/>
  <c r="C9" i="11"/>
  <c r="D9" i="11" s="1"/>
  <c r="G51" i="7"/>
  <c r="C6" i="22"/>
  <c r="C6" i="24" s="1"/>
  <c r="C10" i="12"/>
  <c r="D10" i="12" s="1"/>
  <c r="C8" i="11"/>
  <c r="D8" i="11" s="1"/>
  <c r="C23" i="28"/>
  <c r="G50" i="7"/>
  <c r="C9" i="12"/>
  <c r="D9" i="12" s="1"/>
  <c r="C5" i="22"/>
  <c r="C7" i="24" s="1"/>
  <c r="B110" i="4"/>
  <c r="B114" i="4" s="1"/>
  <c r="B109" i="4"/>
  <c r="B113" i="4" s="1"/>
  <c r="B106" i="4"/>
  <c r="C25" i="28"/>
  <c r="G55" i="7"/>
  <c r="C21" i="2"/>
  <c r="E27" i="2"/>
  <c r="B99" i="28"/>
  <c r="G23" i="2"/>
  <c r="B100" i="28" s="1"/>
  <c r="B67" i="7" l="1"/>
  <c r="B71" i="7" s="1"/>
  <c r="B76" i="7" s="1"/>
  <c r="B77" i="7" s="1"/>
  <c r="E34" i="10"/>
  <c r="C22" i="28"/>
  <c r="C4" i="22"/>
  <c r="C5" i="24" s="1"/>
  <c r="C5" i="25" s="1"/>
  <c r="O155" i="25" s="1"/>
  <c r="G49" i="7"/>
  <c r="E22" i="10"/>
  <c r="C7" i="25"/>
  <c r="O157" i="25" s="1"/>
  <c r="O157" i="24"/>
  <c r="C27" i="2"/>
  <c r="H7" i="2"/>
  <c r="G48" i="7"/>
  <c r="H6" i="2"/>
  <c r="C21" i="28"/>
  <c r="C3" i="22"/>
  <c r="E33" i="10"/>
  <c r="E21" i="10"/>
  <c r="E6" i="10"/>
  <c r="E8" i="10" s="1"/>
  <c r="B118" i="4"/>
  <c r="B119" i="4" s="1"/>
  <c r="O156" i="24"/>
  <c r="C6" i="25"/>
  <c r="O156" i="25" s="1"/>
  <c r="E35" i="10" l="1"/>
  <c r="C27" i="28"/>
  <c r="O155" i="24"/>
  <c r="E23" i="10"/>
  <c r="F124" i="4"/>
  <c r="E124" i="4"/>
  <c r="D124" i="4"/>
  <c r="B124" i="4"/>
  <c r="B132" i="4"/>
  <c r="L131" i="4" s="1"/>
  <c r="C124" i="4"/>
  <c r="B128" i="4"/>
  <c r="L133" i="4" s="1"/>
  <c r="E82" i="7"/>
  <c r="C83" i="7"/>
  <c r="B90" i="7"/>
  <c r="F82" i="7"/>
  <c r="C82" i="7"/>
  <c r="D82" i="7"/>
  <c r="B82" i="7"/>
  <c r="B86" i="7"/>
  <c r="G62" i="7"/>
  <c r="D46" i="7"/>
  <c r="C78" i="2" s="1"/>
  <c r="G63" i="7"/>
  <c r="I7" i="2"/>
  <c r="D84" i="28" s="1"/>
  <c r="C84" i="28"/>
  <c r="C9" i="22"/>
  <c r="C4" i="24"/>
  <c r="C8" i="22"/>
  <c r="C10" i="22"/>
  <c r="B15" i="27"/>
  <c r="B29" i="27" s="1"/>
  <c r="K25" i="10"/>
  <c r="H5" i="2"/>
  <c r="K10" i="10"/>
  <c r="B18" i="12"/>
  <c r="B43" i="12" s="1"/>
  <c r="B18" i="11"/>
  <c r="B36" i="11" s="1"/>
  <c r="C83" i="28"/>
  <c r="I6" i="2"/>
  <c r="D83" i="28" s="1"/>
  <c r="G58" i="7"/>
  <c r="G59" i="7" s="1"/>
  <c r="G64" i="7" l="1"/>
  <c r="G67" i="7" s="1"/>
  <c r="G71" i="7" s="1"/>
  <c r="H8" i="2"/>
  <c r="O154" i="24"/>
  <c r="C9" i="24"/>
  <c r="C4" i="25"/>
  <c r="O154" i="25" s="1"/>
  <c r="I5" i="2"/>
  <c r="D82" i="28" s="1"/>
  <c r="C82" i="28"/>
  <c r="C71" i="28"/>
  <c r="E39" i="7"/>
  <c r="E41" i="7" s="1"/>
  <c r="E19" i="2" s="1"/>
  <c r="C19" i="2" s="1"/>
  <c r="C19" i="28" s="1"/>
  <c r="B123" i="7"/>
  <c r="E123" i="7" s="1"/>
  <c r="B125" i="7" s="1"/>
  <c r="D126" i="7" s="1"/>
  <c r="I122" i="7"/>
  <c r="I123" i="7" s="1"/>
  <c r="B129" i="7"/>
  <c r="E129" i="7" s="1"/>
  <c r="B131" i="7" s="1"/>
  <c r="D132" i="7" s="1"/>
  <c r="G68" i="7" l="1"/>
  <c r="G72" i="7" s="1"/>
  <c r="G76" i="7" s="1"/>
  <c r="G77" i="7" s="1"/>
  <c r="E91" i="24"/>
  <c r="E92" i="24"/>
  <c r="E141" i="24"/>
  <c r="C9" i="25"/>
  <c r="E44" i="24"/>
  <c r="E142" i="24"/>
  <c r="O159" i="24"/>
  <c r="E139" i="24"/>
  <c r="E93" i="24"/>
  <c r="E140" i="24"/>
  <c r="E45" i="24"/>
  <c r="E47" i="24"/>
  <c r="E46" i="24"/>
  <c r="E94" i="24"/>
  <c r="I8" i="2"/>
  <c r="D85" i="28" s="1"/>
  <c r="C85" i="28"/>
  <c r="B143" i="24" l="1" a="1"/>
  <c r="E145" i="24" s="1"/>
  <c r="G90" i="7"/>
  <c r="I129" i="7" s="1"/>
  <c r="L129" i="7" s="1"/>
  <c r="I131" i="7" s="1"/>
  <c r="K82" i="7"/>
  <c r="G83" i="7"/>
  <c r="J82" i="7"/>
  <c r="G86" i="7"/>
  <c r="L82" i="7"/>
  <c r="H82" i="7"/>
  <c r="I82" i="7"/>
  <c r="E47" i="25"/>
  <c r="E139" i="25"/>
  <c r="E92" i="25"/>
  <c r="E140" i="25"/>
  <c r="E142" i="25"/>
  <c r="E91" i="25"/>
  <c r="E46" i="25"/>
  <c r="O159" i="25"/>
  <c r="E141" i="25"/>
  <c r="E94" i="25"/>
  <c r="E44" i="25"/>
  <c r="E93" i="25"/>
  <c r="E45" i="25"/>
  <c r="B48" i="24" a="1"/>
  <c r="B95" i="24" a="1"/>
  <c r="C144" i="24" l="1"/>
  <c r="D148" i="24"/>
  <c r="D145" i="24"/>
  <c r="C146" i="24"/>
  <c r="B143" i="24"/>
  <c r="C148" i="24"/>
  <c r="E146" i="24"/>
  <c r="E148" i="24"/>
  <c r="B148" i="24"/>
  <c r="E144" i="24"/>
  <c r="B144" i="24"/>
  <c r="D144" i="24"/>
  <c r="C147" i="24"/>
  <c r="E147" i="24"/>
  <c r="B147" i="24"/>
  <c r="B145" i="24"/>
  <c r="B146" i="24"/>
  <c r="E143" i="24"/>
  <c r="C143" i="24"/>
  <c r="D147" i="24"/>
  <c r="D143" i="24"/>
  <c r="C145" i="24"/>
  <c r="D146" i="24"/>
  <c r="B48" i="25" a="1"/>
  <c r="B50" i="25" s="1"/>
  <c r="C97" i="24"/>
  <c r="E96" i="24"/>
  <c r="D100" i="24"/>
  <c r="B100" i="24"/>
  <c r="B97" i="24"/>
  <c r="D97" i="24"/>
  <c r="C98" i="24"/>
  <c r="E100" i="24"/>
  <c r="C96" i="24"/>
  <c r="B95" i="24"/>
  <c r="E98" i="24"/>
  <c r="D96" i="24"/>
  <c r="E95" i="24"/>
  <c r="B99" i="24"/>
  <c r="D98" i="24"/>
  <c r="E97" i="24"/>
  <c r="B98" i="24"/>
  <c r="C95" i="24"/>
  <c r="E99" i="24"/>
  <c r="C99" i="24"/>
  <c r="C100" i="24"/>
  <c r="D95" i="24"/>
  <c r="D99" i="24"/>
  <c r="B96" i="24"/>
  <c r="C51" i="24"/>
  <c r="D49" i="24"/>
  <c r="B51" i="24"/>
  <c r="E50" i="24"/>
  <c r="D48" i="24"/>
  <c r="D53" i="24"/>
  <c r="E51" i="24"/>
  <c r="D50" i="24"/>
  <c r="E53" i="24"/>
  <c r="B48" i="24"/>
  <c r="D51" i="24"/>
  <c r="C49" i="24"/>
  <c r="B49" i="24"/>
  <c r="E52" i="24"/>
  <c r="C48" i="24"/>
  <c r="B53" i="24"/>
  <c r="C52" i="24"/>
  <c r="C53" i="24"/>
  <c r="B52" i="24"/>
  <c r="B50" i="24"/>
  <c r="D52" i="24"/>
  <c r="E48" i="24"/>
  <c r="E49" i="24"/>
  <c r="C50" i="24"/>
  <c r="B95" i="25" a="1"/>
  <c r="B143" i="25" a="1"/>
  <c r="H20" i="2"/>
  <c r="K132" i="7"/>
  <c r="F139" i="24" l="1"/>
  <c r="F141" i="24"/>
  <c r="F142" i="24"/>
  <c r="D156" i="24"/>
  <c r="F140" i="24"/>
  <c r="C52" i="25"/>
  <c r="D50" i="25"/>
  <c r="C49" i="25"/>
  <c r="D51" i="25"/>
  <c r="B53" i="25"/>
  <c r="C48" i="25"/>
  <c r="D53" i="25"/>
  <c r="C53" i="25"/>
  <c r="E51" i="25"/>
  <c r="E50" i="25"/>
  <c r="B51" i="25"/>
  <c r="E53" i="25"/>
  <c r="B49" i="25"/>
  <c r="E52" i="25"/>
  <c r="D48" i="25"/>
  <c r="B48" i="25"/>
  <c r="D49" i="25"/>
  <c r="B52" i="25"/>
  <c r="C51" i="25"/>
  <c r="E48" i="25"/>
  <c r="D52" i="25"/>
  <c r="C50" i="25"/>
  <c r="E49" i="25"/>
  <c r="C97" i="28"/>
  <c r="I20" i="2"/>
  <c r="D97" i="28" s="1"/>
  <c r="D144" i="25"/>
  <c r="D145" i="25"/>
  <c r="E144" i="25"/>
  <c r="C148" i="25"/>
  <c r="B148" i="25"/>
  <c r="B143" i="25"/>
  <c r="D143" i="25"/>
  <c r="C143" i="25"/>
  <c r="E143" i="25"/>
  <c r="B147" i="25"/>
  <c r="D147" i="25"/>
  <c r="B145" i="25"/>
  <c r="E148" i="25"/>
  <c r="C147" i="25"/>
  <c r="E147" i="25"/>
  <c r="B146" i="25"/>
  <c r="C145" i="25"/>
  <c r="D148" i="25"/>
  <c r="C146" i="25"/>
  <c r="E146" i="25"/>
  <c r="E145" i="25"/>
  <c r="C144" i="25"/>
  <c r="D146" i="25"/>
  <c r="B144" i="25"/>
  <c r="F47" i="24"/>
  <c r="F45" i="24"/>
  <c r="D155" i="24"/>
  <c r="F44" i="24"/>
  <c r="F46" i="24"/>
  <c r="C95" i="25"/>
  <c r="D95" i="25"/>
  <c r="B97" i="25"/>
  <c r="B99" i="25"/>
  <c r="B95" i="25"/>
  <c r="D97" i="25"/>
  <c r="E100" i="25"/>
  <c r="D99" i="25"/>
  <c r="C98" i="25"/>
  <c r="B98" i="25"/>
  <c r="E95" i="25"/>
  <c r="C97" i="25"/>
  <c r="D98" i="25"/>
  <c r="B100" i="25"/>
  <c r="E97" i="25"/>
  <c r="D96" i="25"/>
  <c r="E99" i="25"/>
  <c r="C100" i="25"/>
  <c r="C96" i="25"/>
  <c r="B96" i="25"/>
  <c r="E96" i="25"/>
  <c r="D100" i="25"/>
  <c r="E98" i="25"/>
  <c r="C99" i="25"/>
  <c r="C15" i="2"/>
  <c r="H21" i="2"/>
  <c r="F93" i="24"/>
  <c r="F91" i="24"/>
  <c r="F94" i="24"/>
  <c r="D154" i="24"/>
  <c r="F92" i="24"/>
  <c r="B157" i="24" l="1" a="1"/>
  <c r="B159" i="24" s="1"/>
  <c r="F47" i="25"/>
  <c r="D155" i="25"/>
  <c r="F45" i="25"/>
  <c r="F46" i="25"/>
  <c r="F44" i="25"/>
  <c r="C15" i="28"/>
  <c r="K23" i="10"/>
  <c r="C7" i="12"/>
  <c r="K8" i="10"/>
  <c r="C7" i="11"/>
  <c r="F142" i="25"/>
  <c r="F140" i="25"/>
  <c r="F139" i="25"/>
  <c r="D156" i="25"/>
  <c r="F141" i="25"/>
  <c r="D154" i="25"/>
  <c r="F92" i="25"/>
  <c r="F94" i="25"/>
  <c r="F93" i="25"/>
  <c r="F91" i="25"/>
  <c r="C98" i="28"/>
  <c r="I21" i="2"/>
  <c r="D98" i="28" s="1"/>
  <c r="B18" i="27"/>
  <c r="D7" i="12" l="1"/>
  <c r="B50" i="12"/>
  <c r="D158" i="24"/>
  <c r="C159" i="24"/>
  <c r="D160" i="24"/>
  <c r="B157" i="24"/>
  <c r="C157" i="24"/>
  <c r="B158" i="24"/>
  <c r="C160" i="24"/>
  <c r="D157" i="24"/>
  <c r="B160" i="24"/>
  <c r="C158" i="24"/>
  <c r="D159" i="24"/>
  <c r="B157" i="25" a="1"/>
  <c r="C159" i="25" s="1"/>
  <c r="D7" i="11"/>
  <c r="B44" i="11"/>
  <c r="H155" i="24" l="1"/>
  <c r="E156" i="24"/>
  <c r="E154" i="24"/>
  <c r="E155" i="24"/>
  <c r="B160" i="25"/>
  <c r="D160" i="25"/>
  <c r="B157" i="25"/>
  <c r="C157" i="25"/>
  <c r="C160" i="25"/>
  <c r="D157" i="25"/>
  <c r="B158" i="25"/>
  <c r="C158" i="25"/>
  <c r="D159" i="25"/>
  <c r="D158" i="25"/>
  <c r="B159" i="25"/>
  <c r="E155" i="25" l="1"/>
  <c r="E154" i="25"/>
  <c r="H155" i="25"/>
  <c r="B4" i="23" s="1"/>
  <c r="B5" i="23" s="1"/>
  <c r="E156" i="25"/>
  <c r="C10" i="23" l="1"/>
  <c r="B14" i="23"/>
  <c r="C16" i="22" s="1"/>
  <c r="H10" i="2" s="1"/>
  <c r="D10" i="23"/>
  <c r="C13" i="22" s="1"/>
  <c r="H14" i="2" s="1"/>
  <c r="E10" i="23"/>
  <c r="C14" i="22" s="1"/>
  <c r="H15" i="2" s="1"/>
  <c r="E11" i="23"/>
  <c r="F10" i="23"/>
  <c r="C15" i="22" s="1"/>
  <c r="H16" i="2" s="1"/>
  <c r="B23" i="23"/>
  <c r="C21" i="22" s="1"/>
  <c r="H12" i="2" s="1"/>
  <c r="B10" i="23"/>
  <c r="C11" i="22" s="1"/>
  <c r="C92" i="28" l="1"/>
  <c r="I15" i="2"/>
  <c r="D92" i="28" s="1"/>
  <c r="I14" i="2"/>
  <c r="D91" i="28" s="1"/>
  <c r="C91" i="28"/>
  <c r="B19" i="11"/>
  <c r="B16" i="27"/>
  <c r="B19" i="12"/>
  <c r="B17" i="11"/>
  <c r="B14" i="27"/>
  <c r="C93" i="28"/>
  <c r="I16" i="2"/>
  <c r="D93" i="28" s="1"/>
  <c r="B17" i="12"/>
  <c r="I10" i="2"/>
  <c r="D87" i="28" s="1"/>
  <c r="C87" i="28"/>
  <c r="C89" i="28"/>
  <c r="K9" i="10"/>
  <c r="K24" i="10"/>
  <c r="I12" i="2"/>
  <c r="D89" i="28" s="1"/>
  <c r="C17" i="22"/>
  <c r="H22" i="2" s="1"/>
  <c r="D16" i="23"/>
  <c r="C18" i="22" s="1"/>
  <c r="D17" i="23"/>
  <c r="C19" i="22" s="1"/>
  <c r="C12" i="22"/>
  <c r="H13" i="2" s="1"/>
  <c r="B39" i="12" l="1"/>
  <c r="B38" i="12"/>
  <c r="I22" i="2"/>
  <c r="D99" i="28" s="1"/>
  <c r="H23" i="2"/>
  <c r="C99" i="28"/>
  <c r="C90" i="28"/>
  <c r="I13" i="2"/>
  <c r="D90" i="28" s="1"/>
  <c r="B17" i="27" l="1"/>
  <c r="B20" i="12"/>
  <c r="C100" i="28"/>
  <c r="B20" i="11"/>
  <c r="K29" i="10"/>
  <c r="I23" i="2"/>
  <c r="D100" i="28" s="1"/>
  <c r="K13" i="10"/>
</calcChain>
</file>

<file path=xl/comments1.xml><?xml version="1.0" encoding="utf-8"?>
<comments xmlns="http://schemas.openxmlformats.org/spreadsheetml/2006/main">
  <authors>
    <author>ustu</author>
  </authors>
  <commentList>
    <comment ref="A6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comments2.xml><?xml version="1.0" encoding="utf-8"?>
<comments xmlns="http://schemas.openxmlformats.org/spreadsheetml/2006/main">
  <authors>
    <author>ustu</author>
  </authors>
  <commentList>
    <comment ref="A6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comments3.xml><?xml version="1.0" encoding="utf-8"?>
<comments xmlns="http://schemas.openxmlformats.org/spreadsheetml/2006/main">
  <authors>
    <author>ustu</author>
  </authors>
  <commentList>
    <comment ref="A74" authorId="0" shapeId="0">
      <text>
        <r>
          <rPr>
            <sz val="8"/>
            <color indexed="81"/>
            <rFont val="Tahoma"/>
            <family val="2"/>
            <charset val="204"/>
          </rPr>
          <t>Суммарный удельный расход кокса, кг/т чугуна, рассчитан по данным технического отчета с учетом добавления фракции кокса 25-40 мм и коксового орешка 10-25 мм</t>
        </r>
      </text>
    </comment>
  </commentList>
</comments>
</file>

<file path=xl/sharedStrings.xml><?xml version="1.0" encoding="utf-8"?>
<sst xmlns="http://schemas.openxmlformats.org/spreadsheetml/2006/main" count="2316" uniqueCount="734">
  <si>
    <t>№</t>
  </si>
  <si>
    <t>Наименование материала</t>
  </si>
  <si>
    <t>Результаты анализа, %</t>
  </si>
  <si>
    <t>Fe</t>
  </si>
  <si>
    <t>FeO</t>
  </si>
  <si>
    <t>Fe2O3</t>
  </si>
  <si>
    <t>SiO2</t>
  </si>
  <si>
    <t>Al2O3</t>
  </si>
  <si>
    <t>CaO</t>
  </si>
  <si>
    <t>MgO</t>
  </si>
  <si>
    <t>P</t>
  </si>
  <si>
    <t>S</t>
  </si>
  <si>
    <t>MnO</t>
  </si>
  <si>
    <t>Zn</t>
  </si>
  <si>
    <t>пмп</t>
  </si>
  <si>
    <t>H2O</t>
  </si>
  <si>
    <t>TiO2</t>
  </si>
  <si>
    <t>Cr</t>
  </si>
  <si>
    <t>C</t>
  </si>
  <si>
    <t>Fe мет</t>
  </si>
  <si>
    <t>Агломерат а/ф 2</t>
  </si>
  <si>
    <t>-</t>
  </si>
  <si>
    <t>Агломерат а/ф 3</t>
  </si>
  <si>
    <t>Агломерат а/ф 4</t>
  </si>
  <si>
    <t>Руды 2-3 ф-к</t>
  </si>
  <si>
    <t>Руды 4 ф-к</t>
  </si>
  <si>
    <t>Агломелочь</t>
  </si>
  <si>
    <t>Колошниковая пыль</t>
  </si>
  <si>
    <t>Окалина</t>
  </si>
  <si>
    <t>Шлам ВФУ</t>
  </si>
  <si>
    <t>Сварочный шлак</t>
  </si>
  <si>
    <t>Конвертерый шлак с ЦПАШ 0-10мм</t>
  </si>
  <si>
    <t>Конвертерый шлак Короле 10-50мм</t>
  </si>
  <si>
    <t>Кокс аглофабрики №2, 3, 4</t>
  </si>
  <si>
    <t>Исходная руда г. Магнитной</t>
  </si>
  <si>
    <t>Исходная руда М. Куйбаса</t>
  </si>
  <si>
    <t>Смесь Подотв. Руды + р. М. Куйбаса</t>
  </si>
  <si>
    <t>Концентрат 16тр-ра</t>
  </si>
  <si>
    <t>Аглоруда Михайловского ГОК</t>
  </si>
  <si>
    <t>Аглоруда Стойлейского ГОК</t>
  </si>
  <si>
    <t>Бакальская аглоруда</t>
  </si>
  <si>
    <t>0,0,16</t>
  </si>
  <si>
    <t>Концентрат ССГПО</t>
  </si>
  <si>
    <t>0,0,17</t>
  </si>
  <si>
    <t>Концентрат Стойленского ГОК</t>
  </si>
  <si>
    <t>Коршуновский концентрат</t>
  </si>
  <si>
    <t>Окатыши ССГПО</t>
  </si>
  <si>
    <t>Шламы в ЦПАШ</t>
  </si>
  <si>
    <t>Известняк на а/фабрики</t>
  </si>
  <si>
    <t>Доломит на а/фабрики</t>
  </si>
  <si>
    <t>Технологические показатели</t>
  </si>
  <si>
    <t>Рассматриваемые периоды</t>
  </si>
  <si>
    <t>ДОПОЛНИТЕЛЬНЫЕ РАСЧЕТНЫЕ ПАРАМЕТРЫ</t>
  </si>
  <si>
    <t>Показатель</t>
  </si>
  <si>
    <t>Периоды</t>
  </si>
  <si>
    <t>Среднесуточное производство, т/сут</t>
  </si>
  <si>
    <t>Базовый</t>
  </si>
  <si>
    <t>Проектный</t>
  </si>
  <si>
    <t>Изменение</t>
  </si>
  <si>
    <t>н/д</t>
  </si>
  <si>
    <t>Основность шлака:</t>
  </si>
  <si>
    <t>ввод</t>
  </si>
  <si>
    <t>(CaO+MgO)/SiO2</t>
  </si>
  <si>
    <t>Дутье:</t>
  </si>
  <si>
    <t>расчет</t>
  </si>
  <si>
    <t>(CaO+MgO)/(SiO2+Al2O3)</t>
  </si>
  <si>
    <t>давление, атм</t>
  </si>
  <si>
    <t>содержание кислорода, %</t>
  </si>
  <si>
    <t>Вязкость шлака, пуаз:</t>
  </si>
  <si>
    <t>при температуре шлака</t>
  </si>
  <si>
    <t xml:space="preserve">Состав чугуна, %  </t>
  </si>
  <si>
    <t>Si</t>
  </si>
  <si>
    <t>Mn</t>
  </si>
  <si>
    <t>Парциальное давление СО, атм.</t>
  </si>
  <si>
    <t xml:space="preserve">Состав шлака, % </t>
  </si>
  <si>
    <t>CaO/SiO2</t>
  </si>
  <si>
    <t>Расходы материалов, кг/т чугуна</t>
  </si>
  <si>
    <t>не определяются</t>
  </si>
  <si>
    <t>агломерат а/ф №4</t>
  </si>
  <si>
    <t>итого агломерата</t>
  </si>
  <si>
    <t>окатыши Соколовские</t>
  </si>
  <si>
    <t>окатыши Лебединские</t>
  </si>
  <si>
    <t>окатыши Качанарские</t>
  </si>
  <si>
    <t>окатыши Михайловские</t>
  </si>
  <si>
    <t>королек</t>
  </si>
  <si>
    <t>доменный присад</t>
  </si>
  <si>
    <t>Доли ЖРМ</t>
  </si>
  <si>
    <t>итого местного агломерата</t>
  </si>
  <si>
    <t>Королек</t>
  </si>
  <si>
    <t>Доменный присад</t>
  </si>
  <si>
    <t>Резерв</t>
  </si>
  <si>
    <t>Итого (сумма)</t>
  </si>
  <si>
    <t>известняк</t>
  </si>
  <si>
    <t>шлак фракц.</t>
  </si>
  <si>
    <t>Пмпп</t>
  </si>
  <si>
    <t>Окатыши Лебединские</t>
  </si>
  <si>
    <t>Окатыши Качканарские</t>
  </si>
  <si>
    <t>Окатыши Михайловские</t>
  </si>
  <si>
    <t>Доломит</t>
  </si>
  <si>
    <t>Кварцит</t>
  </si>
  <si>
    <t>Зола</t>
  </si>
  <si>
    <t>Сера</t>
  </si>
  <si>
    <t>Летучие</t>
  </si>
  <si>
    <t>Снел</t>
  </si>
  <si>
    <t>Определим "обобщенную" основность шлака</t>
  </si>
  <si>
    <t>РАСЧЕТ ДЛЯ БАЗОВОГО ПЕРИОДА</t>
  </si>
  <si>
    <t>альфа =</t>
  </si>
  <si>
    <t>b=</t>
  </si>
  <si>
    <t>Пересчет состава шлака на трехкомпонентную шлаковую систему</t>
  </si>
  <si>
    <t>(CaO)Э=</t>
  </si>
  <si>
    <t>(SiO2)Э=</t>
  </si>
  <si>
    <t>(Al2O3)Э=</t>
  </si>
  <si>
    <t>Рассчитываем вязкость шлака при температуре 1400 0С в трехкомпонентной системе:</t>
  </si>
  <si>
    <t>Для базового варианта вязкость шлака без MgO составляет:</t>
  </si>
  <si>
    <r>
      <t>h</t>
    </r>
    <r>
      <rPr>
        <vertAlign val="superscript"/>
        <sz val="10"/>
        <rFont val="Arial"/>
        <family val="2"/>
      </rPr>
      <t>Э</t>
    </r>
    <r>
      <rPr>
        <vertAlign val="subscript"/>
        <sz val="10"/>
        <rFont val="Arial CYR"/>
        <family val="2"/>
        <charset val="204"/>
      </rPr>
      <t>1400</t>
    </r>
    <r>
      <rPr>
        <sz val="10"/>
        <rFont val="Arial Cyr"/>
        <charset val="204"/>
      </rPr>
      <t>=</t>
    </r>
  </si>
  <si>
    <t>пуаз</t>
  </si>
  <si>
    <r>
      <t>h</t>
    </r>
    <r>
      <rPr>
        <vertAlign val="superscript"/>
        <sz val="10"/>
        <rFont val="Arial"/>
        <family val="2"/>
      </rPr>
      <t>Э</t>
    </r>
    <r>
      <rPr>
        <vertAlign val="subscript"/>
        <sz val="10"/>
        <rFont val="Arial CYR"/>
        <family val="2"/>
        <charset val="204"/>
      </rPr>
      <t>1500</t>
    </r>
    <r>
      <rPr>
        <sz val="10"/>
        <rFont val="Arial Cyr"/>
        <charset val="204"/>
      </rPr>
      <t>=</t>
    </r>
  </si>
  <si>
    <t xml:space="preserve">Вязкость шлака при температуре 1400 0С с поправкой на оксид магния </t>
  </si>
  <si>
    <r>
      <t>h</t>
    </r>
    <r>
      <rPr>
        <vertAlign val="superscript"/>
        <sz val="10"/>
        <rFont val="Arial"/>
        <family val="2"/>
      </rPr>
      <t>МgO</t>
    </r>
    <r>
      <rPr>
        <vertAlign val="subscript"/>
        <sz val="10"/>
        <rFont val="Arial CYR"/>
        <family val="2"/>
        <charset val="204"/>
      </rPr>
      <t>1400</t>
    </r>
    <r>
      <rPr>
        <sz val="10"/>
        <rFont val="Arial Cyr"/>
        <charset val="204"/>
      </rPr>
      <t>=</t>
    </r>
  </si>
  <si>
    <r>
      <t>h</t>
    </r>
    <r>
      <rPr>
        <vertAlign val="superscript"/>
        <sz val="10"/>
        <rFont val="Arial"/>
        <family val="2"/>
      </rPr>
      <t>МgO</t>
    </r>
    <r>
      <rPr>
        <vertAlign val="subscript"/>
        <sz val="10"/>
        <rFont val="Arial CYR"/>
        <family val="2"/>
        <charset val="204"/>
      </rPr>
      <t>1500</t>
    </r>
    <r>
      <rPr>
        <sz val="10"/>
        <rFont val="Arial Cyr"/>
        <charset val="204"/>
      </rPr>
      <t>=</t>
    </r>
  </si>
  <si>
    <t>Находим политерму вязкости</t>
  </si>
  <si>
    <t>базовый</t>
  </si>
  <si>
    <t>a=</t>
  </si>
  <si>
    <t>Зависимость вязкости шлака в базовом периоде от  температуры</t>
  </si>
  <si>
    <t>Рассматриваемый период</t>
  </si>
  <si>
    <t>Температура шлака</t>
  </si>
  <si>
    <t>Находим температуру плавления шлака</t>
  </si>
  <si>
    <t>Для базового периода плавки:</t>
  </si>
  <si>
    <t>tпл=</t>
  </si>
  <si>
    <t>Для базового периода работы печи</t>
  </si>
  <si>
    <t>t=</t>
  </si>
  <si>
    <t>Для базового периода работы печи:</t>
  </si>
  <si>
    <r>
      <t>h</t>
    </r>
    <r>
      <rPr>
        <vertAlign val="superscript"/>
        <sz val="10"/>
        <rFont val="Arial"/>
        <family val="2"/>
      </rPr>
      <t>Э</t>
    </r>
    <r>
      <rPr>
        <sz val="10"/>
        <rFont val="Arial Cyr"/>
        <charset val="204"/>
      </rPr>
      <t>=</t>
    </r>
  </si>
  <si>
    <t>Эквивалентное содержание углерода в чугуне:</t>
  </si>
  <si>
    <t>эталонном  периоде</t>
  </si>
  <si>
    <t>[C]э=</t>
  </si>
  <si>
    <t>%</t>
  </si>
  <si>
    <t xml:space="preserve">Коэффициент активности серы в чугуне </t>
  </si>
  <si>
    <t>f[S]=</t>
  </si>
  <si>
    <t>Степень прямого восстановления</t>
  </si>
  <si>
    <t>rd=</t>
  </si>
  <si>
    <t>Расход углерода на прямое восстановление</t>
  </si>
  <si>
    <t>Спрж=</t>
  </si>
  <si>
    <t>кг/т чугуна</t>
  </si>
  <si>
    <t>Расход углерода на прямое восстановление примесей чугуна</t>
  </si>
  <si>
    <t>Спр=</t>
  </si>
  <si>
    <t>Количество пришедшего в печь углерода кокса</t>
  </si>
  <si>
    <t>Сприш=</t>
  </si>
  <si>
    <t>Количество углерода кокса, пошедшее на образование метана</t>
  </si>
  <si>
    <t>Ссн4=</t>
  </si>
  <si>
    <t>Количество углерода кокса, сгорабщего у фурм</t>
  </si>
  <si>
    <t>Сф=</t>
  </si>
  <si>
    <t>Расход прир газа в расчете на 1кг углерода кокса, сгорающего у фурм</t>
  </si>
  <si>
    <t>сигма=</t>
  </si>
  <si>
    <t>м3/кг Сф</t>
  </si>
  <si>
    <t>Выход составляющих фурменного газа</t>
  </si>
  <si>
    <t>Vco=</t>
  </si>
  <si>
    <t>VH2=</t>
  </si>
  <si>
    <t>VN2=</t>
  </si>
  <si>
    <t>Суммарный выход газа</t>
  </si>
  <si>
    <t>Vсумм =</t>
  </si>
  <si>
    <t>Парциальное давление монооксида углерода в горновом назе</t>
  </si>
  <si>
    <t>Pco=</t>
  </si>
  <si>
    <t>атм</t>
  </si>
  <si>
    <t>Скор. расход рудного материала без учета выноса пыли и т.д., кг/т.чуг.</t>
  </si>
  <si>
    <t>Pжрм=</t>
  </si>
  <si>
    <t>Масса серы, вносимая в печь в базовом периоде, кг/т.чугуна</t>
  </si>
  <si>
    <t>S=</t>
  </si>
  <si>
    <t>Расчетный коэффф. Распр. Серы</t>
  </si>
  <si>
    <t xml:space="preserve">Фактический коэффициент распределения серы  </t>
  </si>
  <si>
    <t>Lg (Ls)=</t>
  </si>
  <si>
    <t>LS=</t>
  </si>
  <si>
    <t>Ls=</t>
  </si>
  <si>
    <t>Расчет расхода среденевзвешанного рудного материала по бал. железа</t>
  </si>
  <si>
    <t>Выход шлака  по балл. СаО , кг/т.чуг.</t>
  </si>
  <si>
    <t>U=</t>
  </si>
  <si>
    <t>Расчет выхода шлака и его состава по расходам шлакообразующих</t>
  </si>
  <si>
    <t>Расчетный состав шлака, %</t>
  </si>
  <si>
    <t>СаO</t>
  </si>
  <si>
    <t>Ai2O3</t>
  </si>
  <si>
    <t>Итого</t>
  </si>
  <si>
    <t>Свойства расчетного шлака</t>
  </si>
  <si>
    <t>Сумма</t>
  </si>
  <si>
    <t>Рассчитываем вязкость прогнозного шлака при температуре 1400 0С в трехкомпонентной системе:</t>
  </si>
  <si>
    <t>Для базового варианта вязкость шлака</t>
  </si>
  <si>
    <t>Сопоставление параметров для базового режима</t>
  </si>
  <si>
    <t>Факт</t>
  </si>
  <si>
    <t>Расчет</t>
  </si>
  <si>
    <t xml:space="preserve">Расчет по СаО </t>
  </si>
  <si>
    <t>Выход шлака, кг,т.чугуна</t>
  </si>
  <si>
    <t>Состав шлака,%</t>
  </si>
  <si>
    <t>Основность</t>
  </si>
  <si>
    <t>Вязкость, пуаз</t>
  </si>
  <si>
    <t xml:space="preserve">Расход средневзвешенного рудного материала </t>
  </si>
  <si>
    <t>Температура пл. шлака, С</t>
  </si>
  <si>
    <t>пмпп</t>
  </si>
  <si>
    <t>Известняк</t>
  </si>
  <si>
    <t>РАСЧЕТ</t>
  </si>
  <si>
    <t>Технический состав кокса, %</t>
  </si>
  <si>
    <t>ПРОЕКТНЫЙ ПЕРИОД</t>
  </si>
  <si>
    <t xml:space="preserve"> Состав золы кокса, %</t>
  </si>
  <si>
    <t xml:space="preserve">     Fe</t>
  </si>
  <si>
    <t xml:space="preserve">   Al2O3</t>
  </si>
  <si>
    <t xml:space="preserve">   MgO</t>
  </si>
  <si>
    <t xml:space="preserve">Средневзвешенный состав рудного материала </t>
  </si>
  <si>
    <t>Расход средневзвешенного рудного материала по бал. железа без  потерь (учета выноса пыли и т.п).</t>
  </si>
  <si>
    <t xml:space="preserve">Железорудных 
материалов с учетом потерь </t>
  </si>
  <si>
    <t>Итого агломерата</t>
  </si>
  <si>
    <t>Расход кокса кг/т чугуна</t>
  </si>
  <si>
    <t>Производительность 
печи т/сут</t>
  </si>
  <si>
    <t>Масса серы вносимая в печь</t>
  </si>
  <si>
    <t>CaO=</t>
  </si>
  <si>
    <t>SiO2=</t>
  </si>
  <si>
    <t>Al2O3=</t>
  </si>
  <si>
    <t>MgO=</t>
  </si>
  <si>
    <t>TiO2=</t>
  </si>
  <si>
    <t>MnO=</t>
  </si>
  <si>
    <t>FeO=</t>
  </si>
  <si>
    <t>Удельный выход шлака по СаО</t>
  </si>
  <si>
    <t>U, кг/т.чугуна</t>
  </si>
  <si>
    <t>альфа</t>
  </si>
  <si>
    <t>прогнозный</t>
  </si>
  <si>
    <t>Зависимость вязкости шлака в проектном периоде от  температуры</t>
  </si>
  <si>
    <t>Для прогнозного периода плавки:</t>
  </si>
  <si>
    <t>Для прогнозного периода работы печи</t>
  </si>
  <si>
    <t>Для прогнозного периода работы печи:</t>
  </si>
  <si>
    <t>Коэффф. Распр. Серы</t>
  </si>
  <si>
    <t xml:space="preserve">   lg(Lsпр/Lsбаз) при  выходе шлака в баз. режиме по отчетн. данным</t>
  </si>
  <si>
    <t>lg(Lsпр/Lsбаз) =</t>
  </si>
  <si>
    <t>Lsпр/Lsбаз =</t>
  </si>
  <si>
    <t>Коэффициент распределения серы</t>
  </si>
  <si>
    <t>Содержание серы в прогнозном  периоде, %</t>
  </si>
  <si>
    <t xml:space="preserve">   lg(Lsпр/Lsбаз) при  выходе шлака в баз. режиме расчетный по выходу шлака</t>
  </si>
  <si>
    <t>Концентрат  Лебединского Гок</t>
  </si>
  <si>
    <t>Богатая сернистая руда г. Магнитной</t>
  </si>
  <si>
    <t>0,01`3</t>
  </si>
  <si>
    <t>Богатая сернистая руда М.Куйбас</t>
  </si>
  <si>
    <t>Температура шлака при вязкости 7 пуаз</t>
  </si>
  <si>
    <t>Температура шлака при 7 пуаз</t>
  </si>
  <si>
    <t>База расч.</t>
  </si>
  <si>
    <t>сварочный шлак</t>
  </si>
  <si>
    <t>плавиковый шлак</t>
  </si>
  <si>
    <t>С учетом потерь с пылью и шламом</t>
  </si>
  <si>
    <t>Скорректированный состав шлака в проектном периоде</t>
  </si>
  <si>
    <t>для анализа</t>
  </si>
  <si>
    <t>Диагностика</t>
  </si>
  <si>
    <t>исправил</t>
  </si>
  <si>
    <t>Исправил</t>
  </si>
  <si>
    <t>`</t>
  </si>
  <si>
    <t>на расход кокса</t>
  </si>
  <si>
    <t>эквивалент замены кокса природным газом</t>
  </si>
  <si>
    <t>кг/м3</t>
  </si>
  <si>
    <t>содержание золы в коксе</t>
  </si>
  <si>
    <t>% кокса/град</t>
  </si>
  <si>
    <t>%кокса/% железа</t>
  </si>
  <si>
    <t>% кокса/% кремния</t>
  </si>
  <si>
    <t>%кокса/% золы</t>
  </si>
  <si>
    <t>%кокса/ %</t>
  </si>
  <si>
    <t>уменьшение влажности дутья на 1гр/м3</t>
  </si>
  <si>
    <t>уменьшение истираемости кокса по М10 на 1%</t>
  </si>
  <si>
    <t>%кокса/гр.м3</t>
  </si>
  <si>
    <t>на производительность</t>
  </si>
  <si>
    <t>% произв/град</t>
  </si>
  <si>
    <t>%произв/% железа</t>
  </si>
  <si>
    <t>% проив/% кремния</t>
  </si>
  <si>
    <t>%произв/% золы</t>
  </si>
  <si>
    <t>%произв/ %</t>
  </si>
  <si>
    <t>%произв/гр.м3</t>
  </si>
  <si>
    <t>увеличение сод. кислорода в дутье на 1%</t>
  </si>
  <si>
    <t>%произ/%кислорода</t>
  </si>
  <si>
    <r>
      <t xml:space="preserve"> </t>
    </r>
    <r>
      <rPr>
        <sz val="10"/>
        <color indexed="53"/>
        <rFont val="Arial Cyr"/>
        <family val="2"/>
        <charset val="204"/>
      </rPr>
      <t>Исправлено</t>
    </r>
  </si>
  <si>
    <t>повышение прочности кокса  по М25 на  1%</t>
  </si>
  <si>
    <t>Прочность кокса по М25,%</t>
  </si>
  <si>
    <t>Истираемость кокса по М10,%</t>
  </si>
  <si>
    <t>Исправлено</t>
  </si>
  <si>
    <t>Прочностные свойства кокса</t>
  </si>
  <si>
    <t>СВОЙСТВА КОКСА</t>
  </si>
  <si>
    <t>НАСТРОЙКА ПАКЕТА</t>
  </si>
  <si>
    <t>Исправления по титану</t>
  </si>
  <si>
    <t>Коэффициент распределения титана шлак по СаО.</t>
  </si>
  <si>
    <r>
      <t>Исправил</t>
    </r>
    <r>
      <rPr>
        <sz val="10"/>
        <rFont val="Arial Cyr"/>
        <charset val="204"/>
      </rPr>
      <t xml:space="preserve"> TiO2</t>
    </r>
  </si>
  <si>
    <t>Переходит титана в чугун, кг/т.чугуна</t>
  </si>
  <si>
    <t>или в %</t>
  </si>
  <si>
    <t>РАСЧЕТНЫЕ ЗНАЧЕНИЯ</t>
  </si>
  <si>
    <t xml:space="preserve">или в % </t>
  </si>
  <si>
    <r>
      <t xml:space="preserve">Вязкость шлака при температуре 1400 0С с поправкой на оксид магния </t>
    </r>
    <r>
      <rPr>
        <sz val="10"/>
        <color indexed="53"/>
        <rFont val="Arial Cyr"/>
        <family val="2"/>
        <charset val="204"/>
      </rPr>
      <t>и  оксид титана</t>
    </r>
  </si>
  <si>
    <t>исправлено</t>
  </si>
  <si>
    <r>
      <t>Вязкость шлака при температуре 1400 0С с поправкой на оксид магния</t>
    </r>
    <r>
      <rPr>
        <b/>
        <sz val="10"/>
        <color indexed="10"/>
        <rFont val="Arial Cyr"/>
        <family val="2"/>
        <charset val="204"/>
      </rPr>
      <t xml:space="preserve"> и оксид титана </t>
    </r>
  </si>
  <si>
    <r>
      <t xml:space="preserve">Базовый период, </t>
    </r>
    <r>
      <rPr>
        <sz val="10"/>
        <color indexed="57"/>
        <rFont val="Arial Cyr"/>
        <family val="2"/>
        <charset val="204"/>
      </rPr>
      <t xml:space="preserve"> </t>
    </r>
  </si>
  <si>
    <t>Проектный период</t>
  </si>
  <si>
    <t>В качестве базового периода взята работа 1дп август 2002г</t>
  </si>
  <si>
    <t>В качестве проектного периода взята работа 1дп март 2003г</t>
  </si>
  <si>
    <t>Состав шлака в проектном периоде (факт)</t>
  </si>
  <si>
    <t>пр-ть, т/сутки -3566 т</t>
  </si>
  <si>
    <t>КОКС КГ/Т- 423.2</t>
  </si>
  <si>
    <t xml:space="preserve">БАЛАНС СЫРЬЯ НА АГЛОМЕРАТ </t>
  </si>
  <si>
    <t>ЦЛК   15.07.03</t>
  </si>
  <si>
    <t>по отчётным данным за июнь 2003 г. с заменой к-та ССГПО на БакРУ</t>
  </si>
  <si>
    <t xml:space="preserve">  Нат.</t>
  </si>
  <si>
    <t xml:space="preserve">  W</t>
  </si>
  <si>
    <t>Сух.вес.</t>
  </si>
  <si>
    <t xml:space="preserve">    ППП</t>
  </si>
  <si>
    <t xml:space="preserve"> К-т</t>
  </si>
  <si>
    <t xml:space="preserve">      CaO</t>
  </si>
  <si>
    <t xml:space="preserve">   SiO2</t>
  </si>
  <si>
    <t xml:space="preserve">   TiO2</t>
  </si>
  <si>
    <t xml:space="preserve">    S</t>
  </si>
  <si>
    <t xml:space="preserve">   P</t>
  </si>
  <si>
    <t xml:space="preserve">   Cr   </t>
  </si>
  <si>
    <t xml:space="preserve"> вес.т.</t>
  </si>
  <si>
    <t xml:space="preserve">  %</t>
  </si>
  <si>
    <t>тонн</t>
  </si>
  <si>
    <t xml:space="preserve">   %  </t>
  </si>
  <si>
    <t>пер</t>
  </si>
  <si>
    <t xml:space="preserve">  %  </t>
  </si>
  <si>
    <t xml:space="preserve"> т</t>
  </si>
  <si>
    <t xml:space="preserve"> т  </t>
  </si>
  <si>
    <t>к-т ММС-2</t>
  </si>
  <si>
    <t>Лебед.к-т</t>
  </si>
  <si>
    <t>ССГОК возвр.</t>
  </si>
  <si>
    <t>ССГОК к-т</t>
  </si>
  <si>
    <t>Стойл.к-т</t>
  </si>
  <si>
    <t>Коршуновский к-т</t>
  </si>
  <si>
    <t>Мих.к-т</t>
  </si>
  <si>
    <t>Ковдор. к-т</t>
  </si>
  <si>
    <t>А/руда ММК</t>
  </si>
  <si>
    <t>Богосл.а/р.</t>
  </si>
  <si>
    <t>Стойл.а/р.</t>
  </si>
  <si>
    <t>Михайл.а/р.</t>
  </si>
  <si>
    <t>"Атансор".а/р.</t>
  </si>
  <si>
    <t>Белор.а/р.</t>
  </si>
  <si>
    <t>Злат. Агл-т</t>
  </si>
  <si>
    <t>Отс.ССГПО</t>
  </si>
  <si>
    <t>Шлам 4а/ф</t>
  </si>
  <si>
    <t>Кол.пыль</t>
  </si>
  <si>
    <t>Агломел.</t>
  </si>
  <si>
    <t>Окалина.</t>
  </si>
  <si>
    <t>К.шлак маг.</t>
  </si>
  <si>
    <t>Бак.сид.</t>
  </si>
  <si>
    <t>Известь</t>
  </si>
  <si>
    <t>Кокс сух.</t>
  </si>
  <si>
    <t>Заданная основность CaO/SiO2</t>
  </si>
  <si>
    <t>Фактическая основность</t>
  </si>
  <si>
    <t>Содержание FeO в аглом.,%</t>
  </si>
  <si>
    <t>Расчетный состав агломерата (УПИ)</t>
  </si>
  <si>
    <t>Расход доломита, кг./100 кг агломерата</t>
  </si>
  <si>
    <t>Состав аглом.с коэф.ММК</t>
  </si>
  <si>
    <r>
      <t xml:space="preserve">Определение </t>
    </r>
    <r>
      <rPr>
        <sz val="10"/>
        <rFont val="Symbol"/>
        <family val="1"/>
        <charset val="2"/>
      </rPr>
      <t>D</t>
    </r>
    <r>
      <rPr>
        <vertAlign val="subscript"/>
        <sz val="10"/>
        <rFont val="Arial CYR"/>
        <family val="2"/>
        <charset val="204"/>
      </rPr>
      <t>1</t>
    </r>
  </si>
  <si>
    <t>Расчет по  методу ММК</t>
  </si>
  <si>
    <t>Каждый компонент агломерационной шихты теряет, кг/кг</t>
  </si>
  <si>
    <t>железорудный материал</t>
  </si>
  <si>
    <t>доломит</t>
  </si>
  <si>
    <t>коэффициент при x</t>
  </si>
  <si>
    <t>коэффициент при y</t>
  </si>
  <si>
    <t>свободный член</t>
  </si>
  <si>
    <t>Уравнение материального баланса</t>
  </si>
  <si>
    <t>X</t>
  </si>
  <si>
    <t>Y</t>
  </si>
  <si>
    <t>=</t>
  </si>
  <si>
    <t>Уравнение по основности</t>
  </si>
  <si>
    <t>Система уравнений</t>
  </si>
  <si>
    <t>I</t>
  </si>
  <si>
    <t>II</t>
  </si>
  <si>
    <t>Решение</t>
  </si>
  <si>
    <t>Расход желез. Материала (X), кг/100 кг аглом.</t>
  </si>
  <si>
    <t>Расход  известняка (Y), кг/100кг агл.</t>
  </si>
  <si>
    <t>Расчет состава агломерата</t>
  </si>
  <si>
    <t>Компонент шихты</t>
  </si>
  <si>
    <t>Расход кг/100 кг</t>
  </si>
  <si>
    <t xml:space="preserve"> Состав, % и масса, кг/100 кг</t>
  </si>
  <si>
    <t xml:space="preserve"> S</t>
  </si>
  <si>
    <t xml:space="preserve"> P</t>
  </si>
  <si>
    <t xml:space="preserve"> Fe2O3 </t>
  </si>
  <si>
    <t xml:space="preserve"> FeO</t>
  </si>
  <si>
    <t xml:space="preserve"> CaO</t>
  </si>
  <si>
    <t xml:space="preserve"> SiO2</t>
  </si>
  <si>
    <t xml:space="preserve"> Al2O3</t>
  </si>
  <si>
    <t xml:space="preserve"> MgO</t>
  </si>
  <si>
    <t xml:space="preserve"> MnO</t>
  </si>
  <si>
    <t xml:space="preserve"> TiO2</t>
  </si>
  <si>
    <t xml:space="preserve"> пмпп</t>
  </si>
  <si>
    <t xml:space="preserve"> кг</t>
  </si>
  <si>
    <t xml:space="preserve"> %</t>
  </si>
  <si>
    <t>кг</t>
  </si>
  <si>
    <t xml:space="preserve"> % </t>
  </si>
  <si>
    <t xml:space="preserve"> %-</t>
  </si>
  <si>
    <t>Шихта</t>
  </si>
  <si>
    <t>Всего в шихте</t>
  </si>
  <si>
    <t>Переходит в агломерат</t>
  </si>
  <si>
    <t>Сумма оксидов</t>
  </si>
  <si>
    <t>Расчетный состав агломерата по УПИ</t>
  </si>
  <si>
    <t>Корр. Коэф ММК</t>
  </si>
  <si>
    <t>н/дl</t>
  </si>
  <si>
    <r>
      <t xml:space="preserve">Определение </t>
    </r>
    <r>
      <rPr>
        <b/>
        <sz val="10"/>
        <rFont val="Symbol"/>
        <family val="1"/>
        <charset val="2"/>
      </rPr>
      <t>D</t>
    </r>
    <r>
      <rPr>
        <b/>
        <vertAlign val="subscript"/>
        <sz val="10"/>
        <rFont val="Symbol"/>
        <family val="1"/>
        <charset val="2"/>
      </rPr>
      <t>2</t>
    </r>
  </si>
  <si>
    <t>РАСЧЕТ НА ЗАДАННУЮ ОСНОВЕНОСТЬ ШЛАКА</t>
  </si>
  <si>
    <t>ОПТИМАЛЬНАЯ ДОМЕННАЯ ШИХТА</t>
  </si>
  <si>
    <t>1.</t>
  </si>
  <si>
    <t>Корректировка основностью агломерата</t>
  </si>
  <si>
    <t>(известняк в аглошихту)</t>
  </si>
  <si>
    <t xml:space="preserve"> (известняк  в аглошхту)</t>
  </si>
  <si>
    <t>Заданная основность доменного шлака</t>
  </si>
  <si>
    <t>Параметр</t>
  </si>
  <si>
    <t>Вязкость шлака,пуаз</t>
  </si>
  <si>
    <t>Осн. Шлака</t>
  </si>
  <si>
    <t>Осн аглом.</t>
  </si>
  <si>
    <t>Сод серы</t>
  </si>
  <si>
    <t>Вязк.при 1450С</t>
  </si>
  <si>
    <t>Град.вязк.пуаз/С</t>
  </si>
  <si>
    <t>Начальное приближение</t>
  </si>
  <si>
    <t>Макс.знач.</t>
  </si>
  <si>
    <t>Масса в шлаке CaO, кг.т.чугуна</t>
  </si>
  <si>
    <t>Мин.знач.</t>
  </si>
  <si>
    <t>Масса в шлаке SiO2, кг.т.чугуна</t>
  </si>
  <si>
    <t>Основность шлака</t>
  </si>
  <si>
    <t>Содержание серы в чугуне,%</t>
  </si>
  <si>
    <t>Основность агломерата</t>
  </si>
  <si>
    <t>Вязкость шлака, пуаз</t>
  </si>
  <si>
    <t>Агломерат вносил</t>
  </si>
  <si>
    <t>СаО, кг/т.чугуна</t>
  </si>
  <si>
    <t>SiO2, кг/т.чугуна</t>
  </si>
  <si>
    <t xml:space="preserve">Вязкость при 1450С </t>
  </si>
  <si>
    <t>Градиент пуаз/град</t>
  </si>
  <si>
    <t>2. Корректировка расходом известняка в доменную шихту</t>
  </si>
  <si>
    <t>3. Корректировка расходом кварцита в доменную шихту</t>
  </si>
  <si>
    <t>Расход кварцита, кг/т.чугуна</t>
  </si>
  <si>
    <t>Расход известняка, кг/т.чугуна</t>
  </si>
  <si>
    <t>Расход кокса, кг,т.чугуна</t>
  </si>
  <si>
    <t>Производительность, т,сутки</t>
  </si>
  <si>
    <t>кокса</t>
  </si>
  <si>
    <t>Рас. кокса,кг/т.чуг.</t>
  </si>
  <si>
    <t>Произв.,т/сутки</t>
  </si>
  <si>
    <t>серы в чугуне</t>
  </si>
  <si>
    <t>расхода кокса</t>
  </si>
  <si>
    <t>градиента тмператур</t>
  </si>
  <si>
    <t>экономические  затраты</t>
  </si>
  <si>
    <t>4. Оптимальная основность агломерата</t>
  </si>
  <si>
    <t>5.Оптимальный расход известняка в доменную шихту, кг/т чугуна</t>
  </si>
  <si>
    <t>Величина</t>
  </si>
  <si>
    <t>Минимум</t>
  </si>
  <si>
    <t>Максимум</t>
  </si>
  <si>
    <t>Производительность, т/сутки</t>
  </si>
  <si>
    <t>Расход кокса, кг/т чугуна</t>
  </si>
  <si>
    <t>Градиент вязкости шлака, пуаз/град. С</t>
  </si>
  <si>
    <t xml:space="preserve">Вязкость шлака при 1450 С, пуаз </t>
  </si>
  <si>
    <t>Содержание серы в чугуне, %</t>
  </si>
  <si>
    <t>Флюсы, кг/т чугуна</t>
  </si>
  <si>
    <t>кварцит</t>
  </si>
  <si>
    <t>Расход кварцита в дом. шихту, кг/т чугуна</t>
  </si>
  <si>
    <t>ВАРИАНТЫ: минимум</t>
  </si>
  <si>
    <t>Показатель, ед. измерения</t>
  </si>
  <si>
    <t>Ограничения</t>
  </si>
  <si>
    <t>Цель:</t>
  </si>
  <si>
    <t>минимум серы в чугуне</t>
  </si>
  <si>
    <t>минимум расхода кокса</t>
  </si>
  <si>
    <t>Производительность доменной печи, т/сутки</t>
  </si>
  <si>
    <t>Сохранение оптимизационной модели</t>
  </si>
  <si>
    <t>Целевая функция</t>
  </si>
  <si>
    <t>Переменные</t>
  </si>
  <si>
    <t>Диапазон переменных</t>
  </si>
  <si>
    <t>максимум производительности</t>
  </si>
  <si>
    <t>Выход шлака, кг/т чугуна (факт.)</t>
  </si>
  <si>
    <t>руда Михайл. доменная</t>
  </si>
  <si>
    <t>руда Марг. Жайремская</t>
  </si>
  <si>
    <t>Содержание железа в шихте, %</t>
  </si>
  <si>
    <t>Агломерат а/ф №4</t>
  </si>
  <si>
    <t>Окатыши Соколовские</t>
  </si>
  <si>
    <t>Руда Михайл. доменная</t>
  </si>
  <si>
    <t>Руда Марг. Жайремская</t>
  </si>
  <si>
    <t>Агломерат неочищенный</t>
  </si>
  <si>
    <t>ZnO</t>
  </si>
  <si>
    <t>агломерат а/ф №3</t>
  </si>
  <si>
    <t>агломерат а/ф №2</t>
  </si>
  <si>
    <t>Агломерат а/ф №3</t>
  </si>
  <si>
    <t>Агломерат а/ф №2</t>
  </si>
  <si>
    <t>Наименование</t>
  </si>
  <si>
    <t>резерв</t>
  </si>
  <si>
    <t>агломерат неочищенный</t>
  </si>
  <si>
    <t>Температура шлака, С</t>
  </si>
  <si>
    <t>уменьшение влажности дутья на 1 г/м3</t>
  </si>
  <si>
    <t>повышение прочности кокса  по М25 на 1%</t>
  </si>
  <si>
    <t>Коэффициент активности серы в чугуне</t>
  </si>
  <si>
    <t>отсев агломерата</t>
  </si>
  <si>
    <t>Отсев агломерата</t>
  </si>
  <si>
    <t>Шлак фракц.</t>
  </si>
  <si>
    <t>Проект расч.</t>
  </si>
  <si>
    <t>Учитывать ограничения:</t>
  </si>
  <si>
    <t>Масса оксидов и серы в шлаке, кг/т чугуна</t>
  </si>
  <si>
    <t>Состав шлака, %</t>
  </si>
  <si>
    <t>Удельный выход шлака по выходу шлакообразующих</t>
  </si>
  <si>
    <t>Массы оксидов и серы в шлаке, кг/т чугуна</t>
  </si>
  <si>
    <t>Переходит титана в чугун, кг/т чугуна</t>
  </si>
  <si>
    <t>Расход природного газа в расчете на 1 кг углерода кокса, сгорающего у фурм</t>
  </si>
  <si>
    <t>Количество углерода кокса, сгорающего у фурм</t>
  </si>
  <si>
    <t xml:space="preserve">Вязкость конечного шлака при 1450 С, пуаз </t>
  </si>
  <si>
    <r>
      <t>Основность конечного шлака (CaO/SiO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)</t>
    </r>
  </si>
  <si>
    <t>заданная основность конечного шлака</t>
  </si>
  <si>
    <t>Задано</t>
  </si>
  <si>
    <t>Величина ограничения</t>
  </si>
  <si>
    <t>Ввод ограничений на поиск оптимальных параметров</t>
  </si>
  <si>
    <t>База</t>
  </si>
  <si>
    <t>Проект</t>
  </si>
  <si>
    <t>Градиент вязкости конечного шлака, пуаз/град. С</t>
  </si>
  <si>
    <t>Отклонение от базы</t>
  </si>
  <si>
    <t>минимум градиента вязкости конечного шлака</t>
  </si>
  <si>
    <t>Управляющее воздействие (расход флюса):</t>
  </si>
  <si>
    <t>Плавиковый шпат</t>
  </si>
  <si>
    <t>Расход известняка, кг/т чугуна</t>
  </si>
  <si>
    <t>Расход плавикового шпата, кг/т чугуна</t>
  </si>
  <si>
    <t>Расход кварцита, кг/т чугуна</t>
  </si>
  <si>
    <t>Результат расчета (в проектный период):</t>
  </si>
  <si>
    <t>Расход шлака фракцинированного, кг/т чугуна</t>
  </si>
  <si>
    <t>Шлак фракцинированный</t>
  </si>
  <si>
    <t>Расчет оптимального расхода флюса в доменную шихту</t>
  </si>
  <si>
    <t>Расчет оптимального соотношения расходов агломерата ММК и окатышей ССГОК в доменную шихту</t>
  </si>
  <si>
    <t>Доля агломерата ММК</t>
  </si>
  <si>
    <t>Окатыши ССГОК</t>
  </si>
  <si>
    <t>Окатыши Качанарские</t>
  </si>
  <si>
    <t>Управляющее воздействие:</t>
  </si>
  <si>
    <t>Сумма долей всех ЖРМ</t>
  </si>
  <si>
    <t>Ввод ограничений на поиск оптимальных параметров (в проектном периоде):</t>
  </si>
  <si>
    <t>Величина  проектном периоде</t>
  </si>
  <si>
    <t>Результат расчета, доля в проектном периоде:</t>
  </si>
  <si>
    <t>Величина в проектном периоде</t>
  </si>
  <si>
    <t>оптимизация</t>
  </si>
  <si>
    <t>Корректировочныем коэффициенты:</t>
  </si>
  <si>
    <t>мимимум</t>
  </si>
  <si>
    <t>максимум</t>
  </si>
  <si>
    <t>СообщениеМинимум</t>
  </si>
  <si>
    <t>СообщениеНорма</t>
  </si>
  <si>
    <t>СообщениеМаксимум</t>
  </si>
  <si>
    <t>Блок диагностики шлакового режима</t>
  </si>
  <si>
    <t xml:space="preserve">Вязкость конечного шлака в интервале 1450-1550 С, пуаз </t>
  </si>
  <si>
    <t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t>
  </si>
  <si>
    <t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t>
  </si>
  <si>
    <t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t>
  </si>
  <si>
    <t>2. Шлак относится к типу «длинных шлаков» и особых опасностей не приносит</t>
  </si>
  <si>
    <t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t>
  </si>
  <si>
    <t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t>
  </si>
  <si>
    <t xml:space="preserve"> - ручной ввод</t>
  </si>
  <si>
    <t>3. При низкой основности шлака уменьшается десульфурирующая способность шлака, Возможно получение брака по содержанию серы в чугуне.</t>
  </si>
  <si>
    <r>
      <t>3. При промежуточной основности шлака (CaO/SiO</t>
    </r>
    <r>
      <rPr>
        <vertAlign val="sub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=0,85-1,25) обеспечивается нормальный шлаковый режим плавки</t>
    </r>
  </si>
  <si>
    <t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t>
  </si>
  <si>
    <t>Содержание MgO в шлаке, %</t>
  </si>
  <si>
    <r>
      <t>Содержание Al</t>
    </r>
    <r>
      <rPr>
        <vertAlign val="sub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O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 xml:space="preserve"> в шлаке, %</t>
    </r>
  </si>
  <si>
    <t>4. При низком содержании глинозема в шлаке он становится «неустойчивым», т.е. резко теряет вязкость при изменении состава шлака</t>
  </si>
  <si>
    <t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t>
  </si>
  <si>
    <t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t>
  </si>
  <si>
    <t>5. При пониженной концентрации магнезии в шлаке  снижается десульфурирующая способность шлака</t>
  </si>
  <si>
    <t>5. При промежуточном содержании магнезии в шлаке (MgO=7,0-12,0 %) свойства шлака отвечают нормальному течению шлакового режима</t>
  </si>
  <si>
    <t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t>
  </si>
  <si>
    <t>Агломерат ММК и окатыши ССГОК</t>
  </si>
  <si>
    <t>Агломерат ММК и окатыши Лебединские</t>
  </si>
  <si>
    <t>Агломерат ММК и окатыши Качанарские</t>
  </si>
  <si>
    <t>Агломерат ММК и окатыши Михайловские</t>
  </si>
  <si>
    <t>Диагностика шлакового режима:</t>
  </si>
  <si>
    <t>Ввод составов загружаемых ЖРМ (таблица 1)</t>
  </si>
  <si>
    <t>Ввод видов и составов (%) загружаемых в печь флюсов  (таблица 2)</t>
  </si>
  <si>
    <t>Технический состав кокса, %   (таблица 3)</t>
  </si>
  <si>
    <t>Состав золы кокса, % (таблица 4)</t>
  </si>
  <si>
    <t>Ti</t>
  </si>
  <si>
    <t>Итого ЖРМ</t>
  </si>
  <si>
    <t>ИСХОДНЫЕ ДАННЫЕ</t>
  </si>
  <si>
    <t>ввод данных</t>
  </si>
  <si>
    <t>Результаты</t>
  </si>
  <si>
    <t>результаты вычислений</t>
  </si>
  <si>
    <t>вязкость при т-ре 1350</t>
  </si>
  <si>
    <t>вязкость при т-ре 1400</t>
  </si>
  <si>
    <t>вязкость при т-ре 1450</t>
  </si>
  <si>
    <t>вязкость при т-ре 1500</t>
  </si>
  <si>
    <t>вязкость при т-ре 1550</t>
  </si>
  <si>
    <t>тем-ра при вяз-сти 25 пуаз</t>
  </si>
  <si>
    <t>тем-ра при вяз-сти 7 пуаз</t>
  </si>
  <si>
    <t>Градиент вяз-сти 25-7 пуаз</t>
  </si>
  <si>
    <t>Градиент вяз-сти 1400-1500 С</t>
  </si>
  <si>
    <t>Результаты проверки алгоритмов расчета шлака</t>
  </si>
  <si>
    <t>Дата:</t>
  </si>
  <si>
    <t xml:space="preserve">ВЛИЯНИЕ ОСНОВАНОСТИ в диапазоне от 0,8 до1,2 при </t>
  </si>
  <si>
    <t>CaO+SiO2 =</t>
  </si>
  <si>
    <t>CaO/SiO2 =</t>
  </si>
  <si>
    <t>база</t>
  </si>
  <si>
    <t>CaO+SiO2+Al2O3+TiO2=</t>
  </si>
  <si>
    <t>ВЛИЯНИЕ MgO в диапазоне 5-20% при CaO/SiO2  от 0,8 до 1,2</t>
  </si>
  <si>
    <t>Влияние MgO при условии  CaO/SiO2  = 0,8  и Al2O3=12%</t>
  </si>
  <si>
    <t>Влияние MgO при условии  CaO/SiO2  = 1,0  и Al2O3=12%</t>
  </si>
  <si>
    <t>Влияние MgO при условии  CaO/SiO2  = 1,2  и Al2O3=12%</t>
  </si>
  <si>
    <t>Самый новый вариант</t>
  </si>
  <si>
    <t>ВЛИЯНИЕ Al2O3 в диапазоне 5-15% при CaO/SiO2  от 0,8 до 1,2</t>
  </si>
  <si>
    <t>ВВОД данных</t>
  </si>
  <si>
    <t>Влияние Al2O3 при условии  CaO/SiO2  = 0,8  и MgO=10%</t>
  </si>
  <si>
    <t>Влияние Al2O3 при условии  CaO/SiO2  = 1,0  и MgO=10%</t>
  </si>
  <si>
    <t>Влияние Al2O3 при условии  CaO/SiO2  = 1,2  и MgO=10%</t>
  </si>
  <si>
    <t>(25 пуаз)</t>
  </si>
  <si>
    <t>Ввод состава шлака</t>
  </si>
  <si>
    <t xml:space="preserve">При температуре </t>
  </si>
  <si>
    <t>и</t>
  </si>
  <si>
    <t>При температуре 1500 С</t>
  </si>
  <si>
    <t>При глиноземе</t>
  </si>
  <si>
    <t>Коэффициенты</t>
  </si>
  <si>
    <t xml:space="preserve">MgO= </t>
  </si>
  <si>
    <t>факт</t>
  </si>
  <si>
    <t>MgO=5</t>
  </si>
  <si>
    <t>MgO=10</t>
  </si>
  <si>
    <t>MgO=15</t>
  </si>
  <si>
    <t>MgO=20</t>
  </si>
  <si>
    <t>Поправка на глинозем</t>
  </si>
  <si>
    <t>Состав шлака</t>
  </si>
  <si>
    <t>Al2O3=5</t>
  </si>
  <si>
    <t>Вязкость шлака при т-ре</t>
  </si>
  <si>
    <t>1400 С</t>
  </si>
  <si>
    <t>Al2O3=12</t>
  </si>
  <si>
    <t>Al2O3=15</t>
  </si>
  <si>
    <t>m4</t>
  </si>
  <si>
    <t>m3</t>
  </si>
  <si>
    <t>m2</t>
  </si>
  <si>
    <t>m1</t>
  </si>
  <si>
    <t>bo</t>
  </si>
  <si>
    <t>1500 С</t>
  </si>
  <si>
    <t>ИСХОДНЫЕ ДАННЫЕ ДЛЯ РАСЧЕТА</t>
  </si>
  <si>
    <t>Al2O3=12%</t>
  </si>
  <si>
    <t>Al2O3=5%</t>
  </si>
  <si>
    <t>Al2O3=15%</t>
  </si>
  <si>
    <r>
      <t>Влияние CaO/SiO2 (при условии CaO+SiO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charset val="204"/>
      </rPr>
      <t>=const)</t>
    </r>
  </si>
  <si>
    <t>ручной ввод</t>
  </si>
  <si>
    <t>Обобщенная (по Куликову)</t>
  </si>
  <si>
    <t>Вязкость при т-ре шлака</t>
  </si>
  <si>
    <t>Вязкость при т-ре шлака, пуаз</t>
  </si>
  <si>
    <r>
      <t>(CaO+MgO)/SiO</t>
    </r>
    <r>
      <rPr>
        <b/>
        <vertAlign val="subscript"/>
        <sz val="10"/>
        <rFont val="Arial Cyr"/>
        <charset val="204"/>
      </rPr>
      <t>2</t>
    </r>
  </si>
  <si>
    <r>
      <t>(CaO+MgO)/(SiO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family val="2"/>
        <charset val="204"/>
      </rPr>
      <t>+Al</t>
    </r>
    <r>
      <rPr>
        <b/>
        <vertAlign val="subscript"/>
        <sz val="10"/>
        <rFont val="Arial Cyr"/>
        <charset val="204"/>
      </rPr>
      <t>2</t>
    </r>
    <r>
      <rPr>
        <b/>
        <sz val="10"/>
        <rFont val="Arial Cyr"/>
        <family val="2"/>
        <charset val="204"/>
      </rPr>
      <t>O</t>
    </r>
    <r>
      <rPr>
        <b/>
        <vertAlign val="subscript"/>
        <sz val="10"/>
        <rFont val="Arial Cyr"/>
        <charset val="204"/>
      </rPr>
      <t>3</t>
    </r>
    <r>
      <rPr>
        <b/>
        <sz val="10"/>
        <rFont val="Arial Cyr"/>
        <family val="2"/>
        <charset val="204"/>
      </rPr>
      <t>)</t>
    </r>
  </si>
  <si>
    <r>
      <t xml:space="preserve">при 1400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</si>
  <si>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при 1500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</si>
  <si>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Градиент вязкости, пуаз /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</si>
  <si>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Температура шлака (при 7 пуаз),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</si>
  <si>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Температура шлака,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</si>
  <si>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>Масса серы, вносимая в печь, кг/т чугуна</t>
  </si>
  <si>
    <r>
      <t xml:space="preserve">Температура шлака (при 25 пуаз),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</si>
  <si>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>Вынос пыли (уловленной), кг/т чугуна</t>
  </si>
  <si>
    <r>
      <t xml:space="preserve">температура, </t>
    </r>
    <r>
      <rPr>
        <sz val="10"/>
        <rFont val="Symbol"/>
        <family val="1"/>
        <charset val="2"/>
      </rPr>
      <t>°</t>
    </r>
    <r>
      <rPr>
        <sz val="10"/>
        <rFont val="Arial Cyr"/>
        <charset val="204"/>
      </rPr>
      <t>С</t>
    </r>
  </si>
  <si>
    <r>
      <t>влажность, г/м</t>
    </r>
    <r>
      <rPr>
        <vertAlign val="superscript"/>
        <sz val="10"/>
        <rFont val="Arial Cyr"/>
        <charset val="204"/>
      </rPr>
      <t>3</t>
    </r>
  </si>
  <si>
    <r>
      <t>Расход природного газа, м</t>
    </r>
    <r>
      <rPr>
        <b/>
        <vertAlign val="superscript"/>
        <sz val="10"/>
        <rFont val="Arial Cyr"/>
        <charset val="204"/>
      </rPr>
      <t>3</t>
    </r>
    <r>
      <rPr>
        <b/>
        <sz val="10"/>
        <rFont val="Arial Cyr"/>
        <family val="2"/>
        <charset val="204"/>
      </rPr>
      <t>/т чугуна</t>
    </r>
  </si>
  <si>
    <r>
      <t>SiO</t>
    </r>
    <r>
      <rPr>
        <vertAlign val="subscript"/>
        <sz val="10"/>
        <rFont val="Arial Cyr"/>
        <charset val="204"/>
      </rPr>
      <t>2</t>
    </r>
  </si>
  <si>
    <r>
      <t>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O</t>
    </r>
    <r>
      <rPr>
        <vertAlign val="subscript"/>
        <sz val="10"/>
        <rFont val="Arial Cyr"/>
        <charset val="204"/>
      </rPr>
      <t>3</t>
    </r>
  </si>
  <si>
    <r>
      <t>TiO</t>
    </r>
    <r>
      <rPr>
        <vertAlign val="subscript"/>
        <sz val="10"/>
        <rFont val="Arial Cyr"/>
        <charset val="204"/>
      </rPr>
      <t>2</t>
    </r>
  </si>
  <si>
    <r>
      <t>CaO/SiO</t>
    </r>
    <r>
      <rPr>
        <vertAlign val="subscript"/>
        <sz val="10"/>
        <rFont val="Arial Cyr"/>
        <charset val="204"/>
      </rPr>
      <t>2</t>
    </r>
  </si>
  <si>
    <r>
      <t xml:space="preserve">Температура чугуна,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</si>
  <si>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 xml:space="preserve">Выход шлака (баланс СаО), кг/т чугуна </t>
  </si>
  <si>
    <t>Горячая прочность (CSR), %</t>
  </si>
  <si>
    <t>Реакционная способность (CSI), %</t>
  </si>
  <si>
    <t>ПРОЕКТНЫЙ   ПЕРИОД</t>
  </si>
  <si>
    <t>БАЗОВЫЙ   ПЕРИОД</t>
  </si>
  <si>
    <t>Средневзвешенный состав рудного материала</t>
  </si>
  <si>
    <t>расчетное железо</t>
  </si>
  <si>
    <t>проект</t>
  </si>
  <si>
    <t>Фактическое проект</t>
  </si>
  <si>
    <t>Расчет оптимального состава агломерата для доменной шихты</t>
  </si>
  <si>
    <t>Состав загружаемого агломерата, %</t>
  </si>
  <si>
    <t>результат</t>
  </si>
  <si>
    <t>Агломерат (базовый)</t>
  </si>
  <si>
    <t>Агломерат (расчетный)</t>
  </si>
  <si>
    <t>Агломерат (проектный, ручной ввод)</t>
  </si>
  <si>
    <t>%кокса/(кг/т чугуна)</t>
  </si>
  <si>
    <t>увеличение расхода известняка на 1 кг/т чугуна</t>
  </si>
  <si>
    <t>увеличение расхода кварцита на 1 кг/т чугуна</t>
  </si>
  <si>
    <t>содерж. железа в железорудной части шихты</t>
  </si>
  <si>
    <t xml:space="preserve">повышение температура горячего дутья на град. </t>
  </si>
  <si>
    <r>
      <t>CaO/SiO</t>
    </r>
    <r>
      <rPr>
        <b/>
        <vertAlign val="subscript"/>
        <sz val="10"/>
        <rFont val="Arial Cyr"/>
        <charset val="204"/>
      </rPr>
      <t>2</t>
    </r>
  </si>
  <si>
    <r>
      <t xml:space="preserve">при 1450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</si>
  <si>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r>
      <t xml:space="preserve">при 1550 </t>
    </r>
    <r>
      <rPr>
        <b/>
        <sz val="10"/>
        <rFont val="Symbol"/>
        <family val="1"/>
        <charset val="2"/>
      </rPr>
      <t>°</t>
    </r>
    <r>
      <rPr>
        <b/>
        <sz val="10"/>
        <rFont val="Arial Cyr"/>
        <family val="2"/>
        <charset val="204"/>
      </rPr>
      <t>С</t>
    </r>
  </si>
  <si>
    <t xml:space="preserve">Вязкость конечного шлака при 1550 С, пуаз </t>
  </si>
  <si>
    <t>ТИ 101 -Д-22- 2009</t>
  </si>
  <si>
    <t>Увеличение  расхода  природного газа на 1 м3/,т.</t>
  </si>
  <si>
    <t>Повышение температуры дутья на 1град. С</t>
  </si>
  <si>
    <t>Увеличение массовой доли железа в рудной сыпи на 1%.</t>
  </si>
  <si>
    <t>Снижение массовой доли кремния в чугуне на 0,1%</t>
  </si>
  <si>
    <t>Уменьшение  массовой доли  золы в коксе, на 1%</t>
  </si>
  <si>
    <t>Повышение прочности кокса  по М25 на 1%</t>
  </si>
  <si>
    <t>Уменьшение истираемости кокса по М10 на 1%</t>
  </si>
  <si>
    <t>Увеличение влажности дутья на 1 г/м3</t>
  </si>
  <si>
    <t>Вывод из шихты 1 кг/т. известняка</t>
  </si>
  <si>
    <t>Вывод из шихты 1 кг/т. кварцита</t>
  </si>
  <si>
    <t>Снижение доли  сырой руды в шихте на 1%</t>
  </si>
  <si>
    <t>%кокса/% железной руды</t>
  </si>
  <si>
    <t>Увеличение объемной доли кислорода в дутье на 1%</t>
  </si>
  <si>
    <t>% произв./%кислорода</t>
  </si>
  <si>
    <t>% произв./град</t>
  </si>
  <si>
    <t>% произв/% железа</t>
  </si>
  <si>
    <t>% произв/% кремния</t>
  </si>
  <si>
    <t>% произв/% золы</t>
  </si>
  <si>
    <t>% произв/ %</t>
  </si>
  <si>
    <t>% произв/1г/м3</t>
  </si>
  <si>
    <t>% произв/(кг/т чугуна)</t>
  </si>
  <si>
    <t>% произв/% железной руды</t>
  </si>
  <si>
    <t>Изменение в проекте</t>
  </si>
  <si>
    <t>расхода кокса. кг/т.чуг</t>
  </si>
  <si>
    <t>производительности, т/сут.</t>
  </si>
  <si>
    <t>изменение производительности, т/сут.</t>
  </si>
  <si>
    <t>Итого изменение, т сутки</t>
  </si>
  <si>
    <t>Производительность в проектном периоде</t>
  </si>
  <si>
    <t>содерж. кремния в чугуне на 0,1%</t>
  </si>
  <si>
    <t>не учитывается</t>
  </si>
  <si>
    <t>Итого изменение расхода кокса, кг./т.чуг</t>
  </si>
  <si>
    <t>Итого изменение производительности, т/сутки</t>
  </si>
  <si>
    <t>Расчетный по вых. шлакобр. кг/т. чуг</t>
  </si>
  <si>
    <r>
      <t xml:space="preserve">температура, </t>
    </r>
    <r>
      <rPr>
        <sz val="10"/>
        <rFont val="Symbol"/>
        <family val="1"/>
        <charset val="2"/>
      </rPr>
      <t>°</t>
    </r>
    <r>
      <rPr>
        <sz val="10"/>
        <rFont val="Arial Cyr"/>
        <charset val="204"/>
      </rPr>
      <t>С</t>
    </r>
  </si>
  <si>
    <r>
      <t>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charset val="204"/>
      </rPr>
      <t>O</t>
    </r>
    <r>
      <rPr>
        <vertAlign val="subscript"/>
        <sz val="10"/>
        <rFont val="Arial Cyr"/>
        <charset val="204"/>
      </rPr>
      <t>3</t>
    </r>
  </si>
  <si>
    <r>
      <t>Расход природного газа, 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family val="2"/>
        <charset val="204"/>
      </rPr>
      <t>/т чугуна</t>
    </r>
  </si>
  <si>
    <r>
      <t xml:space="preserve">Температура чугуна,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</si>
  <si>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>(CaO+MgO)/SiO</t>
    </r>
    <r>
      <rPr>
        <vertAlign val="subscript"/>
        <sz val="10"/>
        <rFont val="Arial Cyr"/>
        <charset val="204"/>
      </rPr>
      <t>2</t>
    </r>
  </si>
  <si>
    <r>
      <t>(CaO+MgO)/(SiO</t>
    </r>
    <r>
      <rPr>
        <vertAlign val="subscript"/>
        <sz val="10"/>
        <rFont val="Arial Cyr"/>
        <charset val="204"/>
      </rPr>
      <t>2</t>
    </r>
    <r>
      <rPr>
        <sz val="10"/>
        <rFont val="Arial Cyr"/>
        <family val="2"/>
        <charset val="204"/>
      </rPr>
      <t>+Al</t>
    </r>
    <r>
      <rPr>
        <vertAlign val="subscript"/>
        <sz val="10"/>
        <rFont val="Arial Cyr"/>
        <charset val="204"/>
      </rPr>
      <t>2</t>
    </r>
    <r>
      <rPr>
        <sz val="10"/>
        <rFont val="Arial Cyr"/>
        <family val="2"/>
        <charset val="204"/>
      </rPr>
      <t>O</t>
    </r>
    <r>
      <rPr>
        <vertAlign val="subscript"/>
        <sz val="10"/>
        <rFont val="Arial Cyr"/>
        <charset val="204"/>
      </rPr>
      <t>3</t>
    </r>
    <r>
      <rPr>
        <sz val="10"/>
        <rFont val="Arial Cyr"/>
        <family val="2"/>
        <charset val="204"/>
      </rPr>
      <t>)</t>
    </r>
  </si>
  <si>
    <r>
      <t xml:space="preserve">Температура шлака,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</si>
  <si>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Температура шлака (при 25 пуаз),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</si>
  <si>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1400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</si>
  <si>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1450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</si>
  <si>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1500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</si>
  <si>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при 1550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</si>
  <si>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Температура шлака (при 7 пуаз),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</si>
  <si>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r>
      <t xml:space="preserve">Градиент вязкости, пуаз / </t>
    </r>
    <r>
      <rPr>
        <sz val="10"/>
        <rFont val="Symbol"/>
        <family val="1"/>
        <charset val="2"/>
      </rPr>
      <t>°</t>
    </r>
    <r>
      <rPr>
        <sz val="10"/>
        <rFont val="Arial Cyr"/>
        <family val="2"/>
        <charset val="204"/>
      </rPr>
      <t>С</t>
    </r>
  </si>
  <si>
    <t>Средний состав ЖРМ</t>
  </si>
  <si>
    <t>Состав золы кокса, %</t>
  </si>
  <si>
    <t xml:space="preserve">Технический состав кокса, % </t>
  </si>
  <si>
    <t>Состав загружаемых ЖРМ</t>
  </si>
  <si>
    <t>Виды и составы (%) загружаемых в печь флюсов</t>
  </si>
  <si>
    <t>КОРРЕКТИРОВОЧНЫЕ КОЭФФИЦИЕНТЫ</t>
  </si>
  <si>
    <t>изменение расхода кокса, кг/т.чуг</t>
  </si>
  <si>
    <t>не используется</t>
  </si>
  <si>
    <t>Суммарный удельный расход кокса, кг/т чугуна</t>
  </si>
  <si>
    <t>Расход, кг/т чугуна</t>
  </si>
  <si>
    <t>Итого флюсов</t>
  </si>
  <si>
    <t>плавиковый шпат</t>
  </si>
  <si>
    <t xml:space="preserve">             отсев агломерата</t>
  </si>
  <si>
    <t>окатыши Качканарские</t>
  </si>
  <si>
    <t>агломерат яма</t>
  </si>
  <si>
    <t>Агломерат яма</t>
  </si>
  <si>
    <t xml:space="preserve">             резерв</t>
  </si>
  <si>
    <t>1.5.2012 (ДП-1)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</si>
</sst>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-* #,##0.00_р_._-;\-* #,##0.00_р_._-;_-* &quot;-&quot;??_р_._-;_-@_-"/>
    <numFmt numFmtId="165" formatCode="0.0"/>
    <numFmt numFmtId="166" formatCode="0.000"/>
    <numFmt numFmtId="167" formatCode="0.0000"/>
    <numFmt numFmtId="168" formatCode="0.00000"/>
    <numFmt numFmtId="169" formatCode="0.000000"/>
    <numFmt numFmtId="170" formatCode="0.0000000"/>
    <numFmt numFmtId="171" formatCode="0.00000000"/>
    <numFmt numFmtId="172" formatCode="0.00_)"/>
  </numFmts>
  <fonts count="7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vertAlign val="subscript"/>
      <sz val="10"/>
      <name val="Arial CYR"/>
      <family val="2"/>
      <charset val="204"/>
    </font>
    <font>
      <sz val="10"/>
      <color indexed="10"/>
      <name val="Arial Cyr"/>
      <family val="2"/>
      <charset val="204"/>
    </font>
    <font>
      <u/>
      <sz val="10"/>
      <name val="Arial Cyr"/>
      <family val="2"/>
      <charset val="204"/>
    </font>
    <font>
      <i/>
      <sz val="10"/>
      <name val="Arial CYR"/>
      <family val="2"/>
      <charset val="204"/>
    </font>
    <font>
      <sz val="18"/>
      <name val="Arial Black"/>
      <family val="2"/>
    </font>
    <font>
      <b/>
      <i/>
      <sz val="10"/>
      <name val="Arial Cyr"/>
      <family val="2"/>
      <charset val="204"/>
    </font>
    <font>
      <sz val="14"/>
      <name val="Arial Cyr"/>
      <family val="2"/>
      <charset val="204"/>
    </font>
    <font>
      <sz val="14"/>
      <color indexed="14"/>
      <name val="Arial Cyr"/>
      <family val="2"/>
      <charset val="204"/>
    </font>
    <font>
      <b/>
      <sz val="12"/>
      <name val="Arial Cyr"/>
      <family val="2"/>
      <charset val="204"/>
    </font>
    <font>
      <sz val="10"/>
      <color indexed="8"/>
      <name val="Arial Cyr"/>
      <family val="2"/>
      <charset val="204"/>
    </font>
    <font>
      <b/>
      <sz val="14"/>
      <color indexed="8"/>
      <name val="Arial Cyr"/>
      <family val="2"/>
      <charset val="204"/>
    </font>
    <font>
      <b/>
      <sz val="10"/>
      <color indexed="8"/>
      <name val="Arial Cyr"/>
      <family val="2"/>
      <charset val="204"/>
    </font>
    <font>
      <b/>
      <sz val="16"/>
      <name val="Arial Cyr"/>
      <family val="2"/>
      <charset val="204"/>
    </font>
    <font>
      <sz val="10"/>
      <color indexed="57"/>
      <name val="Arial Cyr"/>
      <family val="2"/>
      <charset val="204"/>
    </font>
    <font>
      <sz val="10"/>
      <color indexed="53"/>
      <name val="Arial Cyr"/>
      <family val="2"/>
      <charset val="204"/>
    </font>
    <font>
      <b/>
      <sz val="10"/>
      <color indexed="53"/>
      <name val="Arial Cyr"/>
      <family val="2"/>
      <charset val="204"/>
    </font>
    <font>
      <b/>
      <sz val="12"/>
      <color indexed="10"/>
      <name val="Arial Cyr"/>
      <family val="2"/>
      <charset val="204"/>
    </font>
    <font>
      <sz val="10"/>
      <color indexed="10"/>
      <name val="Arial Cyr"/>
      <charset val="204"/>
    </font>
    <font>
      <b/>
      <sz val="10"/>
      <color indexed="10"/>
      <name val="Arial Cyr"/>
      <family val="2"/>
      <charset val="204"/>
    </font>
    <font>
      <b/>
      <sz val="12"/>
      <color indexed="53"/>
      <name val="Arial Cyr"/>
      <charset val="204"/>
    </font>
    <font>
      <sz val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3"/>
      <name val="Arial Cyr"/>
      <family val="2"/>
      <charset val="204"/>
    </font>
    <font>
      <sz val="10"/>
      <color indexed="16"/>
      <name val="Arial Cyr"/>
      <family val="2"/>
      <charset val="204"/>
    </font>
    <font>
      <sz val="9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family val="2"/>
      <charset val="204"/>
    </font>
    <font>
      <sz val="8"/>
      <color indexed="10"/>
      <name val="Arial Cyr"/>
      <family val="2"/>
      <charset val="204"/>
    </font>
    <font>
      <b/>
      <sz val="11"/>
      <color indexed="8"/>
      <name val="Arial Cyr"/>
      <family val="2"/>
      <charset val="204"/>
    </font>
    <font>
      <b/>
      <sz val="10"/>
      <name val="Symbol"/>
      <family val="1"/>
      <charset val="2"/>
    </font>
    <font>
      <b/>
      <vertAlign val="subscript"/>
      <sz val="10"/>
      <name val="Symbol"/>
      <family val="1"/>
      <charset val="2"/>
    </font>
    <font>
      <b/>
      <sz val="10"/>
      <name val="Arial Cyr"/>
      <charset val="204"/>
    </font>
    <font>
      <b/>
      <sz val="9"/>
      <name val="Arial Cyr"/>
      <family val="2"/>
      <charset val="204"/>
    </font>
    <font>
      <b/>
      <sz val="14"/>
      <name val="Arial Cyr"/>
      <family val="2"/>
      <charset val="204"/>
    </font>
    <font>
      <sz val="10"/>
      <name val="Times New Roman"/>
      <family val="1"/>
      <charset val="204"/>
    </font>
    <font>
      <i/>
      <sz val="12"/>
      <name val="Arial CYR"/>
      <family val="2"/>
      <charset val="204"/>
    </font>
    <font>
      <i/>
      <sz val="10"/>
      <name val="Arial Cyr"/>
      <charset val="204"/>
    </font>
    <font>
      <vertAlign val="subscript"/>
      <sz val="10"/>
      <name val="Arial Cyr"/>
      <charset val="204"/>
    </font>
    <font>
      <sz val="8"/>
      <name val="Arial Cyr"/>
      <charset val="204"/>
    </font>
    <font>
      <vertAlign val="subscript"/>
      <sz val="10"/>
      <name val="Arial"/>
      <family val="2"/>
      <charset val="204"/>
    </font>
    <font>
      <sz val="10"/>
      <color indexed="9"/>
      <name val="Arial Cyr"/>
      <charset val="204"/>
    </font>
    <font>
      <sz val="10"/>
      <name val="Arial Cyr"/>
      <charset val="204"/>
    </font>
    <font>
      <b/>
      <sz val="10"/>
      <color indexed="10"/>
      <name val="Arial Cyr"/>
      <charset val="204"/>
    </font>
    <font>
      <sz val="12"/>
      <name val="Times New Roman"/>
      <family val="1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vertAlign val="subscript"/>
      <sz val="10"/>
      <name val="Arial Cyr"/>
      <charset val="204"/>
    </font>
    <font>
      <b/>
      <sz val="12"/>
      <color indexed="10"/>
      <name val="Arial Cyr"/>
      <charset val="204"/>
    </font>
    <font>
      <sz val="12"/>
      <name val="Arial Cyr"/>
      <charset val="204"/>
    </font>
    <font>
      <sz val="18"/>
      <name val="Arial Cyr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4"/>
      <name val="Times New Roman"/>
      <family val="1"/>
      <charset val="204"/>
    </font>
    <font>
      <sz val="10"/>
      <color indexed="12"/>
      <name val="Arial Cyr"/>
      <charset val="204"/>
    </font>
    <font>
      <sz val="10"/>
      <color indexed="8"/>
      <name val="Arial Cyr"/>
      <charset val="204"/>
    </font>
    <font>
      <b/>
      <sz val="14"/>
      <color indexed="10"/>
      <name val="Times New Roman"/>
      <family val="1"/>
      <charset val="204"/>
    </font>
    <font>
      <sz val="10"/>
      <color indexed="15"/>
      <name val="Arial Cyr"/>
      <charset val="204"/>
    </font>
    <font>
      <vertAlign val="superscript"/>
      <sz val="10"/>
      <name val="Arial Cyr"/>
      <charset val="204"/>
    </font>
    <font>
      <b/>
      <vertAlign val="superscript"/>
      <sz val="10"/>
      <name val="Arial Cyr"/>
      <charset val="204"/>
    </font>
    <font>
      <sz val="10"/>
      <color indexed="9"/>
      <name val="Arial Cyr"/>
      <family val="2"/>
      <charset val="204"/>
    </font>
    <font>
      <b/>
      <sz val="10"/>
      <color indexed="9"/>
      <name val="Arial Cyr"/>
      <charset val="204"/>
    </font>
    <font>
      <sz val="10"/>
      <color indexed="9"/>
      <name val="Arial"/>
      <family val="2"/>
      <charset val="204"/>
    </font>
    <font>
      <sz val="10"/>
      <color indexed="16"/>
      <name val="Arial Cyr"/>
      <charset val="204"/>
    </font>
    <font>
      <b/>
      <sz val="12"/>
      <color indexed="8"/>
      <name val="Arial Cyr"/>
      <family val="2"/>
      <charset val="204"/>
    </font>
    <font>
      <sz val="12"/>
      <name val="Arial Cyr"/>
      <family val="2"/>
      <charset val="204"/>
    </font>
    <font>
      <b/>
      <sz val="12"/>
      <color indexed="8"/>
      <name val="Arial Cyr"/>
      <charset val="204"/>
    </font>
    <font>
      <sz val="8"/>
      <color indexed="81"/>
      <name val="Tahoma"/>
      <family val="2"/>
      <charset val="204"/>
    </font>
    <font>
      <sz val="10"/>
      <color rgb="FF000000"/>
      <name val="Arial Cyr"/>
    </font>
    <font>
      <sz val="8"/>
      <color rgb="FF000000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0" fillId="0" borderId="0"/>
    <xf numFmtId="164" fontId="1" fillId="0" borderId="0" applyFont="0" applyFill="0" applyBorder="0" applyAlignment="0" applyProtection="0"/>
  </cellStyleXfs>
  <cellXfs count="598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Fill="1" applyBorder="1"/>
    <xf numFmtId="165" fontId="0" fillId="0" borderId="1" xfId="0" applyNumberFormat="1" applyBorder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2" borderId="0" xfId="0" applyFill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2" fontId="0" fillId="0" borderId="1" xfId="0" applyNumberFormat="1" applyBorder="1"/>
    <xf numFmtId="2" fontId="0" fillId="0" borderId="0" xfId="0" applyNumberFormat="1"/>
    <xf numFmtId="2" fontId="2" fillId="0" borderId="1" xfId="0" applyNumberFormat="1" applyFont="1" applyBorder="1" applyAlignment="1">
      <alignment horizontal="center"/>
    </xf>
    <xf numFmtId="2" fontId="3" fillId="0" borderId="0" xfId="0" applyNumberFormat="1" applyFont="1"/>
    <xf numFmtId="2" fontId="10" fillId="2" borderId="0" xfId="0" applyNumberFormat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167" fontId="0" fillId="0" borderId="0" xfId="0" applyNumberFormat="1"/>
    <xf numFmtId="169" fontId="0" fillId="0" borderId="0" xfId="0" applyNumberFormat="1"/>
    <xf numFmtId="2" fontId="0" fillId="0" borderId="0" xfId="0" applyNumberFormat="1" applyAlignment="1">
      <alignment horizontal="right"/>
    </xf>
    <xf numFmtId="0" fontId="2" fillId="0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0" fillId="0" borderId="1" xfId="0" applyFill="1" applyBorder="1"/>
    <xf numFmtId="0" fontId="2" fillId="0" borderId="1" xfId="0" applyFont="1" applyFill="1" applyBorder="1"/>
    <xf numFmtId="0" fontId="0" fillId="0" borderId="0" xfId="0" applyAlignment="1">
      <alignment horizontal="left"/>
    </xf>
    <xf numFmtId="0" fontId="0" fillId="0" borderId="4" xfId="0" applyBorder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11" fillId="0" borderId="0" xfId="0" applyFont="1"/>
    <xf numFmtId="0" fontId="3" fillId="0" borderId="0" xfId="0" applyFont="1" applyFill="1"/>
    <xf numFmtId="0" fontId="0" fillId="0" borderId="0" xfId="0" applyBorder="1"/>
    <xf numFmtId="2" fontId="0" fillId="0" borderId="0" xfId="0" applyNumberFormat="1" applyBorder="1"/>
    <xf numFmtId="2" fontId="0" fillId="0" borderId="0" xfId="0" applyNumberFormat="1" applyFill="1" applyBorder="1"/>
    <xf numFmtId="0" fontId="9" fillId="0" borderId="0" xfId="0" applyFont="1" applyAlignment="1">
      <alignment wrapText="1"/>
    </xf>
    <xf numFmtId="0" fontId="0" fillId="0" borderId="0" xfId="0" applyFill="1"/>
    <xf numFmtId="0" fontId="0" fillId="0" borderId="0" xfId="0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left"/>
    </xf>
    <xf numFmtId="0" fontId="12" fillId="3" borderId="0" xfId="0" applyFont="1" applyFill="1"/>
    <xf numFmtId="0" fontId="0" fillId="3" borderId="0" xfId="0" applyFill="1"/>
    <xf numFmtId="165" fontId="0" fillId="0" borderId="0" xfId="0" applyNumberFormat="1"/>
    <xf numFmtId="0" fontId="13" fillId="0" borderId="0" xfId="0" applyFont="1"/>
    <xf numFmtId="0" fontId="0" fillId="0" borderId="1" xfId="0" applyBorder="1" applyAlignment="1">
      <alignment horizontal="right"/>
    </xf>
    <xf numFmtId="2" fontId="0" fillId="4" borderId="1" xfId="0" applyNumberFormat="1" applyFill="1" applyBorder="1"/>
    <xf numFmtId="0" fontId="0" fillId="0" borderId="0" xfId="0" applyFill="1" applyBorder="1"/>
    <xf numFmtId="0" fontId="2" fillId="0" borderId="0" xfId="0" applyFont="1" applyAlignment="1">
      <alignment wrapText="1"/>
    </xf>
    <xf numFmtId="0" fontId="15" fillId="0" borderId="0" xfId="0" applyFont="1"/>
    <xf numFmtId="168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18" fillId="5" borderId="0" xfId="0" applyFont="1" applyFill="1"/>
    <xf numFmtId="0" fontId="2" fillId="5" borderId="0" xfId="0" applyFont="1" applyFill="1"/>
    <xf numFmtId="2" fontId="0" fillId="6" borderId="0" xfId="0" applyNumberFormat="1" applyFill="1" applyBorder="1"/>
    <xf numFmtId="2" fontId="18" fillId="6" borderId="0" xfId="0" applyNumberFormat="1" applyFont="1" applyFill="1" applyBorder="1"/>
    <xf numFmtId="167" fontId="2" fillId="0" borderId="1" xfId="0" applyNumberFormat="1" applyFont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66" fontId="3" fillId="0" borderId="0" xfId="0" applyNumberFormat="1" applyFont="1"/>
    <xf numFmtId="0" fontId="3" fillId="0" borderId="0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165" fontId="0" fillId="4" borderId="1" xfId="0" applyNumberFormat="1" applyFill="1" applyBorder="1"/>
    <xf numFmtId="0" fontId="2" fillId="0" borderId="1" xfId="0" applyFont="1" applyBorder="1" applyAlignment="1">
      <alignment horizontal="right"/>
    </xf>
    <xf numFmtId="0" fontId="17" fillId="7" borderId="1" xfId="0" applyFont="1" applyFill="1" applyBorder="1"/>
    <xf numFmtId="0" fontId="2" fillId="7" borderId="1" xfId="0" applyFont="1" applyFill="1" applyBorder="1"/>
    <xf numFmtId="0" fontId="2" fillId="4" borderId="1" xfId="0" applyFont="1" applyFill="1" applyBorder="1"/>
    <xf numFmtId="0" fontId="0" fillId="5" borderId="0" xfId="0" applyFill="1"/>
    <xf numFmtId="0" fontId="2" fillId="0" borderId="1" xfId="0" applyFont="1" applyBorder="1" applyAlignment="1">
      <alignment horizontal="centerContinuous"/>
    </xf>
    <xf numFmtId="0" fontId="2" fillId="0" borderId="5" xfId="0" applyFont="1" applyBorder="1" applyAlignment="1">
      <alignment horizontal="centerContinuous"/>
    </xf>
    <xf numFmtId="0" fontId="2" fillId="0" borderId="0" xfId="0" applyFont="1" applyBorder="1" applyAlignment="1">
      <alignment horizontal="centerContinuous"/>
    </xf>
    <xf numFmtId="0" fontId="2" fillId="0" borderId="0" xfId="0" applyFont="1" applyAlignment="1">
      <alignment horizontal="centerContinuous"/>
    </xf>
    <xf numFmtId="0" fontId="14" fillId="0" borderId="0" xfId="0" applyFont="1" applyAlignment="1">
      <alignment horizontal="centerContinuous"/>
    </xf>
    <xf numFmtId="0" fontId="0" fillId="0" borderId="1" xfId="0" applyBorder="1" applyAlignment="1">
      <alignment horizontal="centerContinuous" wrapText="1"/>
    </xf>
    <xf numFmtId="0" fontId="0" fillId="0" borderId="1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2" fontId="2" fillId="0" borderId="0" xfId="0" applyNumberFormat="1" applyFont="1" applyBorder="1" applyAlignment="1">
      <alignment horizontal="centerContinuous"/>
    </xf>
    <xf numFmtId="0" fontId="2" fillId="0" borderId="0" xfId="0" applyFont="1" applyAlignment="1">
      <alignment horizontal="left" indent="5"/>
    </xf>
    <xf numFmtId="0" fontId="19" fillId="0" borderId="1" xfId="0" applyFont="1" applyBorder="1"/>
    <xf numFmtId="0" fontId="20" fillId="0" borderId="0" xfId="0" applyFont="1"/>
    <xf numFmtId="165" fontId="19" fillId="4" borderId="1" xfId="0" applyNumberFormat="1" applyFont="1" applyFill="1" applyBorder="1"/>
    <xf numFmtId="166" fontId="7" fillId="0" borderId="0" xfId="0" applyNumberFormat="1" applyFont="1"/>
    <xf numFmtId="0" fontId="0" fillId="0" borderId="1" xfId="0" applyBorder="1" applyAlignment="1">
      <alignment horizontal="left" indent="4"/>
    </xf>
    <xf numFmtId="2" fontId="7" fillId="0" borderId="0" xfId="0" applyNumberFormat="1" applyFont="1"/>
    <xf numFmtId="0" fontId="7" fillId="0" borderId="0" xfId="0" applyFont="1"/>
    <xf numFmtId="0" fontId="7" fillId="0" borderId="0" xfId="0" applyFont="1" applyBorder="1"/>
    <xf numFmtId="2" fontId="20" fillId="0" borderId="0" xfId="0" applyNumberFormat="1" applyFont="1"/>
    <xf numFmtId="165" fontId="7" fillId="0" borderId="0" xfId="0" applyNumberFormat="1" applyFont="1" applyFill="1" applyBorder="1"/>
    <xf numFmtId="0" fontId="7" fillId="0" borderId="0" xfId="0" applyFont="1" applyFill="1" applyBorder="1"/>
    <xf numFmtId="0" fontId="2" fillId="0" borderId="1" xfId="0" applyFont="1" applyBorder="1" applyAlignment="1">
      <alignment horizontal="left" indent="4"/>
    </xf>
    <xf numFmtId="0" fontId="9" fillId="0" borderId="1" xfId="0" applyFont="1" applyBorder="1" applyAlignment="1">
      <alignment horizontal="left" indent="4"/>
    </xf>
    <xf numFmtId="0" fontId="0" fillId="0" borderId="1" xfId="0" applyFill="1" applyBorder="1" applyAlignment="1">
      <alignment horizontal="left" indent="4"/>
    </xf>
    <xf numFmtId="169" fontId="20" fillId="0" borderId="0" xfId="0" applyNumberFormat="1" applyFont="1"/>
    <xf numFmtId="0" fontId="21" fillId="0" borderId="0" xfId="0" applyFont="1"/>
    <xf numFmtId="0" fontId="20" fillId="0" borderId="1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167" fontId="7" fillId="0" borderId="0" xfId="0" applyNumberFormat="1" applyFont="1"/>
    <xf numFmtId="169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 applyBorder="1"/>
    <xf numFmtId="2" fontId="7" fillId="0" borderId="0" xfId="0" applyNumberFormat="1" applyFont="1" applyBorder="1"/>
    <xf numFmtId="167" fontId="7" fillId="0" borderId="0" xfId="0" applyNumberFormat="1" applyFont="1" applyBorder="1"/>
    <xf numFmtId="0" fontId="23" fillId="0" borderId="0" xfId="0" applyFont="1"/>
    <xf numFmtId="0" fontId="24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2" fontId="25" fillId="0" borderId="0" xfId="0" applyNumberFormat="1" applyFont="1"/>
    <xf numFmtId="0" fontId="26" fillId="0" borderId="0" xfId="0" applyFont="1"/>
    <xf numFmtId="0" fontId="27" fillId="0" borderId="0" xfId="0" applyFont="1"/>
    <xf numFmtId="0" fontId="23" fillId="0" borderId="0" xfId="0" applyFont="1" applyBorder="1"/>
    <xf numFmtId="0" fontId="23" fillId="0" borderId="0" xfId="0" applyFont="1" applyFill="1" applyBorder="1"/>
    <xf numFmtId="0" fontId="0" fillId="3" borderId="1" xfId="0" applyFill="1" applyBorder="1"/>
    <xf numFmtId="0" fontId="24" fillId="0" borderId="0" xfId="0" applyFont="1"/>
    <xf numFmtId="170" fontId="7" fillId="0" borderId="0" xfId="0" applyNumberFormat="1" applyFont="1"/>
    <xf numFmtId="170" fontId="0" fillId="0" borderId="0" xfId="0" applyNumberFormat="1"/>
    <xf numFmtId="167" fontId="15" fillId="0" borderId="0" xfId="0" applyNumberFormat="1" applyFont="1"/>
    <xf numFmtId="0" fontId="28" fillId="0" borderId="0" xfId="0" applyFont="1"/>
    <xf numFmtId="0" fontId="29" fillId="0" borderId="0" xfId="0" applyFont="1"/>
    <xf numFmtId="0" fontId="20" fillId="0" borderId="0" xfId="0" applyFont="1" applyBorder="1"/>
    <xf numFmtId="2" fontId="0" fillId="8" borderId="1" xfId="0" applyNumberForma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19" fillId="0" borderId="0" xfId="0" applyFont="1"/>
    <xf numFmtId="0" fontId="20" fillId="0" borderId="2" xfId="0" applyFont="1" applyBorder="1" applyAlignment="1">
      <alignment horizontal="right"/>
    </xf>
    <xf numFmtId="167" fontId="20" fillId="0" borderId="0" xfId="0" applyNumberFormat="1" applyFont="1"/>
    <xf numFmtId="166" fontId="20" fillId="0" borderId="0" xfId="0" applyNumberFormat="1" applyFont="1"/>
    <xf numFmtId="166" fontId="0" fillId="9" borderId="1" xfId="0" applyNumberFormat="1" applyFill="1" applyBorder="1"/>
    <xf numFmtId="166" fontId="3" fillId="9" borderId="1" xfId="0" applyNumberFormat="1" applyFont="1" applyFill="1" applyBorder="1"/>
    <xf numFmtId="165" fontId="0" fillId="9" borderId="1" xfId="0" applyNumberFormat="1" applyFill="1" applyBorder="1"/>
    <xf numFmtId="165" fontId="3" fillId="9" borderId="1" xfId="0" applyNumberFormat="1" applyFont="1" applyFill="1" applyBorder="1"/>
    <xf numFmtId="0" fontId="3" fillId="9" borderId="1" xfId="0" applyFont="1" applyFill="1" applyBorder="1"/>
    <xf numFmtId="2" fontId="0" fillId="9" borderId="1" xfId="0" applyNumberFormat="1" applyFill="1" applyBorder="1"/>
    <xf numFmtId="2" fontId="3" fillId="9" borderId="1" xfId="0" applyNumberFormat="1" applyFont="1" applyFill="1" applyBorder="1"/>
    <xf numFmtId="167" fontId="0" fillId="9" borderId="1" xfId="0" applyNumberFormat="1" applyFill="1" applyBorder="1"/>
    <xf numFmtId="167" fontId="3" fillId="9" borderId="1" xfId="0" applyNumberFormat="1" applyFont="1" applyFill="1" applyBorder="1"/>
    <xf numFmtId="166" fontId="0" fillId="9" borderId="2" xfId="0" applyNumberFormat="1" applyFill="1" applyBorder="1"/>
    <xf numFmtId="166" fontId="3" fillId="9" borderId="9" xfId="0" applyNumberFormat="1" applyFont="1" applyFill="1" applyBorder="1"/>
    <xf numFmtId="166" fontId="0" fillId="9" borderId="3" xfId="0" applyNumberFormat="1" applyFill="1" applyBorder="1"/>
    <xf numFmtId="166" fontId="7" fillId="9" borderId="1" xfId="0" applyNumberFormat="1" applyFont="1" applyFill="1" applyBorder="1"/>
    <xf numFmtId="167" fontId="7" fillId="9" borderId="1" xfId="0" applyNumberFormat="1" applyFont="1" applyFill="1" applyBorder="1"/>
    <xf numFmtId="2" fontId="7" fillId="9" borderId="1" xfId="0" applyNumberFormat="1" applyFont="1" applyFill="1" applyBorder="1"/>
    <xf numFmtId="167" fontId="20" fillId="9" borderId="1" xfId="0" applyNumberFormat="1" applyFont="1" applyFill="1" applyBorder="1"/>
    <xf numFmtId="2" fontId="0" fillId="3" borderId="1" xfId="0" applyNumberFormat="1" applyFill="1" applyBorder="1"/>
    <xf numFmtId="165" fontId="0" fillId="8" borderId="1" xfId="0" applyNumberFormat="1" applyFill="1" applyBorder="1"/>
    <xf numFmtId="17" fontId="2" fillId="8" borderId="1" xfId="0" applyNumberFormat="1" applyFont="1" applyFill="1" applyBorder="1" applyAlignment="1">
      <alignment horizontal="center"/>
    </xf>
    <xf numFmtId="0" fontId="2" fillId="8" borderId="6" xfId="0" applyFont="1" applyFill="1" applyBorder="1" applyAlignment="1">
      <alignment horizontal="left"/>
    </xf>
    <xf numFmtId="0" fontId="2" fillId="8" borderId="7" xfId="0" applyFont="1" applyFill="1" applyBorder="1" applyAlignment="1">
      <alignment horizontal="left"/>
    </xf>
    <xf numFmtId="0" fontId="2" fillId="8" borderId="8" xfId="0" applyFont="1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166" fontId="0" fillId="0" borderId="0" xfId="0" applyNumberFormat="1" applyBorder="1"/>
    <xf numFmtId="0" fontId="0" fillId="0" borderId="0" xfId="0" applyFill="1" applyBorder="1" applyAlignment="1">
      <alignment horizontal="right"/>
    </xf>
    <xf numFmtId="0" fontId="31" fillId="0" borderId="10" xfId="1" applyNumberFormat="1" applyFont="1" applyFill="1" applyBorder="1" applyAlignment="1" applyProtection="1">
      <alignment horizontal="left"/>
    </xf>
    <xf numFmtId="0" fontId="31" fillId="0" borderId="0" xfId="1" applyNumberFormat="1" applyFont="1" applyFill="1"/>
    <xf numFmtId="0" fontId="31" fillId="0" borderId="0" xfId="1" applyNumberFormat="1" applyFont="1" applyFill="1" applyAlignment="1" applyProtection="1"/>
    <xf numFmtId="0" fontId="31" fillId="4" borderId="0" xfId="1" applyNumberFormat="1" applyFont="1" applyFill="1" applyProtection="1"/>
    <xf numFmtId="0" fontId="32" fillId="0" borderId="0" xfId="1" applyNumberFormat="1" applyFont="1"/>
    <xf numFmtId="0" fontId="30" fillId="0" borderId="0" xfId="1" applyNumberFormat="1"/>
    <xf numFmtId="0" fontId="31" fillId="0" borderId="11" xfId="1" applyNumberFormat="1" applyFont="1" applyFill="1" applyBorder="1" applyAlignment="1">
      <alignment horizontal="center"/>
    </xf>
    <xf numFmtId="0" fontId="31" fillId="0" borderId="12" xfId="1" applyNumberFormat="1" applyFont="1" applyFill="1" applyBorder="1" applyAlignment="1" applyProtection="1">
      <alignment horizontal="center"/>
    </xf>
    <xf numFmtId="0" fontId="31" fillId="0" borderId="10" xfId="1" applyNumberFormat="1" applyFont="1" applyFill="1" applyBorder="1" applyAlignment="1" applyProtection="1">
      <alignment horizontal="center"/>
    </xf>
    <xf numFmtId="0" fontId="31" fillId="0" borderId="13" xfId="1" applyNumberFormat="1" applyFont="1" applyFill="1" applyBorder="1" applyAlignment="1" applyProtection="1">
      <alignment horizontal="center"/>
    </xf>
    <xf numFmtId="0" fontId="31" fillId="0" borderId="14" xfId="1" applyNumberFormat="1" applyFont="1" applyFill="1" applyBorder="1" applyAlignment="1" applyProtection="1">
      <alignment horizontal="centerContinuous"/>
    </xf>
    <xf numFmtId="0" fontId="31" fillId="0" borderId="15" xfId="1" applyNumberFormat="1" applyFont="1" applyFill="1" applyBorder="1" applyAlignment="1" applyProtection="1">
      <alignment horizontal="centerContinuous"/>
    </xf>
    <xf numFmtId="0" fontId="31" fillId="0" borderId="10" xfId="1" applyNumberFormat="1" applyFont="1" applyFill="1" applyBorder="1" applyAlignment="1" applyProtection="1">
      <alignment horizontal="centerContinuous"/>
    </xf>
    <xf numFmtId="0" fontId="31" fillId="0" borderId="16" xfId="1" applyNumberFormat="1" applyFont="1" applyFill="1" applyBorder="1" applyAlignment="1" applyProtection="1">
      <alignment horizontal="centerContinuous"/>
    </xf>
    <xf numFmtId="0" fontId="31" fillId="0" borderId="17" xfId="1" applyNumberFormat="1" applyFont="1" applyFill="1" applyBorder="1" applyAlignment="1" applyProtection="1">
      <alignment horizontal="centerContinuous"/>
    </xf>
    <xf numFmtId="0" fontId="31" fillId="0" borderId="18" xfId="1" applyNumberFormat="1" applyFont="1" applyFill="1" applyBorder="1" applyAlignment="1">
      <alignment horizontal="center"/>
    </xf>
    <xf numFmtId="0" fontId="31" fillId="0" borderId="19" xfId="1" applyNumberFormat="1" applyFont="1" applyFill="1" applyBorder="1" applyAlignment="1" applyProtection="1">
      <alignment horizontal="center"/>
    </xf>
    <xf numFmtId="0" fontId="31" fillId="0" borderId="20" xfId="1" applyNumberFormat="1" applyFont="1" applyFill="1" applyBorder="1" applyAlignment="1" applyProtection="1">
      <alignment horizontal="center"/>
    </xf>
    <xf numFmtId="0" fontId="31" fillId="0" borderId="21" xfId="1" applyNumberFormat="1" applyFont="1" applyFill="1" applyBorder="1" applyAlignment="1" applyProtection="1">
      <alignment horizontal="center"/>
    </xf>
    <xf numFmtId="0" fontId="31" fillId="0" borderId="22" xfId="1" applyNumberFormat="1" applyFont="1" applyFill="1" applyBorder="1" applyAlignment="1" applyProtection="1">
      <alignment horizontal="center"/>
    </xf>
    <xf numFmtId="0" fontId="31" fillId="0" borderId="23" xfId="1" applyNumberFormat="1" applyFont="1" applyFill="1" applyBorder="1" applyAlignment="1" applyProtection="1">
      <alignment horizontal="center"/>
    </xf>
    <xf numFmtId="0" fontId="31" fillId="3" borderId="23" xfId="1" applyNumberFormat="1" applyFont="1" applyFill="1" applyBorder="1" applyAlignment="1" applyProtection="1">
      <alignment horizontal="center"/>
    </xf>
    <xf numFmtId="0" fontId="31" fillId="0" borderId="24" xfId="1" applyNumberFormat="1" applyFont="1" applyFill="1" applyBorder="1" applyAlignment="1" applyProtection="1">
      <alignment horizontal="left"/>
    </xf>
    <xf numFmtId="166" fontId="33" fillId="3" borderId="25" xfId="1" applyNumberFormat="1" applyFont="1" applyFill="1" applyBorder="1" applyAlignment="1" applyProtection="1">
      <alignment horizontal="center"/>
    </xf>
    <xf numFmtId="166" fontId="31" fillId="3" borderId="26" xfId="1" applyNumberFormat="1" applyFont="1" applyFill="1" applyBorder="1" applyAlignment="1" applyProtection="1">
      <alignment horizontal="center"/>
    </xf>
    <xf numFmtId="0" fontId="31" fillId="0" borderId="26" xfId="1" applyNumberFormat="1" applyFont="1" applyFill="1" applyBorder="1" applyAlignment="1" applyProtection="1">
      <alignment horizontal="center"/>
    </xf>
    <xf numFmtId="0" fontId="31" fillId="3" borderId="0" xfId="1" applyNumberFormat="1" applyFont="1" applyFill="1"/>
    <xf numFmtId="0" fontId="32" fillId="0" borderId="27" xfId="1" applyNumberFormat="1" applyFont="1" applyBorder="1" applyAlignment="1" applyProtection="1">
      <alignment horizontal="center"/>
    </xf>
    <xf numFmtId="0" fontId="32" fillId="3" borderId="24" xfId="1" applyNumberFormat="1" applyFont="1" applyFill="1" applyBorder="1" applyAlignment="1" applyProtection="1">
      <alignment horizontal="center"/>
    </xf>
    <xf numFmtId="0" fontId="31" fillId="3" borderId="0" xfId="1" applyNumberFormat="1" applyFont="1" applyFill="1" applyBorder="1" applyAlignment="1" applyProtection="1">
      <alignment horizontal="center"/>
    </xf>
    <xf numFmtId="0" fontId="31" fillId="0" borderId="12" xfId="1" applyNumberFormat="1" applyFont="1" applyFill="1" applyBorder="1" applyAlignment="1" applyProtection="1"/>
    <xf numFmtId="0" fontId="31" fillId="0" borderId="28" xfId="1" applyNumberFormat="1" applyFont="1" applyFill="1" applyBorder="1" applyAlignment="1" applyProtection="1">
      <alignment horizontal="center"/>
    </xf>
    <xf numFmtId="167" fontId="31" fillId="3" borderId="28" xfId="1" applyNumberFormat="1" applyFont="1" applyFill="1" applyBorder="1" applyAlignment="1" applyProtection="1">
      <alignment horizontal="right"/>
    </xf>
    <xf numFmtId="1" fontId="31" fillId="0" borderId="28" xfId="1" applyNumberFormat="1" applyFont="1" applyFill="1" applyBorder="1" applyAlignment="1" applyProtection="1">
      <alignment horizontal="center"/>
    </xf>
    <xf numFmtId="167" fontId="31" fillId="3" borderId="28" xfId="1" applyNumberFormat="1" applyFont="1" applyFill="1" applyBorder="1" applyAlignment="1" applyProtection="1">
      <alignment horizontal="center"/>
    </xf>
    <xf numFmtId="168" fontId="31" fillId="3" borderId="28" xfId="1" applyNumberFormat="1" applyFont="1" applyFill="1" applyBorder="1" applyAlignment="1" applyProtection="1">
      <alignment horizontal="center"/>
    </xf>
    <xf numFmtId="165" fontId="31" fillId="0" borderId="28" xfId="1" applyNumberFormat="1" applyFont="1" applyFill="1" applyBorder="1" applyAlignment="1" applyProtection="1">
      <alignment horizontal="center"/>
    </xf>
    <xf numFmtId="0" fontId="31" fillId="3" borderId="29" xfId="1" applyNumberFormat="1" applyFont="1" applyFill="1" applyBorder="1" applyAlignment="1" applyProtection="1">
      <alignment horizontal="center"/>
    </xf>
    <xf numFmtId="166" fontId="33" fillId="3" borderId="0" xfId="1" applyNumberFormat="1" applyFont="1" applyFill="1" applyBorder="1" applyAlignment="1" applyProtection="1">
      <alignment horizontal="center"/>
    </xf>
    <xf numFmtId="166" fontId="31" fillId="3" borderId="9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Border="1" applyAlignment="1" applyProtection="1">
      <alignment horizontal="center"/>
    </xf>
    <xf numFmtId="166" fontId="31" fillId="3" borderId="28" xfId="1" applyNumberFormat="1" applyFont="1" applyFill="1" applyBorder="1" applyAlignment="1" applyProtection="1">
      <alignment horizontal="center"/>
    </xf>
    <xf numFmtId="2" fontId="31" fillId="0" borderId="28" xfId="1" applyNumberFormat="1" applyFont="1" applyFill="1" applyBorder="1" applyAlignment="1" applyProtection="1">
      <alignment horizontal="center"/>
    </xf>
    <xf numFmtId="1" fontId="31" fillId="0" borderId="30" xfId="1" applyNumberFormat="1" applyFont="1" applyFill="1" applyBorder="1" applyAlignment="1" applyProtection="1">
      <alignment horizontal="center"/>
    </xf>
    <xf numFmtId="167" fontId="31" fillId="3" borderId="0" xfId="1" applyNumberFormat="1" applyFont="1" applyFill="1" applyBorder="1" applyAlignment="1" applyProtection="1">
      <alignment horizontal="center"/>
    </xf>
    <xf numFmtId="0" fontId="31" fillId="0" borderId="31" xfId="1" applyNumberFormat="1" applyFont="1" applyFill="1" applyBorder="1" applyAlignment="1" applyProtection="1"/>
    <xf numFmtId="1" fontId="31" fillId="0" borderId="0" xfId="1" applyNumberFormat="1" applyFont="1" applyFill="1" applyBorder="1" applyAlignment="1" applyProtection="1">
      <alignment horizontal="center"/>
    </xf>
    <xf numFmtId="165" fontId="31" fillId="0" borderId="0" xfId="1" applyNumberFormat="1" applyFont="1" applyFill="1" applyBorder="1" applyAlignment="1" applyProtection="1">
      <alignment horizontal="center"/>
    </xf>
    <xf numFmtId="166" fontId="31" fillId="3" borderId="0" xfId="1" applyNumberFormat="1" applyFont="1" applyFill="1" applyBorder="1" applyAlignment="1" applyProtection="1">
      <alignment horizontal="center"/>
    </xf>
    <xf numFmtId="2" fontId="31" fillId="0" borderId="0" xfId="1" applyNumberFormat="1" applyFont="1" applyFill="1" applyBorder="1" applyAlignment="1" applyProtection="1">
      <alignment horizontal="center"/>
    </xf>
    <xf numFmtId="1" fontId="31" fillId="0" borderId="32" xfId="1" applyNumberFormat="1" applyFont="1" applyFill="1" applyBorder="1" applyAlignment="1" applyProtection="1">
      <alignment horizontal="center"/>
    </xf>
    <xf numFmtId="166" fontId="31" fillId="3" borderId="29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Border="1" applyAlignment="1">
      <alignment horizontal="center"/>
    </xf>
    <xf numFmtId="167" fontId="31" fillId="3" borderId="29" xfId="1" applyNumberFormat="1" applyFont="1" applyFill="1" applyBorder="1" applyAlignment="1" applyProtection="1">
      <alignment horizontal="center"/>
    </xf>
    <xf numFmtId="0" fontId="31" fillId="0" borderId="33" xfId="1" applyNumberFormat="1" applyFont="1" applyFill="1" applyBorder="1" applyAlignment="1" applyProtection="1">
      <alignment horizontal="center"/>
    </xf>
    <xf numFmtId="172" fontId="31" fillId="0" borderId="0" xfId="1" applyNumberFormat="1" applyFont="1" applyFill="1" applyBorder="1" applyAlignment="1" applyProtection="1">
      <alignment horizontal="center"/>
    </xf>
    <xf numFmtId="2" fontId="31" fillId="0" borderId="32" xfId="1" applyNumberFormat="1" applyFont="1" applyFill="1" applyBorder="1" applyAlignment="1" applyProtection="1">
      <alignment horizontal="center"/>
    </xf>
    <xf numFmtId="0" fontId="31" fillId="5" borderId="0" xfId="1" applyNumberFormat="1" applyFont="1" applyFill="1" applyBorder="1" applyAlignment="1" applyProtection="1">
      <alignment horizontal="center"/>
    </xf>
    <xf numFmtId="0" fontId="31" fillId="0" borderId="5" xfId="1" applyNumberFormat="1" applyFont="1" applyFill="1" applyBorder="1" applyAlignment="1" applyProtection="1">
      <alignment horizontal="center"/>
    </xf>
    <xf numFmtId="1" fontId="31" fillId="0" borderId="34" xfId="1" applyNumberFormat="1" applyFont="1" applyFill="1" applyBorder="1" applyAlignment="1" applyProtection="1">
      <alignment horizontal="center"/>
    </xf>
    <xf numFmtId="2" fontId="31" fillId="3" borderId="17" xfId="1" applyNumberFormat="1" applyFont="1" applyFill="1" applyBorder="1" applyAlignment="1" applyProtection="1">
      <alignment horizontal="center"/>
    </xf>
    <xf numFmtId="166" fontId="33" fillId="3" borderId="5" xfId="1" applyNumberFormat="1" applyFont="1" applyFill="1" applyBorder="1" applyAlignment="1" applyProtection="1">
      <alignment horizontal="center"/>
    </xf>
    <xf numFmtId="166" fontId="31" fillId="3" borderId="35" xfId="1" applyNumberFormat="1" applyFont="1" applyFill="1" applyBorder="1" applyAlignment="1" applyProtection="1">
      <alignment horizontal="center"/>
    </xf>
    <xf numFmtId="1" fontId="31" fillId="0" borderId="36" xfId="1" applyNumberFormat="1" applyFont="1" applyFill="1" applyBorder="1" applyAlignment="1" applyProtection="1">
      <alignment horizontal="center"/>
    </xf>
    <xf numFmtId="2" fontId="31" fillId="3" borderId="0" xfId="1" applyNumberFormat="1" applyFont="1" applyFill="1" applyBorder="1" applyAlignment="1" applyProtection="1">
      <alignment horizontal="center"/>
    </xf>
    <xf numFmtId="2" fontId="30" fillId="0" borderId="0" xfId="1" applyNumberFormat="1"/>
    <xf numFmtId="0" fontId="31" fillId="4" borderId="12" xfId="1" applyNumberFormat="1" applyFont="1" applyFill="1" applyBorder="1" applyProtection="1"/>
    <xf numFmtId="165" fontId="31" fillId="5" borderId="28" xfId="1" applyNumberFormat="1" applyFont="1" applyFill="1" applyBorder="1" applyAlignment="1">
      <alignment horizontal="center"/>
    </xf>
    <xf numFmtId="0" fontId="31" fillId="0" borderId="28" xfId="1" applyNumberFormat="1" applyFont="1" applyFill="1" applyBorder="1" applyAlignment="1">
      <alignment horizontal="center"/>
    </xf>
    <xf numFmtId="0" fontId="31" fillId="5" borderId="28" xfId="1" applyNumberFormat="1" applyFont="1" applyFill="1" applyBorder="1" applyAlignment="1">
      <alignment horizontal="center"/>
    </xf>
    <xf numFmtId="166" fontId="31" fillId="0" borderId="37" xfId="1" applyNumberFormat="1" applyFont="1" applyFill="1" applyBorder="1" applyAlignment="1" applyProtection="1">
      <alignment horizontal="center"/>
    </xf>
    <xf numFmtId="166" fontId="31" fillId="5" borderId="37" xfId="1" applyNumberFormat="1" applyFont="1" applyFill="1" applyBorder="1" applyAlignment="1" applyProtection="1">
      <alignment horizontal="center"/>
    </xf>
    <xf numFmtId="167" fontId="31" fillId="5" borderId="28" xfId="1" applyNumberFormat="1" applyFont="1" applyFill="1" applyBorder="1" applyAlignment="1" applyProtection="1">
      <alignment horizontal="center"/>
    </xf>
    <xf numFmtId="166" fontId="31" fillId="5" borderId="28" xfId="1" applyNumberFormat="1" applyFont="1" applyFill="1" applyBorder="1" applyAlignment="1" applyProtection="1">
      <alignment horizontal="center"/>
    </xf>
    <xf numFmtId="167" fontId="31" fillId="5" borderId="0" xfId="1" applyNumberFormat="1" applyFont="1" applyFill="1" applyBorder="1" applyAlignment="1" applyProtection="1">
      <alignment horizontal="center"/>
    </xf>
    <xf numFmtId="167" fontId="30" fillId="0" borderId="0" xfId="1" applyNumberFormat="1"/>
    <xf numFmtId="0" fontId="31" fillId="0" borderId="31" xfId="1" applyNumberFormat="1" applyFont="1" applyFill="1" applyBorder="1" applyProtection="1"/>
    <xf numFmtId="167" fontId="31" fillId="0" borderId="28" xfId="1" applyNumberFormat="1" applyFont="1" applyFill="1" applyBorder="1" applyAlignment="1" applyProtection="1">
      <alignment horizontal="center"/>
    </xf>
    <xf numFmtId="1" fontId="31" fillId="3" borderId="0" xfId="1" applyNumberFormat="1" applyFont="1" applyFill="1" applyBorder="1" applyAlignment="1" applyProtection="1">
      <alignment horizontal="center"/>
    </xf>
    <xf numFmtId="0" fontId="31" fillId="0" borderId="19" xfId="1" applyNumberFormat="1" applyFont="1" applyFill="1" applyBorder="1" applyAlignment="1" applyProtection="1"/>
    <xf numFmtId="0" fontId="31" fillId="0" borderId="38" xfId="1" applyNumberFormat="1" applyFont="1" applyFill="1" applyBorder="1" applyAlignment="1" applyProtection="1">
      <alignment horizontal="center"/>
    </xf>
    <xf numFmtId="0" fontId="31" fillId="0" borderId="36" xfId="1" applyNumberFormat="1" applyFont="1" applyFill="1" applyBorder="1" applyAlignment="1" applyProtection="1">
      <alignment horizontal="center"/>
    </xf>
    <xf numFmtId="2" fontId="31" fillId="0" borderId="36" xfId="1" applyNumberFormat="1" applyFont="1" applyFill="1" applyBorder="1" applyAlignment="1" applyProtection="1">
      <alignment horizontal="center"/>
    </xf>
    <xf numFmtId="1" fontId="31" fillId="3" borderId="36" xfId="1" applyNumberFormat="1" applyFont="1" applyFill="1" applyBorder="1" applyAlignment="1" applyProtection="1">
      <alignment horizontal="center"/>
    </xf>
    <xf numFmtId="1" fontId="31" fillId="0" borderId="39" xfId="1" applyNumberFormat="1" applyFont="1" applyFill="1" applyBorder="1" applyAlignment="1" applyProtection="1">
      <alignment horizontal="center"/>
    </xf>
    <xf numFmtId="0" fontId="31" fillId="0" borderId="40" xfId="1" applyNumberFormat="1" applyFont="1" applyFill="1" applyBorder="1" applyAlignment="1" applyProtection="1"/>
    <xf numFmtId="168" fontId="31" fillId="0" borderId="28" xfId="1" applyNumberFormat="1" applyFont="1" applyFill="1" applyBorder="1" applyAlignment="1" applyProtection="1">
      <alignment horizontal="center"/>
    </xf>
    <xf numFmtId="166" fontId="31" fillId="0" borderId="28" xfId="1" applyNumberFormat="1" applyFont="1" applyFill="1" applyBorder="1" applyAlignment="1" applyProtection="1">
      <alignment horizontal="center"/>
    </xf>
    <xf numFmtId="167" fontId="31" fillId="0" borderId="0" xfId="1" applyNumberFormat="1" applyFont="1" applyFill="1" applyBorder="1" applyAlignment="1" applyProtection="1">
      <alignment horizontal="center"/>
    </xf>
    <xf numFmtId="0" fontId="34" fillId="5" borderId="0" xfId="1" applyNumberFormat="1" applyFont="1" applyFill="1" applyBorder="1"/>
    <xf numFmtId="0" fontId="34" fillId="5" borderId="0" xfId="1" applyNumberFormat="1" applyFont="1" applyFill="1" applyBorder="1" applyAlignment="1" applyProtection="1">
      <alignment horizontal="center"/>
    </xf>
    <xf numFmtId="0" fontId="31" fillId="0" borderId="0" xfId="1" applyNumberFormat="1" applyFont="1" applyFill="1" applyAlignment="1" applyProtection="1">
      <alignment horizontal="center"/>
    </xf>
    <xf numFmtId="166" fontId="31" fillId="0" borderId="0" xfId="1" applyNumberFormat="1" applyFont="1" applyFill="1" applyBorder="1" applyAlignment="1" applyProtection="1">
      <alignment horizontal="center"/>
    </xf>
    <xf numFmtId="0" fontId="34" fillId="0" borderId="0" xfId="1" applyNumberFormat="1" applyFont="1" applyFill="1" applyBorder="1"/>
    <xf numFmtId="0" fontId="34" fillId="0" borderId="0" xfId="1" applyNumberFormat="1" applyFont="1" applyFill="1" applyBorder="1" applyAlignment="1" applyProtection="1">
      <alignment horizontal="center"/>
    </xf>
    <xf numFmtId="2" fontId="31" fillId="0" borderId="0" xfId="1" applyNumberFormat="1" applyFont="1" applyFill="1" applyAlignment="1" applyProtection="1">
      <alignment horizontal="center"/>
    </xf>
    <xf numFmtId="2" fontId="30" fillId="0" borderId="1" xfId="1" applyNumberFormat="1" applyBorder="1"/>
    <xf numFmtId="166" fontId="31" fillId="0" borderId="0" xfId="1" applyNumberFormat="1" applyFont="1" applyFill="1" applyBorder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34" fillId="3" borderId="31" xfId="1" applyNumberFormat="1" applyFont="1" applyFill="1" applyBorder="1" applyProtection="1"/>
    <xf numFmtId="0" fontId="34" fillId="3" borderId="0" xfId="1" applyNumberFormat="1" applyFont="1" applyFill="1" applyBorder="1" applyAlignment="1" applyProtection="1">
      <alignment horizontal="center"/>
    </xf>
    <xf numFmtId="167" fontId="34" fillId="3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left"/>
    </xf>
    <xf numFmtId="167" fontId="31" fillId="0" borderId="33" xfId="1" applyNumberFormat="1" applyFont="1" applyFill="1" applyBorder="1" applyAlignment="1" applyProtection="1">
      <alignment horizontal="center"/>
    </xf>
    <xf numFmtId="0" fontId="1" fillId="0" borderId="0" xfId="1" applyFont="1"/>
    <xf numFmtId="2" fontId="30" fillId="0" borderId="0" xfId="1" applyNumberFormat="1" applyFont="1"/>
    <xf numFmtId="2" fontId="3" fillId="0" borderId="0" xfId="1" applyNumberFormat="1" applyFont="1"/>
    <xf numFmtId="167" fontId="30" fillId="0" borderId="0" xfId="1" applyNumberFormat="1" applyFont="1"/>
    <xf numFmtId="2" fontId="31" fillId="0" borderId="0" xfId="1" applyNumberFormat="1" applyFont="1" applyFill="1" applyBorder="1" applyAlignment="1">
      <alignment horizontal="center"/>
    </xf>
    <xf numFmtId="2" fontId="9" fillId="0" borderId="0" xfId="1" applyNumberFormat="1" applyFont="1" applyAlignment="1">
      <alignment horizontal="right"/>
    </xf>
    <xf numFmtId="166" fontId="30" fillId="0" borderId="0" xfId="1" applyNumberFormat="1"/>
    <xf numFmtId="168" fontId="30" fillId="0" borderId="0" xfId="1" applyNumberFormat="1"/>
    <xf numFmtId="0" fontId="37" fillId="0" borderId="0" xfId="1" applyFont="1"/>
    <xf numFmtId="2" fontId="2" fillId="0" borderId="0" xfId="1" applyNumberFormat="1" applyFont="1"/>
    <xf numFmtId="169" fontId="30" fillId="0" borderId="0" xfId="1" applyNumberFormat="1"/>
    <xf numFmtId="0" fontId="3" fillId="0" borderId="0" xfId="1" applyNumberFormat="1" applyFont="1"/>
    <xf numFmtId="2" fontId="9" fillId="0" borderId="0" xfId="1" applyNumberFormat="1" applyFont="1"/>
    <xf numFmtId="2" fontId="38" fillId="0" borderId="0" xfId="1" applyNumberFormat="1" applyFont="1" applyFill="1" applyAlignment="1">
      <alignment horizontal="right"/>
    </xf>
    <xf numFmtId="2" fontId="38" fillId="0" borderId="0" xfId="1" applyNumberFormat="1" applyFont="1" applyFill="1"/>
    <xf numFmtId="2" fontId="30" fillId="0" borderId="0" xfId="1" applyNumberFormat="1" applyFill="1"/>
    <xf numFmtId="2" fontId="14" fillId="0" borderId="0" xfId="1" applyNumberFormat="1" applyFont="1"/>
    <xf numFmtId="2" fontId="2" fillId="0" borderId="1" xfId="1" applyNumberFormat="1" applyFont="1" applyBorder="1" applyAlignment="1">
      <alignment horizontal="centerContinuous"/>
    </xf>
    <xf numFmtId="2" fontId="30" fillId="0" borderId="1" xfId="1" applyNumberFormat="1" applyBorder="1" applyAlignment="1">
      <alignment horizontal="center"/>
    </xf>
    <xf numFmtId="166" fontId="3" fillId="0" borderId="1" xfId="1" applyNumberFormat="1" applyFont="1" applyFill="1" applyBorder="1"/>
    <xf numFmtId="166" fontId="3" fillId="0" borderId="1" xfId="1" applyNumberFormat="1" applyFont="1" applyFill="1" applyBorder="1" applyAlignment="1"/>
    <xf numFmtId="166" fontId="30" fillId="0" borderId="1" xfId="1" applyNumberFormat="1" applyBorder="1"/>
    <xf numFmtId="2" fontId="30" fillId="0" borderId="1" xfId="1" applyNumberFormat="1" applyBorder="1" applyAlignment="1"/>
    <xf numFmtId="168" fontId="30" fillId="0" borderId="1" xfId="1" applyNumberFormat="1" applyBorder="1"/>
    <xf numFmtId="164" fontId="30" fillId="0" borderId="1" xfId="2" applyNumberFormat="1" applyFont="1" applyBorder="1" applyAlignment="1">
      <alignment horizontal="right"/>
    </xf>
    <xf numFmtId="164" fontId="30" fillId="0" borderId="1" xfId="2" applyNumberFormat="1" applyFont="1" applyBorder="1" applyAlignment="1">
      <alignment horizontal="left"/>
    </xf>
    <xf numFmtId="2" fontId="15" fillId="0" borderId="1" xfId="1" applyNumberFormat="1" applyFont="1" applyBorder="1"/>
    <xf numFmtId="0" fontId="30" fillId="0" borderId="1" xfId="1" applyNumberFormat="1" applyBorder="1"/>
    <xf numFmtId="166" fontId="30" fillId="0" borderId="1" xfId="1" applyNumberFormat="1" applyBorder="1" applyAlignment="1"/>
    <xf numFmtId="167" fontId="30" fillId="0" borderId="1" xfId="1" applyNumberFormat="1" applyBorder="1"/>
    <xf numFmtId="2" fontId="2" fillId="0" borderId="0" xfId="1" applyNumberFormat="1" applyFont="1" applyBorder="1"/>
    <xf numFmtId="2" fontId="3" fillId="0" borderId="0" xfId="1" applyNumberFormat="1" applyFont="1" applyBorder="1"/>
    <xf numFmtId="2" fontId="2" fillId="0" borderId="1" xfId="1" applyNumberFormat="1" applyFont="1" applyBorder="1"/>
    <xf numFmtId="167" fontId="2" fillId="0" borderId="1" xfId="1" applyNumberFormat="1" applyFont="1" applyBorder="1"/>
    <xf numFmtId="166" fontId="2" fillId="0" borderId="1" xfId="1" applyNumberFormat="1" applyFont="1" applyBorder="1"/>
    <xf numFmtId="2" fontId="30" fillId="0" borderId="0" xfId="1" applyNumberFormat="1" applyBorder="1"/>
    <xf numFmtId="168" fontId="30" fillId="0" borderId="0" xfId="1" applyNumberFormat="1" applyBorder="1"/>
    <xf numFmtId="167" fontId="3" fillId="0" borderId="0" xfId="1" applyNumberFormat="1" applyFont="1" applyBorder="1"/>
    <xf numFmtId="2" fontId="30" fillId="0" borderId="0" xfId="1" applyNumberFormat="1" applyFont="1" applyBorder="1"/>
    <xf numFmtId="166" fontId="3" fillId="0" borderId="0" xfId="1" applyNumberFormat="1" applyFont="1" applyBorder="1"/>
    <xf numFmtId="2" fontId="3" fillId="0" borderId="1" xfId="1" applyNumberFormat="1" applyFont="1" applyBorder="1"/>
    <xf numFmtId="2" fontId="39" fillId="0" borderId="0" xfId="1" applyNumberFormat="1" applyFont="1"/>
    <xf numFmtId="165" fontId="40" fillId="0" borderId="0" xfId="1" applyNumberFormat="1" applyFont="1" applyAlignment="1">
      <alignment horizontal="center"/>
    </xf>
    <xf numFmtId="2" fontId="30" fillId="0" borderId="0" xfId="1" applyNumberFormat="1" applyAlignment="1">
      <alignment horizontal="center"/>
    </xf>
    <xf numFmtId="0" fontId="3" fillId="0" borderId="0" xfId="1" applyNumberFormat="1" applyFont="1" applyFill="1"/>
    <xf numFmtId="0" fontId="30" fillId="0" borderId="0" xfId="1" applyNumberFormat="1" applyFill="1"/>
    <xf numFmtId="0" fontId="39" fillId="0" borderId="0" xfId="0" applyFont="1"/>
    <xf numFmtId="0" fontId="9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1" fillId="0" borderId="0" xfId="0" applyFont="1" applyAlignment="1">
      <alignment horizontal="center"/>
    </xf>
    <xf numFmtId="0" fontId="41" fillId="0" borderId="0" xfId="0" applyFont="1"/>
    <xf numFmtId="0" fontId="0" fillId="6" borderId="0" xfId="0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167" fontId="0" fillId="0" borderId="1" xfId="0" applyNumberFormat="1" applyBorder="1"/>
    <xf numFmtId="166" fontId="0" fillId="0" borderId="1" xfId="0" applyNumberFormat="1" applyBorder="1"/>
    <xf numFmtId="166" fontId="2" fillId="0" borderId="0" xfId="0" applyNumberFormat="1" applyFont="1"/>
    <xf numFmtId="167" fontId="0" fillId="6" borderId="0" xfId="0" applyNumberFormat="1" applyFill="1"/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1" fillId="10" borderId="0" xfId="0" applyFont="1" applyFill="1" applyBorder="1"/>
    <xf numFmtId="0" fontId="37" fillId="0" borderId="0" xfId="0" applyFont="1" applyAlignment="1">
      <alignment horizontal="center"/>
    </xf>
    <xf numFmtId="0" fontId="1" fillId="0" borderId="1" xfId="0" applyFont="1" applyBorder="1"/>
    <xf numFmtId="166" fontId="1" fillId="8" borderId="1" xfId="0" applyNumberFormat="1" applyFont="1" applyFill="1" applyBorder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0" borderId="1" xfId="0" applyFont="1" applyBorder="1"/>
    <xf numFmtId="166" fontId="0" fillId="9" borderId="1" xfId="0" applyNumberFormat="1" applyFill="1" applyBorder="1" applyAlignment="1">
      <alignment horizontal="center"/>
    </xf>
    <xf numFmtId="165" fontId="0" fillId="8" borderId="3" xfId="0" applyNumberFormat="1" applyFill="1" applyBorder="1"/>
    <xf numFmtId="165" fontId="0" fillId="9" borderId="3" xfId="0" applyNumberFormat="1" applyFill="1" applyBorder="1"/>
    <xf numFmtId="0" fontId="1" fillId="0" borderId="0" xfId="0" applyFont="1" applyAlignment="1">
      <alignment horizontal="right"/>
    </xf>
    <xf numFmtId="0" fontId="0" fillId="9" borderId="1" xfId="0" applyFill="1" applyBorder="1"/>
    <xf numFmtId="0" fontId="0" fillId="5" borderId="1" xfId="0" applyFill="1" applyBorder="1"/>
    <xf numFmtId="0" fontId="0" fillId="0" borderId="2" xfId="0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42" fillId="0" borderId="0" xfId="0" applyFont="1" applyBorder="1" applyAlignment="1"/>
    <xf numFmtId="0" fontId="42" fillId="0" borderId="0" xfId="0" applyFont="1" applyFill="1" applyBorder="1" applyAlignment="1"/>
    <xf numFmtId="166" fontId="0" fillId="0" borderId="1" xfId="0" applyNumberFormat="1" applyBorder="1" applyAlignment="1">
      <alignment horizontal="center"/>
    </xf>
    <xf numFmtId="0" fontId="37" fillId="0" borderId="3" xfId="0" applyFont="1" applyBorder="1"/>
    <xf numFmtId="2" fontId="0" fillId="9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66" fontId="0" fillId="11" borderId="1" xfId="0" applyNumberFormat="1" applyFill="1" applyBorder="1"/>
    <xf numFmtId="2" fontId="0" fillId="11" borderId="1" xfId="0" applyNumberFormat="1" applyFill="1" applyBorder="1"/>
    <xf numFmtId="0" fontId="1" fillId="0" borderId="0" xfId="0" applyFont="1" applyFill="1" applyBorder="1" applyAlignment="1">
      <alignment horizontal="right"/>
    </xf>
    <xf numFmtId="0" fontId="37" fillId="10" borderId="0" xfId="0" applyFont="1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37" fillId="0" borderId="0" xfId="0" applyFont="1"/>
    <xf numFmtId="0" fontId="0" fillId="0" borderId="0" xfId="0" applyAlignment="1">
      <alignment wrapText="1"/>
    </xf>
    <xf numFmtId="0" fontId="26" fillId="0" borderId="1" xfId="0" applyFont="1" applyBorder="1" applyAlignment="1">
      <alignment vertical="top" wrapText="1"/>
    </xf>
    <xf numFmtId="166" fontId="0" fillId="0" borderId="0" xfId="0" applyNumberFormat="1" applyBorder="1" applyAlignment="1">
      <alignment horizontal="center"/>
    </xf>
    <xf numFmtId="0" fontId="46" fillId="0" borderId="0" xfId="0" applyFont="1"/>
    <xf numFmtId="166" fontId="1" fillId="0" borderId="1" xfId="0" applyNumberFormat="1" applyFont="1" applyBorder="1" applyAlignment="1">
      <alignment horizontal="center"/>
    </xf>
    <xf numFmtId="0" fontId="0" fillId="0" borderId="0" xfId="0" applyAlignment="1"/>
    <xf numFmtId="0" fontId="0" fillId="0" borderId="1" xfId="0" applyBorder="1" applyAlignment="1">
      <alignment vertical="top"/>
    </xf>
    <xf numFmtId="0" fontId="0" fillId="11" borderId="1" xfId="0" applyFill="1" applyBorder="1"/>
    <xf numFmtId="0" fontId="2" fillId="0" borderId="0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1" fontId="0" fillId="8" borderId="1" xfId="0" applyNumberFormat="1" applyFill="1" applyBorder="1" applyAlignment="1">
      <alignment horizontal="center"/>
    </xf>
    <xf numFmtId="0" fontId="0" fillId="8" borderId="2" xfId="0" applyNumberFormat="1" applyFill="1" applyBorder="1" applyAlignment="1">
      <alignment horizontal="center"/>
    </xf>
    <xf numFmtId="0" fontId="0" fillId="8" borderId="1" xfId="0" applyNumberFormat="1" applyFill="1" applyBorder="1" applyAlignment="1">
      <alignment horizontal="center"/>
    </xf>
    <xf numFmtId="0" fontId="1" fillId="0" borderId="1" xfId="0" applyFont="1" applyFill="1" applyBorder="1" applyAlignment="1"/>
    <xf numFmtId="0" fontId="1" fillId="0" borderId="1" xfId="0" applyFont="1" applyFill="1" applyBorder="1"/>
    <xf numFmtId="166" fontId="0" fillId="8" borderId="1" xfId="0" applyNumberFormat="1" applyFill="1" applyBorder="1" applyAlignment="1">
      <alignment horizontal="center"/>
    </xf>
    <xf numFmtId="2" fontId="49" fillId="5" borderId="0" xfId="0" applyNumberFormat="1" applyFont="1" applyFill="1"/>
    <xf numFmtId="0" fontId="23" fillId="5" borderId="0" xfId="0" applyFont="1" applyFill="1"/>
    <xf numFmtId="2" fontId="0" fillId="5" borderId="1" xfId="0" applyNumberFormat="1" applyFill="1" applyBorder="1"/>
    <xf numFmtId="166" fontId="0" fillId="5" borderId="1" xfId="0" applyNumberFormat="1" applyFill="1" applyBorder="1"/>
    <xf numFmtId="0" fontId="50" fillId="0" borderId="1" xfId="0" applyFont="1" applyBorder="1"/>
    <xf numFmtId="166" fontId="0" fillId="3" borderId="1" xfId="0" applyNumberFormat="1" applyFill="1" applyBorder="1"/>
    <xf numFmtId="165" fontId="0" fillId="3" borderId="1" xfId="0" applyNumberFormat="1" applyFill="1" applyBorder="1"/>
    <xf numFmtId="0" fontId="51" fillId="0" borderId="0" xfId="0" applyFont="1"/>
    <xf numFmtId="0" fontId="52" fillId="0" borderId="0" xfId="0" applyFont="1"/>
    <xf numFmtId="22" fontId="0" fillId="0" borderId="0" xfId="0" applyNumberForma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left"/>
    </xf>
    <xf numFmtId="0" fontId="1" fillId="0" borderId="0" xfId="0" applyFont="1" applyFill="1"/>
    <xf numFmtId="166" fontId="0" fillId="0" borderId="0" xfId="0" applyNumberFormat="1" applyFill="1"/>
    <xf numFmtId="0" fontId="48" fillId="0" borderId="0" xfId="0" applyFont="1"/>
    <xf numFmtId="166" fontId="50" fillId="0" borderId="0" xfId="0" applyNumberFormat="1" applyFont="1"/>
    <xf numFmtId="166" fontId="0" fillId="0" borderId="1" xfId="0" applyNumberFormat="1" applyFill="1" applyBorder="1"/>
    <xf numFmtId="166" fontId="0" fillId="0" borderId="0" xfId="0" applyNumberFormat="1" applyFill="1" applyBorder="1"/>
    <xf numFmtId="166" fontId="1" fillId="0" borderId="0" xfId="0" applyNumberFormat="1" applyFont="1" applyFill="1"/>
    <xf numFmtId="165" fontId="0" fillId="0" borderId="0" xfId="0" applyNumberFormat="1" applyFill="1"/>
    <xf numFmtId="0" fontId="50" fillId="0" borderId="0" xfId="0" applyFont="1" applyFill="1"/>
    <xf numFmtId="166" fontId="50" fillId="0" borderId="0" xfId="0" applyNumberFormat="1" applyFont="1" applyFill="1"/>
    <xf numFmtId="0" fontId="50" fillId="0" borderId="0" xfId="0" applyFont="1" applyAlignment="1">
      <alignment horizontal="center"/>
    </xf>
    <xf numFmtId="0" fontId="54" fillId="0" borderId="0" xfId="0" applyFont="1"/>
    <xf numFmtId="166" fontId="50" fillId="0" borderId="0" xfId="0" applyNumberFormat="1" applyFont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55" fillId="0" borderId="0" xfId="0" applyFont="1"/>
    <xf numFmtId="0" fontId="50" fillId="0" borderId="0" xfId="0" applyFont="1"/>
    <xf numFmtId="0" fontId="23" fillId="0" borderId="0" xfId="0" applyFont="1" applyFill="1"/>
    <xf numFmtId="0" fontId="1" fillId="0" borderId="0" xfId="0" applyFont="1"/>
    <xf numFmtId="165" fontId="37" fillId="0" borderId="1" xfId="0" applyNumberFormat="1" applyFont="1" applyBorder="1"/>
    <xf numFmtId="165" fontId="0" fillId="0" borderId="1" xfId="0" applyNumberFormat="1" applyFill="1" applyBorder="1"/>
    <xf numFmtId="165" fontId="37" fillId="0" borderId="1" xfId="0" applyNumberFormat="1" applyFont="1" applyFill="1" applyBorder="1"/>
    <xf numFmtId="2" fontId="37" fillId="0" borderId="1" xfId="0" applyNumberFormat="1" applyFont="1" applyFill="1" applyBorder="1"/>
    <xf numFmtId="2" fontId="0" fillId="0" borderId="1" xfId="0" applyNumberFormat="1" applyFill="1" applyBorder="1"/>
    <xf numFmtId="1" fontId="0" fillId="3" borderId="1" xfId="0" applyNumberFormat="1" applyFill="1" applyBorder="1"/>
    <xf numFmtId="0" fontId="56" fillId="0" borderId="0" xfId="0" applyFont="1"/>
    <xf numFmtId="0" fontId="57" fillId="0" borderId="0" xfId="0" applyFont="1"/>
    <xf numFmtId="0" fontId="49" fillId="0" borderId="0" xfId="0" applyFont="1"/>
    <xf numFmtId="0" fontId="58" fillId="5" borderId="0" xfId="0" applyFont="1" applyFill="1"/>
    <xf numFmtId="0" fontId="59" fillId="5" borderId="0" xfId="0" applyFont="1" applyFill="1"/>
    <xf numFmtId="166" fontId="49" fillId="0" borderId="0" xfId="0" applyNumberFormat="1" applyFont="1"/>
    <xf numFmtId="0" fontId="60" fillId="0" borderId="0" xfId="0" applyFont="1" applyFill="1" applyAlignment="1">
      <alignment horizontal="center"/>
    </xf>
    <xf numFmtId="0" fontId="40" fillId="0" borderId="0" xfId="0" applyFont="1"/>
    <xf numFmtId="0" fontId="52" fillId="0" borderId="0" xfId="0" applyFont="1" applyFill="1"/>
    <xf numFmtId="2" fontId="58" fillId="5" borderId="0" xfId="0" applyNumberFormat="1" applyFont="1" applyFill="1"/>
    <xf numFmtId="2" fontId="37" fillId="0" borderId="0" xfId="0" applyNumberFormat="1" applyFont="1"/>
    <xf numFmtId="2" fontId="49" fillId="0" borderId="0" xfId="0" applyNumberFormat="1" applyFont="1"/>
    <xf numFmtId="0" fontId="60" fillId="0" borderId="0" xfId="0" applyFont="1" applyFill="1"/>
    <xf numFmtId="2" fontId="60" fillId="0" borderId="0" xfId="0" applyNumberFormat="1" applyFont="1" applyFill="1"/>
    <xf numFmtId="0" fontId="37" fillId="0" borderId="0" xfId="0" applyFont="1" applyFill="1" applyAlignment="1">
      <alignment horizontal="center"/>
    </xf>
    <xf numFmtId="2" fontId="55" fillId="0" borderId="0" xfId="0" applyNumberFormat="1" applyFont="1"/>
    <xf numFmtId="0" fontId="1" fillId="3" borderId="1" xfId="0" applyFont="1" applyFill="1" applyBorder="1"/>
    <xf numFmtId="166" fontId="1" fillId="3" borderId="1" xfId="0" applyNumberFormat="1" applyFont="1" applyFill="1" applyBorder="1"/>
    <xf numFmtId="0" fontId="37" fillId="3" borderId="1" xfId="0" applyFont="1" applyFill="1" applyBorder="1"/>
    <xf numFmtId="0" fontId="37" fillId="0" borderId="1" xfId="0" applyFont="1" applyFill="1" applyBorder="1" applyAlignment="1">
      <alignment horizontal="right"/>
    </xf>
    <xf numFmtId="0" fontId="37" fillId="0" borderId="1" xfId="0" applyFont="1" applyFill="1" applyBorder="1" applyAlignment="1">
      <alignment horizontal="lef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left"/>
    </xf>
    <xf numFmtId="2" fontId="1" fillId="3" borderId="1" xfId="0" applyNumberFormat="1" applyFont="1" applyFill="1" applyBorder="1"/>
    <xf numFmtId="166" fontId="61" fillId="3" borderId="1" xfId="0" applyNumberFormat="1" applyFont="1" applyFill="1" applyBorder="1"/>
    <xf numFmtId="2" fontId="62" fillId="3" borderId="1" xfId="0" applyNumberFormat="1" applyFont="1" applyFill="1" applyBorder="1"/>
    <xf numFmtId="166" fontId="23" fillId="3" borderId="1" xfId="0" applyNumberFormat="1" applyFont="1" applyFill="1" applyBorder="1"/>
    <xf numFmtId="2" fontId="37" fillId="3" borderId="1" xfId="0" applyNumberFormat="1" applyFont="1" applyFill="1" applyBorder="1"/>
    <xf numFmtId="0" fontId="52" fillId="3" borderId="1" xfId="0" applyFont="1" applyFill="1" applyBorder="1"/>
    <xf numFmtId="2" fontId="1" fillId="0" borderId="0" xfId="0" applyNumberFormat="1" applyFont="1"/>
    <xf numFmtId="1" fontId="37" fillId="3" borderId="1" xfId="0" applyNumberFormat="1" applyFont="1" applyFill="1" applyBorder="1"/>
    <xf numFmtId="0" fontId="63" fillId="0" borderId="0" xfId="0" applyFont="1"/>
    <xf numFmtId="166" fontId="54" fillId="0" borderId="0" xfId="0" applyNumberFormat="1" applyFont="1"/>
    <xf numFmtId="0" fontId="58" fillId="0" borderId="0" xfId="0" applyFont="1"/>
    <xf numFmtId="0" fontId="61" fillId="3" borderId="1" xfId="0" applyFont="1" applyFill="1" applyBorder="1"/>
    <xf numFmtId="167" fontId="1" fillId="0" borderId="0" xfId="0" applyNumberFormat="1" applyFont="1"/>
    <xf numFmtId="0" fontId="37" fillId="0" borderId="1" xfId="0" applyFont="1" applyFill="1" applyBorder="1"/>
    <xf numFmtId="166" fontId="64" fillId="3" borderId="1" xfId="0" applyNumberFormat="1" applyFont="1" applyFill="1" applyBorder="1"/>
    <xf numFmtId="168" fontId="1" fillId="0" borderId="0" xfId="0" applyNumberFormat="1" applyFont="1"/>
    <xf numFmtId="168" fontId="1" fillId="0" borderId="0" xfId="0" applyNumberFormat="1" applyFont="1" applyFill="1"/>
    <xf numFmtId="168" fontId="0" fillId="0" borderId="0" xfId="0" applyNumberFormat="1" applyFill="1"/>
    <xf numFmtId="2" fontId="0" fillId="0" borderId="0" xfId="0" applyNumberFormat="1" applyFill="1"/>
    <xf numFmtId="0" fontId="58" fillId="0" borderId="0" xfId="0" applyFont="1" applyFill="1"/>
    <xf numFmtId="2" fontId="58" fillId="0" borderId="0" xfId="0" applyNumberFormat="1" applyFont="1" applyFill="1"/>
    <xf numFmtId="166" fontId="1" fillId="0" borderId="1" xfId="0" applyNumberFormat="1" applyFont="1" applyFill="1" applyBorder="1"/>
    <xf numFmtId="2" fontId="1" fillId="0" borderId="1" xfId="0" applyNumberFormat="1" applyFont="1" applyFill="1" applyBorder="1"/>
    <xf numFmtId="2" fontId="23" fillId="0" borderId="1" xfId="0" applyNumberFormat="1" applyFont="1" applyFill="1" applyBorder="1"/>
    <xf numFmtId="166" fontId="23" fillId="0" borderId="1" xfId="0" applyNumberFormat="1" applyFont="1" applyFill="1" applyBorder="1"/>
    <xf numFmtId="0" fontId="52" fillId="0" borderId="1" xfId="0" applyFont="1" applyFill="1" applyBorder="1"/>
    <xf numFmtId="167" fontId="0" fillId="0" borderId="0" xfId="0" applyNumberFormat="1" applyFill="1"/>
    <xf numFmtId="2" fontId="1" fillId="0" borderId="0" xfId="0" applyNumberFormat="1" applyFont="1" applyFill="1"/>
    <xf numFmtId="0" fontId="37" fillId="0" borderId="0" xfId="0" applyFont="1" applyFill="1"/>
    <xf numFmtId="2" fontId="23" fillId="3" borderId="1" xfId="0" applyNumberFormat="1" applyFont="1" applyFill="1" applyBorder="1"/>
    <xf numFmtId="0" fontId="1" fillId="0" borderId="0" xfId="0" applyFont="1" applyAlignment="1">
      <alignment horizontal="left"/>
    </xf>
    <xf numFmtId="0" fontId="2" fillId="8" borderId="7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166" fontId="46" fillId="0" borderId="0" xfId="0" applyNumberFormat="1" applyFont="1"/>
    <xf numFmtId="0" fontId="46" fillId="0" borderId="0" xfId="0" applyFont="1" applyBorder="1"/>
    <xf numFmtId="166" fontId="46" fillId="0" borderId="0" xfId="0" applyNumberFormat="1" applyFont="1" applyBorder="1"/>
    <xf numFmtId="166" fontId="46" fillId="0" borderId="0" xfId="0" applyNumberFormat="1" applyFont="1" applyFill="1" applyBorder="1"/>
    <xf numFmtId="0" fontId="46" fillId="0" borderId="0" xfId="0" applyFont="1" applyFill="1" applyBorder="1"/>
    <xf numFmtId="165" fontId="46" fillId="0" borderId="0" xfId="0" applyNumberFormat="1" applyFont="1"/>
    <xf numFmtId="165" fontId="46" fillId="0" borderId="0" xfId="0" applyNumberFormat="1" applyFont="1" applyFill="1" applyBorder="1"/>
    <xf numFmtId="166" fontId="46" fillId="0" borderId="0" xfId="0" applyNumberFormat="1" applyFont="1" applyFill="1"/>
    <xf numFmtId="0" fontId="37" fillId="10" borderId="1" xfId="0" applyFont="1" applyFill="1" applyBorder="1"/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167" fontId="0" fillId="0" borderId="1" xfId="0" applyNumberFormat="1" applyBorder="1" applyAlignment="1">
      <alignment horizontal="center"/>
    </xf>
    <xf numFmtId="2" fontId="37" fillId="10" borderId="1" xfId="0" applyNumberFormat="1" applyFont="1" applyFill="1" applyBorder="1" applyAlignment="1">
      <alignment horizontal="center"/>
    </xf>
    <xf numFmtId="166" fontId="67" fillId="0" borderId="0" xfId="0" applyNumberFormat="1" applyFont="1" applyAlignment="1">
      <alignment horizontal="left"/>
    </xf>
    <xf numFmtId="0" fontId="68" fillId="0" borderId="0" xfId="0" applyFont="1"/>
    <xf numFmtId="166" fontId="68" fillId="0" borderId="0" xfId="0" applyNumberFormat="1" applyFont="1"/>
    <xf numFmtId="0" fontId="47" fillId="0" borderId="0" xfId="0" applyFont="1"/>
    <xf numFmtId="1" fontId="3" fillId="9" borderId="1" xfId="0" applyNumberFormat="1" applyFont="1" applyFill="1" applyBorder="1"/>
    <xf numFmtId="1" fontId="0" fillId="9" borderId="1" xfId="0" applyNumberFormat="1" applyFill="1" applyBorder="1"/>
    <xf numFmtId="0" fontId="67" fillId="0" borderId="0" xfId="0" applyFont="1"/>
    <xf numFmtId="0" fontId="69" fillId="0" borderId="0" xfId="0" applyFont="1"/>
    <xf numFmtId="2" fontId="1" fillId="8" borderId="1" xfId="0" applyNumberFormat="1" applyFont="1" applyFill="1" applyBorder="1" applyAlignment="1">
      <alignment horizontal="center"/>
    </xf>
    <xf numFmtId="0" fontId="48" fillId="0" borderId="0" xfId="0" applyFont="1" applyAlignment="1">
      <alignment horizontal="left"/>
    </xf>
    <xf numFmtId="0" fontId="48" fillId="3" borderId="0" xfId="0" applyFont="1" applyFill="1" applyAlignment="1">
      <alignment horizontal="left"/>
    </xf>
    <xf numFmtId="0" fontId="48" fillId="3" borderId="0" xfId="0" applyFont="1" applyFill="1"/>
    <xf numFmtId="0" fontId="70" fillId="0" borderId="0" xfId="0" applyFont="1"/>
    <xf numFmtId="2" fontId="70" fillId="8" borderId="2" xfId="0" applyNumberFormat="1" applyFont="1" applyFill="1" applyBorder="1"/>
    <xf numFmtId="166" fontId="70" fillId="8" borderId="1" xfId="0" applyNumberFormat="1" applyFont="1" applyFill="1" applyBorder="1"/>
    <xf numFmtId="2" fontId="70" fillId="8" borderId="1" xfId="0" applyNumberFormat="1" applyFont="1" applyFill="1" applyBorder="1"/>
    <xf numFmtId="2" fontId="23" fillId="8" borderId="1" xfId="0" applyNumberFormat="1" applyFont="1" applyFill="1" applyBorder="1"/>
    <xf numFmtId="165" fontId="1" fillId="0" borderId="0" xfId="0" applyNumberFormat="1" applyFont="1"/>
    <xf numFmtId="165" fontId="37" fillId="9" borderId="1" xfId="0" applyNumberFormat="1" applyFont="1" applyFill="1" applyBorder="1"/>
    <xf numFmtId="0" fontId="0" fillId="8" borderId="1" xfId="0" applyNumberFormat="1" applyFill="1" applyBorder="1" applyAlignment="1">
      <alignment horizontal="right"/>
    </xf>
    <xf numFmtId="165" fontId="0" fillId="8" borderId="1" xfId="0" applyNumberFormat="1" applyFill="1" applyBorder="1" applyAlignment="1">
      <alignment horizontal="center"/>
    </xf>
    <xf numFmtId="2" fontId="0" fillId="8" borderId="1" xfId="0" applyNumberFormat="1" applyFill="1" applyBorder="1" applyAlignment="1">
      <alignment horizontal="center"/>
    </xf>
    <xf numFmtId="171" fontId="0" fillId="0" borderId="0" xfId="0" applyNumberFormat="1"/>
    <xf numFmtId="165" fontId="0" fillId="9" borderId="3" xfId="0" applyNumberFormat="1" applyFill="1" applyBorder="1" applyAlignment="1">
      <alignment horizontal="center"/>
    </xf>
    <xf numFmtId="2" fontId="67" fillId="4" borderId="0" xfId="0" applyNumberFormat="1" applyFont="1" applyFill="1"/>
    <xf numFmtId="169" fontId="46" fillId="0" borderId="0" xfId="0" applyNumberFormat="1" applyFont="1"/>
    <xf numFmtId="2" fontId="68" fillId="0" borderId="0" xfId="0" applyNumberFormat="1" applyFont="1"/>
    <xf numFmtId="2" fontId="46" fillId="0" borderId="0" xfId="0" applyNumberFormat="1" applyFont="1"/>
    <xf numFmtId="0" fontId="46" fillId="4" borderId="0" xfId="0" applyFont="1" applyFill="1" applyBorder="1"/>
    <xf numFmtId="0" fontId="68" fillId="4" borderId="0" xfId="0" applyFont="1" applyFill="1" applyBorder="1"/>
    <xf numFmtId="2" fontId="46" fillId="4" borderId="0" xfId="0" applyNumberFormat="1" applyFont="1" applyFill="1" applyBorder="1"/>
    <xf numFmtId="165" fontId="46" fillId="4" borderId="0" xfId="0" applyNumberFormat="1" applyFont="1" applyFill="1" applyBorder="1"/>
    <xf numFmtId="0" fontId="0" fillId="4" borderId="0" xfId="0" applyFill="1"/>
    <xf numFmtId="165" fontId="68" fillId="0" borderId="0" xfId="0" applyNumberFormat="1" applyFont="1"/>
    <xf numFmtId="0" fontId="9" fillId="0" borderId="1" xfId="0" applyFont="1" applyFill="1" applyBorder="1" applyAlignment="1">
      <alignment horizontal="left" indent="4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indent="4"/>
    </xf>
    <xf numFmtId="0" fontId="47" fillId="0" borderId="2" xfId="0" applyFont="1" applyFill="1" applyBorder="1" applyAlignment="1">
      <alignment horizontal="right"/>
    </xf>
    <xf numFmtId="0" fontId="47" fillId="0" borderId="4" xfId="0" applyFont="1" applyFill="1" applyBorder="1" applyAlignment="1">
      <alignment horizontal="right"/>
    </xf>
    <xf numFmtId="0" fontId="47" fillId="0" borderId="3" xfId="0" applyFont="1" applyFill="1" applyBorder="1" applyAlignment="1">
      <alignment horizontal="right"/>
    </xf>
    <xf numFmtId="165" fontId="47" fillId="0" borderId="1" xfId="0" applyNumberFormat="1" applyFont="1" applyFill="1" applyBorder="1"/>
    <xf numFmtId="166" fontId="47" fillId="0" borderId="1" xfId="0" applyNumberFormat="1" applyFont="1" applyFill="1" applyBorder="1"/>
    <xf numFmtId="2" fontId="47" fillId="0" borderId="1" xfId="0" applyNumberFormat="1" applyFont="1" applyFill="1" applyBorder="1"/>
    <xf numFmtId="0" fontId="47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center"/>
    </xf>
    <xf numFmtId="17" fontId="3" fillId="0" borderId="1" xfId="0" applyNumberFormat="1" applyFont="1" applyFill="1" applyBorder="1" applyAlignment="1">
      <alignment horizontal="center"/>
    </xf>
    <xf numFmtId="0" fontId="3" fillId="0" borderId="1" xfId="0" applyFont="1" applyFill="1" applyBorder="1"/>
    <xf numFmtId="0" fontId="3" fillId="0" borderId="6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indent="4"/>
    </xf>
    <xf numFmtId="0" fontId="3" fillId="0" borderId="1" xfId="0" applyFont="1" applyFill="1" applyBorder="1" applyAlignment="1">
      <alignment horizontal="right"/>
    </xf>
    <xf numFmtId="166" fontId="47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>
      <alignment horizontal="center"/>
    </xf>
    <xf numFmtId="165" fontId="47" fillId="0" borderId="1" xfId="0" applyNumberFormat="1" applyFont="1" applyFill="1" applyBorder="1" applyAlignment="1">
      <alignment horizontal="center"/>
    </xf>
    <xf numFmtId="1" fontId="47" fillId="0" borderId="1" xfId="0" applyNumberFormat="1" applyFont="1" applyFill="1" applyBorder="1"/>
    <xf numFmtId="166" fontId="3" fillId="0" borderId="1" xfId="0" applyNumberFormat="1" applyFont="1" applyFill="1" applyBorder="1"/>
    <xf numFmtId="0" fontId="47" fillId="0" borderId="0" xfId="0" applyFont="1" applyFill="1"/>
    <xf numFmtId="0" fontId="47" fillId="0" borderId="0" xfId="0" applyFont="1" applyFill="1" applyAlignment="1">
      <alignment horizontal="left"/>
    </xf>
    <xf numFmtId="165" fontId="3" fillId="0" borderId="1" xfId="0" applyNumberFormat="1" applyFont="1" applyFill="1" applyBorder="1"/>
    <xf numFmtId="0" fontId="37" fillId="0" borderId="0" xfId="0" applyFont="1" applyFill="1" applyAlignment="1">
      <alignment horizontal="left"/>
    </xf>
    <xf numFmtId="0" fontId="71" fillId="0" borderId="0" xfId="0" applyFont="1" applyFill="1" applyAlignment="1">
      <alignment vertical="center"/>
    </xf>
    <xf numFmtId="0" fontId="72" fillId="0" borderId="0" xfId="0" applyFont="1"/>
    <xf numFmtId="166" fontId="72" fillId="0" borderId="1" xfId="0" applyNumberFormat="1" applyFont="1" applyFill="1" applyBorder="1" applyAlignment="1">
      <alignment horizontal="center"/>
    </xf>
    <xf numFmtId="0" fontId="72" fillId="0" borderId="0" xfId="0" applyFont="1" applyFill="1"/>
    <xf numFmtId="0" fontId="55" fillId="0" borderId="5" xfId="0" applyFont="1" applyBorder="1" applyAlignment="1">
      <alignment horizontal="left"/>
    </xf>
    <xf numFmtId="0" fontId="55" fillId="0" borderId="5" xfId="0" applyFont="1" applyBorder="1" applyAlignment="1">
      <alignment horizontal="centerContinuous"/>
    </xf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/>
    <xf numFmtId="166" fontId="55" fillId="0" borderId="1" xfId="0" applyNumberFormat="1" applyFont="1" applyFill="1" applyBorder="1" applyAlignment="1">
      <alignment horizontal="center"/>
    </xf>
    <xf numFmtId="0" fontId="55" fillId="0" borderId="1" xfId="0" applyFont="1" applyFill="1" applyBorder="1" applyAlignment="1"/>
    <xf numFmtId="0" fontId="55" fillId="0" borderId="0" xfId="0" applyFont="1" applyFill="1" applyBorder="1"/>
    <xf numFmtId="166" fontId="55" fillId="0" borderId="0" xfId="0" applyNumberFormat="1" applyFont="1" applyFill="1" applyBorder="1" applyAlignment="1">
      <alignment horizontal="center"/>
    </xf>
    <xf numFmtId="0" fontId="55" fillId="0" borderId="0" xfId="0" applyFont="1" applyFill="1" applyBorder="1" applyAlignment="1">
      <alignment horizontal="left"/>
    </xf>
    <xf numFmtId="0" fontId="55" fillId="0" borderId="0" xfId="0" applyFont="1" applyFill="1" applyBorder="1" applyAlignment="1">
      <alignment horizontal="centerContinuous"/>
    </xf>
    <xf numFmtId="0" fontId="55" fillId="0" borderId="0" xfId="0" applyFont="1" applyFill="1"/>
    <xf numFmtId="0" fontId="55" fillId="0" borderId="0" xfId="0" applyFont="1" applyFill="1" applyAlignment="1">
      <alignment horizontal="left"/>
    </xf>
    <xf numFmtId="0" fontId="55" fillId="0" borderId="0" xfId="0" applyFont="1" applyFill="1" applyAlignment="1">
      <alignment horizontal="centerContinuous"/>
    </xf>
    <xf numFmtId="0" fontId="73" fillId="0" borderId="0" xfId="0" applyFont="1" applyFill="1" applyAlignment="1">
      <alignment vertical="center"/>
    </xf>
    <xf numFmtId="0" fontId="55" fillId="0" borderId="0" xfId="0" applyFont="1" applyFill="1" applyBorder="1" applyAlignment="1"/>
    <xf numFmtId="166" fontId="55" fillId="0" borderId="0" xfId="0" applyNumberFormat="1" applyFont="1" applyFill="1" applyAlignment="1">
      <alignment horizontal="center"/>
    </xf>
    <xf numFmtId="2" fontId="47" fillId="0" borderId="0" xfId="0" applyNumberFormat="1" applyFont="1" applyFill="1"/>
    <xf numFmtId="165" fontId="47" fillId="0" borderId="0" xfId="0" applyNumberFormat="1" applyFont="1" applyFill="1"/>
    <xf numFmtId="0" fontId="37" fillId="0" borderId="0" xfId="0" applyFont="1" applyFill="1" applyAlignment="1"/>
    <xf numFmtId="2" fontId="47" fillId="0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right"/>
    </xf>
    <xf numFmtId="1" fontId="0" fillId="8" borderId="1" xfId="0" applyNumberFormat="1" applyFill="1" applyBorder="1" applyAlignment="1">
      <alignment horizontal="right"/>
    </xf>
    <xf numFmtId="166" fontId="0" fillId="9" borderId="1" xfId="0" applyNumberFormat="1" applyFill="1" applyBorder="1" applyAlignment="1">
      <alignment horizontal="left"/>
    </xf>
    <xf numFmtId="165" fontId="0" fillId="9" borderId="1" xfId="0" applyNumberFormat="1" applyFill="1" applyBorder="1" applyAlignment="1">
      <alignment horizontal="center"/>
    </xf>
    <xf numFmtId="165" fontId="1" fillId="9" borderId="1" xfId="0" applyNumberFormat="1" applyFont="1" applyFill="1" applyBorder="1" applyAlignment="1">
      <alignment horizontal="center"/>
    </xf>
    <xf numFmtId="166" fontId="1" fillId="9" borderId="1" xfId="0" applyNumberFormat="1" applyFont="1" applyFill="1" applyBorder="1" applyAlignment="1">
      <alignment horizontal="center"/>
    </xf>
    <xf numFmtId="2" fontId="1" fillId="9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7" borderId="6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left"/>
    </xf>
    <xf numFmtId="0" fontId="2" fillId="7" borderId="8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2" fillId="7" borderId="41" xfId="0" applyFont="1" applyFill="1" applyBorder="1" applyAlignment="1">
      <alignment horizontal="left"/>
    </xf>
    <xf numFmtId="0" fontId="2" fillId="7" borderId="5" xfId="0" applyFont="1" applyFill="1" applyBorder="1" applyAlignment="1">
      <alignment horizontal="left"/>
    </xf>
    <xf numFmtId="0" fontId="2" fillId="7" borderId="35" xfId="0" applyFont="1" applyFill="1" applyBorder="1" applyAlignment="1">
      <alignment horizontal="left"/>
    </xf>
    <xf numFmtId="0" fontId="3" fillId="0" borderId="8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left"/>
    </xf>
    <xf numFmtId="0" fontId="3" fillId="0" borderId="41" xfId="0" applyFont="1" applyFill="1" applyBorder="1" applyAlignment="1">
      <alignment horizontal="left"/>
    </xf>
    <xf numFmtId="0" fontId="3" fillId="0" borderId="5" xfId="0" applyFont="1" applyFill="1" applyBorder="1" applyAlignment="1">
      <alignment horizontal="left"/>
    </xf>
    <xf numFmtId="0" fontId="3" fillId="0" borderId="35" xfId="0" applyFont="1" applyFill="1" applyBorder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3" fillId="0" borderId="8" xfId="0" applyFont="1" applyFill="1" applyBorder="1" applyAlignment="1">
      <alignment horizontal="left"/>
    </xf>
  </cellXfs>
  <cellStyles count="3">
    <cellStyle name="Обычный" xfId="0" builtinId="0"/>
    <cellStyle name="Обычный_CP1" xfId="1"/>
    <cellStyle name="Финансовый" xfId="2" builtinId="3"/>
  </cellStyles>
  <dxfs count="50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condense val="0"/>
        <extend val="0"/>
        <color indexed="10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при Al2O3=11,014 , MgO=11,602)</a:t>
            </a:r>
          </a:p>
        </c:rich>
      </c:tx>
      <c:layout>
        <c:manualLayout>
          <c:xMode val="edge"/>
          <c:yMode val="edge"/>
          <c:x val="0.17894758944605607"/>
          <c:y val="3.7313432835820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26326610121926"/>
          <c:y val="0.19029885417672535"/>
          <c:w val="0.80421135301331514"/>
          <c:h val="0.6679116646594869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основности'!$A$57</c:f>
              <c:strCache>
                <c:ptCount val="1"/>
                <c:pt idx="0">
                  <c:v>тем-ра при вяз-сти 25 пуаз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основности'!$C$22:$K$22</c:f>
              <c:numCache>
                <c:formatCode>General</c:formatCode>
                <c:ptCount val="9"/>
                <c:pt idx="0">
                  <c:v>1362.0504666263196</c:v>
                </c:pt>
                <c:pt idx="1">
                  <c:v>1357.5819756648377</c:v>
                </c:pt>
                <c:pt idx="2">
                  <c:v>1350.7204208500989</c:v>
                </c:pt>
                <c:pt idx="3">
                  <c:v>1346.2518548549367</c:v>
                </c:pt>
                <c:pt idx="4">
                  <c:v>1343.5045384850298</c:v>
                </c:pt>
                <c:pt idx="5">
                  <c:v>1338.8484356029214</c:v>
                </c:pt>
                <c:pt idx="6">
                  <c:v>1332.6615915835505</c:v>
                </c:pt>
                <c:pt idx="7">
                  <c:v>1345.1971321460792</c:v>
                </c:pt>
                <c:pt idx="8">
                  <c:v>1379.4765330458724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6-481A-92C4-134AB00C7488}"/>
            </c:ext>
          </c:extLst>
        </c:ser>
        <c:ser>
          <c:idx val="1"/>
          <c:order val="1"/>
          <c:tx>
            <c:strRef>
              <c:f>'Влияние основности'!$A$23</c:f>
              <c:strCache>
                <c:ptCount val="1"/>
                <c:pt idx="0">
                  <c:v>тем-ра при вяз-сти 7 пуаз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основности'!$C$23:$K$23</c:f>
              <c:numCache>
                <c:formatCode>General</c:formatCode>
                <c:ptCount val="9"/>
                <c:pt idx="0">
                  <c:v>1417.6090074627057</c:v>
                </c:pt>
                <c:pt idx="1">
                  <c:v>1418.8188077136754</c:v>
                </c:pt>
                <c:pt idx="2">
                  <c:v>1417.3795924518779</c:v>
                </c:pt>
                <c:pt idx="3">
                  <c:v>1412.6254780542818</c:v>
                </c:pt>
                <c:pt idx="4">
                  <c:v>1405.30381205351</c:v>
                </c:pt>
                <c:pt idx="5">
                  <c:v>1396.6403911410466</c:v>
                </c:pt>
                <c:pt idx="6">
                  <c:v>1389.9433858261034</c:v>
                </c:pt>
                <c:pt idx="7">
                  <c:v>1397.815587550303</c:v>
                </c:pt>
                <c:pt idx="8">
                  <c:v>1414.9778834705851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A6-481A-92C4-134AB00C7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88800"/>
        <c:axId val="1"/>
      </c:lineChart>
      <c:catAx>
        <c:axId val="384988800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 шлака,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0526315789473684E-2"/>
              <c:y val="0.283582481294315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498880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68428627085348E-2"/>
          <c:y val="0.11567185253879383"/>
          <c:w val="0.7389481280305592"/>
          <c:h val="8.2089701801724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Al2O3=11,014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MgO=11,602 при увеличении CaO/SiO2 шлака </a:t>
            </a:r>
          </a:p>
        </c:rich>
      </c:tx>
      <c:layout>
        <c:manualLayout>
          <c:xMode val="edge"/>
          <c:yMode val="edge"/>
          <c:x val="0.11702155581616126"/>
          <c:y val="3.84615384615384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553214284322904"/>
          <c:y val="0.34265792766937497"/>
          <c:w val="0.74202224020092278"/>
          <c:h val="0.4510497211158099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основности'!$A$18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основности'!$C$18:$K$18</c:f>
              <c:numCache>
                <c:formatCode>General</c:formatCode>
                <c:ptCount val="9"/>
                <c:pt idx="0">
                  <c:v>9.8006537684113546</c:v>
                </c:pt>
                <c:pt idx="1">
                  <c:v>9.6930548038050137</c:v>
                </c:pt>
                <c:pt idx="2">
                  <c:v>9.1960010779080754</c:v>
                </c:pt>
                <c:pt idx="3">
                  <c:v>8.5114784519882765</c:v>
                </c:pt>
                <c:pt idx="4">
                  <c:v>7.6278464543376003</c:v>
                </c:pt>
                <c:pt idx="5">
                  <c:v>6.6180502634422327</c:v>
                </c:pt>
                <c:pt idx="6">
                  <c:v>5.9378310579012732</c:v>
                </c:pt>
                <c:pt idx="7">
                  <c:v>6.7239363664593412</c:v>
                </c:pt>
                <c:pt idx="8">
                  <c:v>11.092330418048185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E6-42A8-A0ED-80DB2D39C189}"/>
            </c:ext>
          </c:extLst>
        </c:ser>
        <c:ser>
          <c:idx val="1"/>
          <c:order val="1"/>
          <c:tx>
            <c:strRef>
              <c:f>'Влияние основности'!$A$19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основности'!$C$19:$K$19</c:f>
              <c:numCache>
                <c:formatCode>General</c:formatCode>
                <c:ptCount val="9"/>
                <c:pt idx="0">
                  <c:v>4.2676786487121312</c:v>
                </c:pt>
                <c:pt idx="1">
                  <c:v>4.5086333483847225</c:v>
                </c:pt>
                <c:pt idx="2">
                  <c:v>4.5772535038590183</c:v>
                </c:pt>
                <c:pt idx="3">
                  <c:v>4.3305153943119992</c:v>
                </c:pt>
                <c:pt idx="4">
                  <c:v>3.8658406658317221</c:v>
                </c:pt>
                <c:pt idx="5">
                  <c:v>3.3962069187320889</c:v>
                </c:pt>
                <c:pt idx="6">
                  <c:v>3.151974714595378</c:v>
                </c:pt>
                <c:pt idx="7">
                  <c:v>3.2584675111064358</c:v>
                </c:pt>
                <c:pt idx="8">
                  <c:v>3.2686677907806816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E6-42A8-A0ED-80DB2D39C189}"/>
            </c:ext>
          </c:extLst>
        </c:ser>
        <c:ser>
          <c:idx val="2"/>
          <c:order val="2"/>
          <c:tx>
            <c:strRef>
              <c:f>'Влияние основности'!$A$20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основности'!$C$20:$K$20</c:f>
              <c:numCache>
                <c:formatCode>General</c:formatCode>
                <c:ptCount val="9"/>
                <c:pt idx="0">
                  <c:v>2.5156210207641725</c:v>
                </c:pt>
                <c:pt idx="1">
                  <c:v>2.7142261702157073</c:v>
                </c:pt>
                <c:pt idx="2">
                  <c:v>2.8371634622133142</c:v>
                </c:pt>
                <c:pt idx="3">
                  <c:v>2.7269546765880488</c:v>
                </c:pt>
                <c:pt idx="4">
                  <c:v>2.4593168250330391</c:v>
                </c:pt>
                <c:pt idx="5">
                  <c:v>2.2056745413299428</c:v>
                </c:pt>
                <c:pt idx="6">
                  <c:v>2.095672471490893</c:v>
                </c:pt>
                <c:pt idx="7">
                  <c:v>2.079687663771058</c:v>
                </c:pt>
                <c:pt idx="8">
                  <c:v>1.7913419590298745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E6-42A8-A0ED-80DB2D39C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1096"/>
        <c:axId val="1"/>
      </c:lineChart>
      <c:catAx>
        <c:axId val="384991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06438822806724"/>
              <c:y val="0.8881133564598130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7234042553191488E-2"/>
              <c:y val="0.4230776572508855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4991096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510714281076348E-2"/>
          <c:y val="0.17132896383468749"/>
          <c:w val="0.64627743501370694"/>
          <c:h val="0.15734292597063138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Al</a:t>
            </a:r>
            <a:r>
              <a:rPr lang="ru-RU" sz="800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00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=7,0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MgO=10,0 при увеличении CaO/SiO2 шлака </a:t>
            </a:r>
          </a:p>
        </c:rich>
      </c:tx>
      <c:layout>
        <c:manualLayout>
          <c:xMode val="edge"/>
          <c:yMode val="edge"/>
          <c:x val="0.14814842589120802"/>
          <c:y val="3.5842293906810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460362569141061"/>
          <c:y val="0.32616601620609392"/>
          <c:w val="0.7407426544484087"/>
          <c:h val="0.46236720978666063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основности'!$A$53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основности'!$C$53:$K$53</c:f>
              <c:numCache>
                <c:formatCode>General</c:formatCode>
                <c:ptCount val="9"/>
                <c:pt idx="0">
                  <c:v>9.2000013548526542</c:v>
                </c:pt>
                <c:pt idx="1">
                  <c:v>9.8082810481195928</c:v>
                </c:pt>
                <c:pt idx="2">
                  <c:v>9.6190399504744466</c:v>
                </c:pt>
                <c:pt idx="3">
                  <c:v>9.0408987422673803</c:v>
                </c:pt>
                <c:pt idx="4">
                  <c:v>8.2714270852065859</c:v>
                </c:pt>
                <c:pt idx="5">
                  <c:v>7.4751732160171347</c:v>
                </c:pt>
                <c:pt idx="6">
                  <c:v>6.9613376497149568</c:v>
                </c:pt>
                <c:pt idx="7">
                  <c:v>7.361921403413108</c:v>
                </c:pt>
                <c:pt idx="8">
                  <c:v>9.809518329639646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71-4620-A8FF-F55667F73B9F}"/>
            </c:ext>
          </c:extLst>
        </c:ser>
        <c:ser>
          <c:idx val="1"/>
          <c:order val="1"/>
          <c:tx>
            <c:strRef>
              <c:f>'Влияние основности'!$A$54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основности'!$C$54:$K$54</c:f>
              <c:numCache>
                <c:formatCode>General</c:formatCode>
                <c:ptCount val="9"/>
                <c:pt idx="0">
                  <c:v>4.7763398937754893</c:v>
                </c:pt>
                <c:pt idx="1">
                  <c:v>4.7856421424141304</c:v>
                </c:pt>
                <c:pt idx="2">
                  <c:v>4.7005575173364269</c:v>
                </c:pt>
                <c:pt idx="3">
                  <c:v>4.4366903446278521</c:v>
                </c:pt>
                <c:pt idx="4">
                  <c:v>4.002916066576506</c:v>
                </c:pt>
                <c:pt idx="5">
                  <c:v>3.4966395523852456</c:v>
                </c:pt>
                <c:pt idx="6">
                  <c:v>3.1001859158807021</c:v>
                </c:pt>
                <c:pt idx="7">
                  <c:v>3.0741978436052779</c:v>
                </c:pt>
                <c:pt idx="8">
                  <c:v>3.7259413614243289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71-4620-A8FF-F55667F73B9F}"/>
            </c:ext>
          </c:extLst>
        </c:ser>
        <c:ser>
          <c:idx val="2"/>
          <c:order val="2"/>
          <c:tx>
            <c:strRef>
              <c:f>'Влияние основности'!$A$55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основности'!$C$55:$K$55</c:f>
              <c:numCache>
                <c:formatCode>General</c:formatCode>
                <c:ptCount val="9"/>
                <c:pt idx="0">
                  <c:v>3.0095234795275028</c:v>
                </c:pt>
                <c:pt idx="1">
                  <c:v>2.9257580935984508</c:v>
                </c:pt>
                <c:pt idx="2">
                  <c:v>2.8809542476719718</c:v>
                </c:pt>
                <c:pt idx="3">
                  <c:v>2.7406818859001172</c:v>
                </c:pt>
                <c:pt idx="4">
                  <c:v>2.4857088739691147</c:v>
                </c:pt>
                <c:pt idx="5">
                  <c:v>2.1792731379202093</c:v>
                </c:pt>
                <c:pt idx="6">
                  <c:v>1.9343548030129378</c:v>
                </c:pt>
                <c:pt idx="7">
                  <c:v>1.8809483324649376</c:v>
                </c:pt>
                <c:pt idx="8">
                  <c:v>2.1333346664308226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71-4620-A8FF-F55667F73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36640"/>
        <c:axId val="1"/>
      </c:lineChart>
      <c:catAx>
        <c:axId val="3896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1915871627157"/>
              <c:y val="0.8853076698745989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7037037037037035E-2"/>
              <c:y val="0.40860365572582996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636640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555699083630651E-2"/>
          <c:y val="0.1612908871348816"/>
          <c:w val="0.64285880368201187"/>
          <c:h val="0.161290887134881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Политермы вязкости при изменении CaO/SiO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 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шлака в диапазоне 0,8-1,2  при Al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2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=11,014, MgO=11,602</a:t>
            </a:r>
          </a:p>
        </c:rich>
      </c:tx>
      <c:layout>
        <c:manualLayout>
          <c:xMode val="edge"/>
          <c:yMode val="edge"/>
          <c:x val="7.5980649477638829E-2"/>
          <c:y val="5.2044609665427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35505312464851E-2"/>
          <c:y val="0.26765799256505574"/>
          <c:w val="0.70098206998235957"/>
          <c:h val="0.61710037174721188"/>
        </c:manualLayout>
      </c:layout>
      <c:lineChart>
        <c:grouping val="standard"/>
        <c:varyColors val="0"/>
        <c:ser>
          <c:idx val="1"/>
          <c:order val="0"/>
          <c:tx>
            <c:strRef>
              <c:f>'Влияние основности'!$C$7</c:f>
              <c:strCache>
                <c:ptCount val="1"/>
                <c:pt idx="0">
                  <c:v>0.800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основности'!$C$18:$C$21</c:f>
              <c:numCache>
                <c:formatCode>General</c:formatCode>
                <c:ptCount val="4"/>
                <c:pt idx="0">
                  <c:v>9.8006537684113546</c:v>
                </c:pt>
                <c:pt idx="1">
                  <c:v>4.2676786487121312</c:v>
                </c:pt>
                <c:pt idx="2">
                  <c:v>2.5156210207641725</c:v>
                </c:pt>
                <c:pt idx="3">
                  <c:v>1.7976731281257863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06-48D5-B8A8-EE4A6215EA1B}"/>
            </c:ext>
          </c:extLst>
        </c:ser>
        <c:ser>
          <c:idx val="2"/>
          <c:order val="1"/>
          <c:tx>
            <c:strRef>
              <c:f>'Влияние основности'!$E$5</c:f>
              <c:strCache>
                <c:ptCount val="1"/>
                <c:pt idx="0">
                  <c:v>0.900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основности'!$E$18:$E$21</c:f>
              <c:numCache>
                <c:formatCode>General</c:formatCode>
                <c:ptCount val="4"/>
                <c:pt idx="0">
                  <c:v>9.1960010779080754</c:v>
                </c:pt>
                <c:pt idx="1">
                  <c:v>4.5772535038590183</c:v>
                </c:pt>
                <c:pt idx="2">
                  <c:v>2.8371634622133142</c:v>
                </c:pt>
                <c:pt idx="3">
                  <c:v>2.0439930412117651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06-48D5-B8A8-EE4A6215EA1B}"/>
            </c:ext>
          </c:extLst>
        </c:ser>
        <c:ser>
          <c:idx val="3"/>
          <c:order val="2"/>
          <c:tx>
            <c:strRef>
              <c:f>'Влияние основности'!$G$7</c:f>
              <c:strCache>
                <c:ptCount val="1"/>
                <c:pt idx="0">
                  <c:v>1.000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основности'!$G$18:$G$21</c:f>
              <c:numCache>
                <c:formatCode>General</c:formatCode>
                <c:ptCount val="4"/>
                <c:pt idx="0">
                  <c:v>7.6278464543376003</c:v>
                </c:pt>
                <c:pt idx="1">
                  <c:v>3.8658406658317221</c:v>
                </c:pt>
                <c:pt idx="2">
                  <c:v>2.4593168250330391</c:v>
                </c:pt>
                <c:pt idx="3">
                  <c:v>1.8200757119658959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06-48D5-B8A8-EE4A6215EA1B}"/>
            </c:ext>
          </c:extLst>
        </c:ser>
        <c:ser>
          <c:idx val="4"/>
          <c:order val="3"/>
          <c:tx>
            <c:strRef>
              <c:f>'Влияние основности'!$I$7</c:f>
              <c:strCache>
                <c:ptCount val="1"/>
                <c:pt idx="0">
                  <c:v>1.100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основности'!$I$18:$I$21</c:f>
              <c:numCache>
                <c:formatCode>General</c:formatCode>
                <c:ptCount val="4"/>
                <c:pt idx="0">
                  <c:v>5.9378310579012732</c:v>
                </c:pt>
                <c:pt idx="1">
                  <c:v>3.151974714595378</c:v>
                </c:pt>
                <c:pt idx="2">
                  <c:v>2.095672471490893</c:v>
                </c:pt>
                <c:pt idx="3">
                  <c:v>1.610958887381164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06-48D5-B8A8-EE4A6215EA1B}"/>
            </c:ext>
          </c:extLst>
        </c:ser>
        <c:ser>
          <c:idx val="5"/>
          <c:order val="4"/>
          <c:tx>
            <c:strRef>
              <c:f>'Влияние основности'!$K$7</c:f>
              <c:strCache>
                <c:ptCount val="1"/>
                <c:pt idx="0">
                  <c:v>1.200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основности'!$K$18:$K$21</c:f>
              <c:numCache>
                <c:formatCode>General</c:formatCode>
                <c:ptCount val="4"/>
                <c:pt idx="0">
                  <c:v>11.092330418048185</c:v>
                </c:pt>
                <c:pt idx="1">
                  <c:v>3.2686677907806816</c:v>
                </c:pt>
                <c:pt idx="2">
                  <c:v>1.7913419590298745</c:v>
                </c:pt>
                <c:pt idx="3">
                  <c:v>1.332345980272309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06-48D5-B8A8-EE4A6215E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38936"/>
        <c:axId val="1"/>
      </c:lineChart>
      <c:catAx>
        <c:axId val="389638936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638936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108039665765897"/>
          <c:y val="0.34200743494423791"/>
          <c:w val="0.15931410681417263"/>
          <c:h val="0.356877323420074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Политермы вязкости при изменении CaO/SiO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шлака в диапазоне 0,8-1,2  при Al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2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O</a:t>
            </a:r>
            <a:r>
              <a:rPr lang="ru-RU" sz="875" b="1" i="0" u="none" strike="noStrike" baseline="-25000">
                <a:solidFill>
                  <a:srgbClr val="000000"/>
                </a:solidFill>
                <a:latin typeface="Arial Cyr"/>
                <a:cs typeface="Arial Cyr"/>
              </a:rPr>
              <a:t>3</a:t>
            </a:r>
            <a:r>
              <a:rPr lang="ru-RU" sz="8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=7,0;  MgO=10,0</a:t>
            </a:r>
          </a:p>
        </c:rich>
      </c:tx>
      <c:layout>
        <c:manualLayout>
          <c:xMode val="edge"/>
          <c:yMode val="edge"/>
          <c:x val="0.11083769701201142"/>
          <c:y val="1.7857142857142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8342896521532"/>
          <c:y val="0.24285756636712885"/>
          <c:w val="0.63300568740100571"/>
          <c:h val="0.58928674192023911"/>
        </c:manualLayout>
      </c:layout>
      <c:lineChart>
        <c:grouping val="standard"/>
        <c:varyColors val="0"/>
        <c:ser>
          <c:idx val="1"/>
          <c:order val="0"/>
          <c:tx>
            <c:strRef>
              <c:f>'Влияние основности'!$C$42</c:f>
              <c:strCache>
                <c:ptCount val="1"/>
                <c:pt idx="0">
                  <c:v>0.800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основности'!$C$53:$C$56</c:f>
              <c:numCache>
                <c:formatCode>General</c:formatCode>
                <c:ptCount val="4"/>
                <c:pt idx="0">
                  <c:v>9.2000013548526542</c:v>
                </c:pt>
                <c:pt idx="1">
                  <c:v>4.7763398937754893</c:v>
                </c:pt>
                <c:pt idx="2">
                  <c:v>3.0095234795275028</c:v>
                </c:pt>
                <c:pt idx="3">
                  <c:v>2.1734747872615703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94-4CF8-BB21-D772EAB1CB22}"/>
            </c:ext>
          </c:extLst>
        </c:ser>
        <c:ser>
          <c:idx val="2"/>
          <c:order val="1"/>
          <c:tx>
            <c:strRef>
              <c:f>'Влияние основности'!$E$42</c:f>
              <c:strCache>
                <c:ptCount val="1"/>
                <c:pt idx="0">
                  <c:v>0.900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основности'!$E$53:$E$56</c:f>
              <c:numCache>
                <c:formatCode>General</c:formatCode>
                <c:ptCount val="4"/>
                <c:pt idx="0">
                  <c:v>9.6190399504744466</c:v>
                </c:pt>
                <c:pt idx="1">
                  <c:v>4.7005575173364269</c:v>
                </c:pt>
                <c:pt idx="2">
                  <c:v>2.8809542476719718</c:v>
                </c:pt>
                <c:pt idx="3">
                  <c:v>2.0614681774251187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94-4CF8-BB21-D772EAB1CB22}"/>
            </c:ext>
          </c:extLst>
        </c:ser>
        <c:ser>
          <c:idx val="3"/>
          <c:order val="2"/>
          <c:tx>
            <c:strRef>
              <c:f>'Влияние основности'!$G$39</c:f>
              <c:strCache>
                <c:ptCount val="1"/>
                <c:pt idx="0">
                  <c:v>1.000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основности'!$G$53:$G$56</c:f>
              <c:numCache>
                <c:formatCode>General</c:formatCode>
                <c:ptCount val="4"/>
                <c:pt idx="0">
                  <c:v>8.2714270852065859</c:v>
                </c:pt>
                <c:pt idx="1">
                  <c:v>4.002916066576506</c:v>
                </c:pt>
                <c:pt idx="2">
                  <c:v>2.4857088739691147</c:v>
                </c:pt>
                <c:pt idx="3">
                  <c:v>1.8180532485066105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94-4CF8-BB21-D772EAB1CB22}"/>
            </c:ext>
          </c:extLst>
        </c:ser>
        <c:ser>
          <c:idx val="4"/>
          <c:order val="3"/>
          <c:tx>
            <c:strRef>
              <c:f>'Влияние основности'!$I$39</c:f>
              <c:strCache>
                <c:ptCount val="1"/>
                <c:pt idx="0">
                  <c:v>1.100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основности'!$I$53:$I$56</c:f>
              <c:numCache>
                <c:formatCode>General</c:formatCode>
                <c:ptCount val="4"/>
                <c:pt idx="0">
                  <c:v>6.9613376497149568</c:v>
                </c:pt>
                <c:pt idx="1">
                  <c:v>3.1001859158807021</c:v>
                </c:pt>
                <c:pt idx="2">
                  <c:v>1.9343548030129378</c:v>
                </c:pt>
                <c:pt idx="3">
                  <c:v>1.4692099274264523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94-4CF8-BB21-D772EAB1CB22}"/>
            </c:ext>
          </c:extLst>
        </c:ser>
        <c:ser>
          <c:idx val="5"/>
          <c:order val="4"/>
          <c:tx>
            <c:strRef>
              <c:f>'Влияние основности'!$K$39</c:f>
              <c:strCache>
                <c:ptCount val="1"/>
                <c:pt idx="0">
                  <c:v>1.200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numLit>
              <c:formatCode>General</c:formatCode>
              <c:ptCount val="4"/>
              <c:pt idx="0">
                <c:v>1400</c:v>
              </c:pt>
              <c:pt idx="1">
                <c:v>1450</c:v>
              </c:pt>
              <c:pt idx="2">
                <c:v>1500</c:v>
              </c:pt>
              <c:pt idx="3">
                <c:v>1550</c:v>
              </c:pt>
            </c:numLit>
          </c:cat>
          <c:val>
            <c:numRef>
              <c:f>'Влияние основности'!$K$53:$K$56</c:f>
              <c:numCache>
                <c:formatCode>General</c:formatCode>
                <c:ptCount val="4"/>
                <c:pt idx="0">
                  <c:v>9.809518329639646</c:v>
                </c:pt>
                <c:pt idx="1">
                  <c:v>3.7259413614243289</c:v>
                </c:pt>
                <c:pt idx="2">
                  <c:v>2.1333346664308226</c:v>
                </c:pt>
                <c:pt idx="3">
                  <c:v>1.5472252994344573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4-4CF8-BB21-D772EAB1C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92632"/>
        <c:axId val="1"/>
      </c:lineChart>
      <c:catAx>
        <c:axId val="385092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Температура, 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0.34729115757082085"/>
              <c:y val="0.910715785526809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9704433497536946E-2"/>
              <c:y val="0.3892864641919759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5092632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266108790636538"/>
          <c:y val="0.33928630595407705"/>
          <c:w val="0.1600987147123166"/>
          <c:h val="0.3428577407535936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10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10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при Al2O3=7,0 , MgO=10,</a:t>
            </a: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0)</a:t>
            </a:r>
          </a:p>
        </c:rich>
      </c:tx>
      <c:layout>
        <c:manualLayout>
          <c:xMode val="edge"/>
          <c:yMode val="edge"/>
          <c:x val="0.11965834398905265"/>
          <c:y val="3.55871886120996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56431658219105"/>
          <c:y val="0.1494661921708185"/>
          <c:w val="0.81196750627567915"/>
          <c:h val="0.37366548042704628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основности'!$A$57</c:f>
              <c:strCache>
                <c:ptCount val="1"/>
                <c:pt idx="0">
                  <c:v>тем-ра при вяз-сти 25 пуаз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основности'!$C$57:$K$57</c:f>
              <c:numCache>
                <c:formatCode>General</c:formatCode>
                <c:ptCount val="9"/>
                <c:pt idx="0">
                  <c:v>1346.8904207628589</c:v>
                </c:pt>
                <c:pt idx="1">
                  <c:v>1354.4877676487072</c:v>
                </c:pt>
                <c:pt idx="2">
                  <c:v>1353.7146943926841</c:v>
                </c:pt>
                <c:pt idx="3">
                  <c:v>1351.3783158301533</c:v>
                </c:pt>
                <c:pt idx="4">
                  <c:v>1349.981331290777</c:v>
                </c:pt>
                <c:pt idx="5">
                  <c:v>1350.4460541151361</c:v>
                </c:pt>
                <c:pt idx="6">
                  <c:v>1353.0791729950706</c:v>
                </c:pt>
                <c:pt idx="7">
                  <c:v>1358.4775901825333</c:v>
                </c:pt>
                <c:pt idx="8">
                  <c:v>1368.8715872496559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2-4D9E-864E-8AD6501698D6}"/>
            </c:ext>
          </c:extLst>
        </c:ser>
        <c:ser>
          <c:idx val="1"/>
          <c:order val="1"/>
          <c:tx>
            <c:strRef>
              <c:f>'Влияние основности'!$A$58</c:f>
              <c:strCache>
                <c:ptCount val="1"/>
                <c:pt idx="0">
                  <c:v>тем-ра при вяз-сти 7 пуаз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основности'!$C$42:$K$42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основности'!$C$58:$K$58</c:f>
              <c:numCache>
                <c:formatCode>General</c:formatCode>
                <c:ptCount val="9"/>
                <c:pt idx="0">
                  <c:v>1418.7681930120045</c:v>
                </c:pt>
                <c:pt idx="1">
                  <c:v>1421.1842976423125</c:v>
                </c:pt>
                <c:pt idx="2">
                  <c:v>1419.8929378001676</c:v>
                </c:pt>
                <c:pt idx="3">
                  <c:v>1415.8147811021252</c:v>
                </c:pt>
                <c:pt idx="4">
                  <c:v>1409.776181738386</c:v>
                </c:pt>
                <c:pt idx="5">
                  <c:v>1403.4990005909617</c:v>
                </c:pt>
                <c:pt idx="6">
                  <c:v>1399.7357758735591</c:v>
                </c:pt>
                <c:pt idx="7">
                  <c:v>1402.2229963229784</c:v>
                </c:pt>
                <c:pt idx="8">
                  <c:v>1414.4964889598855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A2-4D9E-864E-8AD650169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23720"/>
        <c:axId val="1"/>
      </c:lineChart>
      <c:catAx>
        <c:axId val="389823720"/>
        <c:scaling>
          <c:orientation val="minMax"/>
        </c:scaling>
        <c:delete val="0"/>
        <c:axPos val="b"/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Температура шлака,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Calibri"/>
                    <a:cs typeface="Arial Cyr"/>
                  </a:rPr>
                  <a:t>°</a:t>
                </a:r>
                <a:r>
                  <a:rPr lang="ru-RU" sz="800" b="1" i="0" u="none" strike="noStrike" baseline="0">
                    <a:solidFill>
                      <a:srgbClr val="000000"/>
                    </a:solidFill>
                    <a:latin typeface="Arial Cyr"/>
                    <a:cs typeface="Arial Cyr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1.0683760683760684E-2"/>
              <c:y val="0.1067615658362989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823720"/>
        <c:crosses val="autoZero"/>
        <c:crossBetween val="between"/>
        <c:majorUnit val="50"/>
        <c:minorUnit val="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6239454459331715E-2"/>
          <c:y val="8.8967971530249115E-2"/>
          <c:w val="0.75000156500727211"/>
          <c:h val="7.82918149466192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9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1400-1500 °С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9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шлака</a:t>
            </a:r>
          </a:p>
        </c:rich>
      </c:tx>
      <c:layout>
        <c:manualLayout>
          <c:xMode val="edge"/>
          <c:yMode val="edge"/>
          <c:x val="0.12776412776412777"/>
          <c:y val="3.55871886120996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69041769041769"/>
          <c:y val="0.32384341637010677"/>
          <c:w val="0.72727272727272729"/>
          <c:h val="0.46263345195729538"/>
        </c:manualLayout>
      </c:layout>
      <c:lineChart>
        <c:grouping val="standard"/>
        <c:varyColors val="0"/>
        <c:ser>
          <c:idx val="0"/>
          <c:order val="0"/>
          <c:tx>
            <c:v> Al2O3=11,014 и MgO=11,602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основности'!$C$25:$K$25</c:f>
              <c:numCache>
                <c:formatCode>General</c:formatCode>
                <c:ptCount val="9"/>
                <c:pt idx="0">
                  <c:v>7.2850327476471826</c:v>
                </c:pt>
                <c:pt idx="1">
                  <c:v>6.9788286335893064</c:v>
                </c:pt>
                <c:pt idx="2">
                  <c:v>6.3588376156947612</c:v>
                </c:pt>
                <c:pt idx="3">
                  <c:v>5.7845237754002277</c:v>
                </c:pt>
                <c:pt idx="4">
                  <c:v>5.1685296293045617</c:v>
                </c:pt>
                <c:pt idx="5">
                  <c:v>4.4123757221122899</c:v>
                </c:pt>
                <c:pt idx="6">
                  <c:v>3.8421585864103802</c:v>
                </c:pt>
                <c:pt idx="7">
                  <c:v>4.6442487026882837</c:v>
                </c:pt>
                <c:pt idx="8">
                  <c:v>9.3009884590183098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D-42FB-B486-1BA9A3D747EF}"/>
            </c:ext>
          </c:extLst>
        </c:ser>
        <c:ser>
          <c:idx val="1"/>
          <c:order val="1"/>
          <c:tx>
            <c:v>Al2O3=7,0; MgO=10 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основности'!$C$60:$K$60</c:f>
              <c:numCache>
                <c:formatCode>General</c:formatCode>
                <c:ptCount val="9"/>
                <c:pt idx="0">
                  <c:v>6.1904778753251515</c:v>
                </c:pt>
                <c:pt idx="1">
                  <c:v>6.8825229545211419</c:v>
                </c:pt>
                <c:pt idx="2">
                  <c:v>6.7380938861339859</c:v>
                </c:pt>
                <c:pt idx="3">
                  <c:v>6.3002168563672631</c:v>
                </c:pt>
                <c:pt idx="4">
                  <c:v>5.7857182112374712</c:v>
                </c:pt>
                <c:pt idx="5">
                  <c:v>5.2959000780969259</c:v>
                </c:pt>
                <c:pt idx="6">
                  <c:v>5.026982846702019</c:v>
                </c:pt>
                <c:pt idx="7">
                  <c:v>5.4809730709481705</c:v>
                </c:pt>
                <c:pt idx="8">
                  <c:v>7.6761836632088229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D-42FB-B486-1BA9A3D7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26016"/>
        <c:axId val="1"/>
      </c:lineChart>
      <c:catAx>
        <c:axId val="38982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7665847665847666"/>
              <c:y val="0.8825622775800712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3.4398034398034398E-2"/>
              <c:y val="0.3629893238434163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826016"/>
        <c:crosses val="autoZero"/>
        <c:crossBetween val="between"/>
        <c:majorUnit val="2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987714987714987"/>
          <c:y val="0.18861209964412812"/>
          <c:w val="0.78624078624078619"/>
          <c:h val="7.829181494661921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7-25 пуаз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9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CaO/SiO2 шлака</a:t>
            </a:r>
          </a:p>
        </c:rich>
      </c:tx>
      <c:layout>
        <c:manualLayout>
          <c:xMode val="edge"/>
          <c:yMode val="edge"/>
          <c:x val="0.18453865336658354"/>
          <c:y val="3.73134328358208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52618453865336"/>
          <c:y val="0.35820960786207123"/>
          <c:w val="0.73316708229426431"/>
          <c:h val="0.44403065974569245"/>
        </c:manualLayout>
      </c:layout>
      <c:lineChart>
        <c:grouping val="standard"/>
        <c:varyColors val="0"/>
        <c:ser>
          <c:idx val="0"/>
          <c:order val="0"/>
          <c:tx>
            <c:v> Al2O3=11,014 и MgO=11,602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основности'!$C$7:$K$7</c:f>
              <c:numCache>
                <c:formatCode>General</c:formatCode>
                <c:ptCount val="9"/>
                <c:pt idx="0">
                  <c:v>0.8</c:v>
                </c:pt>
                <c:pt idx="1">
                  <c:v>0.85</c:v>
                </c:pt>
                <c:pt idx="2">
                  <c:v>0.9</c:v>
                </c:pt>
                <c:pt idx="3">
                  <c:v>0.95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1.1499999999999999</c:v>
                </c:pt>
                <c:pt idx="8">
                  <c:v>1.2</c:v>
                </c:pt>
              </c:numCache>
            </c:numRef>
          </c:cat>
          <c:val>
            <c:numRef>
              <c:f>'Влияние основности'!$C$24:$K$24</c:f>
              <c:numCache>
                <c:formatCode>General</c:formatCode>
                <c:ptCount val="9"/>
                <c:pt idx="0">
                  <c:v>0.32398259077768177</c:v>
                </c:pt>
                <c:pt idx="1">
                  <c:v>0.29394074444681639</c:v>
                </c:pt>
                <c:pt idx="2">
                  <c:v>0.27003035842587059</c:v>
                </c:pt>
                <c:pt idx="3">
                  <c:v>0.27119206594974038</c:v>
                </c:pt>
                <c:pt idx="4">
                  <c:v>0.29126555961946826</c:v>
                </c:pt>
                <c:pt idx="5">
                  <c:v>0.31146203364109126</c:v>
                </c:pt>
                <c:pt idx="6">
                  <c:v>0.31423596690741135</c:v>
                </c:pt>
                <c:pt idx="7">
                  <c:v>0.34208529805219429</c:v>
                </c:pt>
                <c:pt idx="8">
                  <c:v>0.50702296630018096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4D-4E76-BE09-814D5A80BC40}"/>
            </c:ext>
          </c:extLst>
        </c:ser>
        <c:ser>
          <c:idx val="1"/>
          <c:order val="1"/>
          <c:tx>
            <c:v>Al2O3=7,0; MgO=10 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основности'!$C$59:$K$59</c:f>
              <c:numCache>
                <c:formatCode>General</c:formatCode>
                <c:ptCount val="9"/>
                <c:pt idx="0">
                  <c:v>0.25042512360577435</c:v>
                </c:pt>
                <c:pt idx="1">
                  <c:v>0.26987910767960194</c:v>
                </c:pt>
                <c:pt idx="2">
                  <c:v>0.27199271351412974</c:v>
                </c:pt>
                <c:pt idx="3">
                  <c:v>0.27934493184916387</c:v>
                </c:pt>
                <c:pt idx="4">
                  <c:v>0.30102926698965893</c:v>
                </c:pt>
                <c:pt idx="5">
                  <c:v>0.3392837004482302</c:v>
                </c:pt>
                <c:pt idx="6">
                  <c:v>0.38579748394624547</c:v>
                </c:pt>
                <c:pt idx="7">
                  <c:v>0.41147177699552751</c:v>
                </c:pt>
                <c:pt idx="8">
                  <c:v>0.39452139786120838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4D-4E76-BE09-814D5A80B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828312"/>
        <c:axId val="1"/>
      </c:lineChart>
      <c:catAx>
        <c:axId val="389828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CaO/SiO2</a:t>
                </a:r>
              </a:p>
            </c:rich>
          </c:tx>
          <c:layout>
            <c:manualLayout>
              <c:xMode val="edge"/>
              <c:yMode val="edge"/>
              <c:x val="0.49127182044887779"/>
              <c:y val="0.9029866415951737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.14000000000000001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5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1.9950124688279301E-2"/>
              <c:y val="0.3582097387080345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828312"/>
        <c:crosses val="autoZero"/>
        <c:crossBetween val="between"/>
        <c:majorUnit val="0.05"/>
        <c:minorUnit val="4.0000000000000001E-3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466334164588528"/>
          <c:y val="0.19029885417672535"/>
          <c:w val="0.79800498753117211"/>
          <c:h val="8.2089701801724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CaO/SiO2=0,8 </a:t>
            </a:r>
          </a:p>
        </c:rich>
      </c:tx>
      <c:layout>
        <c:manualLayout>
          <c:xMode val="edge"/>
          <c:yMode val="edge"/>
          <c:x val="0.16129032258064516"/>
          <c:y val="3.6496350364963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354838709677419"/>
          <c:y val="0.29562096476705912"/>
          <c:w val="0.70564516129032262"/>
          <c:h val="0.52919802334843924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MgO'!$C$21:$R$21</c:f>
              <c:numCache>
                <c:formatCode>0.00</c:formatCode>
                <c:ptCount val="16"/>
                <c:pt idx="0">
                  <c:v>11.000007965913928</c:v>
                </c:pt>
                <c:pt idx="1">
                  <c:v>10.736003058048176</c:v>
                </c:pt>
                <c:pt idx="2">
                  <c:v>10.507999684577102</c:v>
                </c:pt>
                <c:pt idx="3">
                  <c:v>10.311997679715402</c:v>
                </c:pt>
                <c:pt idx="4">
                  <c:v>10.143996877661579</c:v>
                </c:pt>
                <c:pt idx="5">
                  <c:v>9.9999971126294547</c:v>
                </c:pt>
                <c:pt idx="6">
                  <c:v>9.8759982188030708</c:v>
                </c:pt>
                <c:pt idx="7">
                  <c:v>9.7680000304017121</c:v>
                </c:pt>
                <c:pt idx="8">
                  <c:v>9.672002381632181</c:v>
                </c:pt>
                <c:pt idx="9">
                  <c:v>9.5840051066557397</c:v>
                </c:pt>
                <c:pt idx="10">
                  <c:v>9.5000080397422657</c:v>
                </c:pt>
                <c:pt idx="11">
                  <c:v>9.4160110150462959</c:v>
                </c:pt>
                <c:pt idx="12">
                  <c:v>9.3280138667939489</c:v>
                </c:pt>
                <c:pt idx="13">
                  <c:v>9.2320164291582891</c:v>
                </c:pt>
                <c:pt idx="14">
                  <c:v>9.1240185363855133</c:v>
                </c:pt>
                <c:pt idx="15">
                  <c:v>9.0000200226205056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7-41AB-8BFB-7EFEE52C7F80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MgO'!$C$22:$R$22</c:f>
              <c:numCache>
                <c:formatCode>0.00</c:formatCode>
                <c:ptCount val="16"/>
                <c:pt idx="0">
                  <c:v>7.9469456647870524</c:v>
                </c:pt>
                <c:pt idx="1">
                  <c:v>7.2336869774267756</c:v>
                </c:pt>
                <c:pt idx="2">
                  <c:v>6.5943125929628277</c:v>
                </c:pt>
                <c:pt idx="3">
                  <c:v>6.0304607792975924</c:v>
                </c:pt>
                <c:pt idx="4">
                  <c:v>5.5442278041323361</c:v>
                </c:pt>
                <c:pt idx="5">
                  <c:v>5.137345233701768</c:v>
                </c:pt>
                <c:pt idx="6">
                  <c:v>4.8101364747399868</c:v>
                </c:pt>
                <c:pt idx="7">
                  <c:v>4.5604465984195253</c:v>
                </c:pt>
                <c:pt idx="8">
                  <c:v>4.3828413532019299</c:v>
                </c:pt>
                <c:pt idx="9">
                  <c:v>4.2683601946132796</c:v>
                </c:pt>
                <c:pt idx="10">
                  <c:v>4.2049335479659948</c:v>
                </c:pt>
                <c:pt idx="11">
                  <c:v>4.178307910172081</c:v>
                </c:pt>
                <c:pt idx="12">
                  <c:v>4.1731330358203023</c:v>
                </c:pt>
                <c:pt idx="13">
                  <c:v>4.1738661021757109</c:v>
                </c:pt>
                <c:pt idx="14">
                  <c:v>4.1652909441699899</c:v>
                </c:pt>
                <c:pt idx="15">
                  <c:v>4.1326015861338128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7-41AB-8BFB-7EFEE52C7F80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MgO'!$C$23:$R$23</c:f>
              <c:numCache>
                <c:formatCode>0.00</c:formatCode>
                <c:ptCount val="16"/>
                <c:pt idx="0">
                  <c:v>5.9999895704876476</c:v>
                </c:pt>
                <c:pt idx="1">
                  <c:v>5.2047916949285646</c:v>
                </c:pt>
                <c:pt idx="2">
                  <c:v>4.5383935316643758</c:v>
                </c:pt>
                <c:pt idx="3">
                  <c:v>3.9895950972199499</c:v>
                </c:pt>
                <c:pt idx="4">
                  <c:v>3.5471964081094893</c:v>
                </c:pt>
                <c:pt idx="5">
                  <c:v>3.1999974808510618</c:v>
                </c:pt>
                <c:pt idx="6">
                  <c:v>2.936798331968832</c:v>
                </c:pt>
                <c:pt idx="7">
                  <c:v>2.746398977977687</c:v>
                </c:pt>
                <c:pt idx="8">
                  <c:v>2.6175994353976892</c:v>
                </c:pt>
                <c:pt idx="9">
                  <c:v>2.5391997207494117</c:v>
                </c:pt>
                <c:pt idx="10">
                  <c:v>2.4999998505516094</c:v>
                </c:pt>
                <c:pt idx="11">
                  <c:v>2.4887998413230656</c:v>
                </c:pt>
                <c:pt idx="12">
                  <c:v>2.4943997095846924</c:v>
                </c:pt>
                <c:pt idx="13">
                  <c:v>2.5055994718527184</c:v>
                </c:pt>
                <c:pt idx="14">
                  <c:v>2.5111991446483444</c:v>
                </c:pt>
                <c:pt idx="15">
                  <c:v>2.4999987444910077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37-41AB-8BFB-7EFEE52C7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134424"/>
        <c:axId val="1"/>
      </c:lineChart>
      <c:catAx>
        <c:axId val="386134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1209677419354838"/>
              <c:y val="0.890512481560242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8548387096774188E-2"/>
              <c:y val="0.47445332107209226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6134424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161290322580645E-2"/>
          <c:y val="0.14598566161336254"/>
          <c:w val="0.97983870967741937"/>
          <c:h val="0.1642338693150328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CaO/SiO2=1,0 </a:t>
            </a:r>
          </a:p>
        </c:rich>
      </c:tx>
      <c:layout>
        <c:manualLayout>
          <c:xMode val="edge"/>
          <c:yMode val="edge"/>
          <c:x val="0.178694879634891"/>
          <c:y val="3.75939849624060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742351073718971"/>
          <c:y val="0.31954887218045114"/>
          <c:w val="0.65979602863250586"/>
          <c:h val="0.49624060150375937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MgO'!$C$53:$R$53</c:f>
              <c:numCache>
                <c:formatCode>0.00</c:formatCode>
                <c:ptCount val="16"/>
                <c:pt idx="0">
                  <c:v>8.0001306787780138</c:v>
                </c:pt>
                <c:pt idx="1">
                  <c:v>7.9632501649569933</c:v>
                </c:pt>
                <c:pt idx="2">
                  <c:v>7.9255948250070674</c:v>
                </c:pt>
                <c:pt idx="3">
                  <c:v>7.8863619388326702</c:v>
                </c:pt>
                <c:pt idx="4">
                  <c:v>7.8447487863383376</c:v>
                </c:pt>
                <c:pt idx="5">
                  <c:v>7.79995264742867</c:v>
                </c:pt>
                <c:pt idx="6">
                  <c:v>7.7511708020080468</c:v>
                </c:pt>
                <c:pt idx="7">
                  <c:v>7.697600529981214</c:v>
                </c:pt>
                <c:pt idx="8">
                  <c:v>7.6384391112524588</c:v>
                </c:pt>
                <c:pt idx="9">
                  <c:v>7.5728838257264437</c:v>
                </c:pt>
                <c:pt idx="10">
                  <c:v>7.5001319533075295</c:v>
                </c:pt>
                <c:pt idx="11">
                  <c:v>7.4193807738948374</c:v>
                </c:pt>
                <c:pt idx="12">
                  <c:v>7.3298275673944939</c:v>
                </c:pt>
                <c:pt idx="13">
                  <c:v>7.2306696137104982</c:v>
                </c:pt>
                <c:pt idx="14">
                  <c:v>7.121104192746623</c:v>
                </c:pt>
                <c:pt idx="15">
                  <c:v>7.0003285844068461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37-4634-9109-54498CDC5C3C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MgO'!$C$54:$R$54</c:f>
              <c:numCache>
                <c:formatCode>0.00</c:formatCode>
                <c:ptCount val="16"/>
                <c:pt idx="0">
                  <c:v>6.8911685263857381</c:v>
                </c:pt>
                <c:pt idx="1">
                  <c:v>6.2836670336476441</c:v>
                </c:pt>
                <c:pt idx="2">
                  <c:v>5.7303406316906456</c:v>
                </c:pt>
                <c:pt idx="3">
                  <c:v>5.2413692927020055</c:v>
                </c:pt>
                <c:pt idx="4">
                  <c:v>4.8261828101493345</c:v>
                </c:pt>
                <c:pt idx="5">
                  <c:v>4.4916280467641077</c:v>
                </c:pt>
                <c:pt idx="6">
                  <c:v>4.2399305726154166</c:v>
                </c:pt>
                <c:pt idx="7">
                  <c:v>4.0671228427764534</c:v>
                </c:pt>
                <c:pt idx="8">
                  <c:v>3.9626690098820565</c:v>
                </c:pt>
                <c:pt idx="9">
                  <c:v>3.9105598228339176</c:v>
                </c:pt>
                <c:pt idx="10">
                  <c:v>3.8913970537238747</c:v>
                </c:pt>
                <c:pt idx="11">
                  <c:v>3.884532365398587</c:v>
                </c:pt>
                <c:pt idx="12">
                  <c:v>3.8694769338815607</c:v>
                </c:pt>
                <c:pt idx="13">
                  <c:v>3.8262488142602171</c:v>
                </c:pt>
                <c:pt idx="14">
                  <c:v>3.7346002951445043</c:v>
                </c:pt>
                <c:pt idx="15">
                  <c:v>3.5719144659432041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37-4634-9109-54498CDC5C3C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MgO'!$C$55:$R$55</c:f>
              <c:numCache>
                <c:formatCode>0.00</c:formatCode>
                <c:ptCount val="16"/>
                <c:pt idx="0">
                  <c:v>5.999828888194175</c:v>
                </c:pt>
                <c:pt idx="1">
                  <c:v>5.0942637344041293</c:v>
                </c:pt>
                <c:pt idx="2">
                  <c:v>4.3590938635923502</c:v>
                </c:pt>
                <c:pt idx="3">
                  <c:v>3.7767195463187755</c:v>
                </c:pt>
                <c:pt idx="4">
                  <c:v>3.3295410531435534</c:v>
                </c:pt>
                <c:pt idx="5">
                  <c:v>2.9999586546266439</c:v>
                </c:pt>
                <c:pt idx="6">
                  <c:v>2.7703726213281108</c:v>
                </c:pt>
                <c:pt idx="7">
                  <c:v>2.6231832238079815</c:v>
                </c:pt>
                <c:pt idx="8">
                  <c:v>2.5407907326263106</c:v>
                </c:pt>
                <c:pt idx="9">
                  <c:v>2.5055954183431162</c:v>
                </c:pt>
                <c:pt idx="10">
                  <c:v>2.4999975515185193</c:v>
                </c:pt>
                <c:pt idx="11">
                  <c:v>2.5063974027100753</c:v>
                </c:pt>
                <c:pt idx="12">
                  <c:v>2.507195242481413</c:v>
                </c:pt>
                <c:pt idx="13">
                  <c:v>2.4847913413928882</c:v>
                </c:pt>
                <c:pt idx="14">
                  <c:v>2.4215859700049265</c:v>
                </c:pt>
                <c:pt idx="15">
                  <c:v>2.2999793988779489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37-4634-9109-54498CDC5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136720"/>
        <c:axId val="1"/>
      </c:lineChart>
      <c:catAx>
        <c:axId val="386136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859286919032032"/>
              <c:y val="0.887218045112781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8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1856030882737598E-2"/>
              <c:y val="0.469924812030075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6136720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2165190631680337E-2"/>
          <c:y val="0.15413533834586465"/>
          <c:w val="0.83505434873801521"/>
          <c:h val="0.169172932330827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и Al2O3=12,0  при CaO/SiO2=1,2 </a:t>
            </a:r>
          </a:p>
        </c:rich>
      </c:tx>
      <c:layout>
        <c:manualLayout>
          <c:xMode val="edge"/>
          <c:yMode val="edge"/>
          <c:x val="0.20087125109361331"/>
          <c:y val="1.63398692810457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866713194565612"/>
          <c:y val="0.42483795712685457"/>
          <c:w val="0.73600191667165804"/>
          <c:h val="0.37908617712857795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MgO'!$A$21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MgO'!$C$89:$R$89</c:f>
              <c:numCache>
                <c:formatCode>0.00</c:formatCode>
                <c:ptCount val="16"/>
                <c:pt idx="0">
                  <c:v>7.9999678071619611</c:v>
                </c:pt>
                <c:pt idx="1">
                  <c:v>8.9519837758914296</c:v>
                </c:pt>
                <c:pt idx="2">
                  <c:v>9.6959948928432418</c:v>
                </c:pt>
                <c:pt idx="3">
                  <c:v>10.264001644029038</c:v>
                </c:pt>
                <c:pt idx="4">
                  <c:v>10.688004515472814</c:v>
                </c:pt>
                <c:pt idx="5">
                  <c:v>11.000003993194404</c:v>
                </c:pt>
                <c:pt idx="6">
                  <c:v>11.232000563229841</c:v>
                </c:pt>
                <c:pt idx="7">
                  <c:v>11.415994711583073</c:v>
                </c:pt>
                <c:pt idx="8">
                  <c:v>11.583986924269745</c:v>
                </c:pt>
                <c:pt idx="9">
                  <c:v>11.767977687322583</c:v>
                </c:pt>
                <c:pt idx="10">
                  <c:v>11.999967486758212</c:v>
                </c:pt>
                <c:pt idx="11">
                  <c:v>12.311956808535228</c:v>
                </c:pt>
                <c:pt idx="12">
                  <c:v>12.735946138775633</c:v>
                </c:pt>
                <c:pt idx="13">
                  <c:v>13.303935963455707</c:v>
                </c:pt>
                <c:pt idx="14">
                  <c:v>14.047926768595914</c:v>
                </c:pt>
                <c:pt idx="15">
                  <c:v>14.999919040536003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4-4974-9094-5ED3DDA0EF43}"/>
            </c:ext>
          </c:extLst>
        </c:ser>
        <c:ser>
          <c:idx val="1"/>
          <c:order val="1"/>
          <c:tx>
            <c:strRef>
              <c:f>'Влияние MgO'!$A$22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MgO'!$C$90:$R$90</c:f>
              <c:numCache>
                <c:formatCode>0.00</c:formatCode>
                <c:ptCount val="16"/>
                <c:pt idx="0">
                  <c:v>4.5333648916908746</c:v>
                </c:pt>
                <c:pt idx="1">
                  <c:v>4.3664956417325769</c:v>
                </c:pt>
                <c:pt idx="2">
                  <c:v>4.1614417549926745</c:v>
                </c:pt>
                <c:pt idx="3">
                  <c:v>3.9560236050797242</c:v>
                </c:pt>
                <c:pt idx="4">
                  <c:v>3.7741732545163682</c:v>
                </c:pt>
                <c:pt idx="5">
                  <c:v>3.629980279778056</c:v>
                </c:pt>
                <c:pt idx="6">
                  <c:v>3.5300349814775434</c:v>
                </c:pt>
                <c:pt idx="7">
                  <c:v>3.4751669169001773</c:v>
                </c:pt>
                <c:pt idx="8">
                  <c:v>3.4620356050886323</c:v>
                </c:pt>
                <c:pt idx="9">
                  <c:v>3.4846545058452487</c:v>
                </c:pt>
                <c:pt idx="10">
                  <c:v>3.5357015241463388</c:v>
                </c:pt>
                <c:pt idx="11">
                  <c:v>3.6074108509722436</c:v>
                </c:pt>
                <c:pt idx="12">
                  <c:v>3.6919236632093706</c:v>
                </c:pt>
                <c:pt idx="13">
                  <c:v>3.7811056853039435</c:v>
                </c:pt>
                <c:pt idx="14">
                  <c:v>3.8659366928310805</c:v>
                </c:pt>
                <c:pt idx="15">
                  <c:v>3.935609932782552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4-4974-9094-5ED3DDA0EF43}"/>
            </c:ext>
          </c:extLst>
        </c:ser>
        <c:ser>
          <c:idx val="2"/>
          <c:order val="2"/>
          <c:tx>
            <c:strRef>
              <c:f>'Влияние MgO'!$A$23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MgO'!$C$91:$R$91</c:f>
              <c:numCache>
                <c:formatCode>0.00</c:formatCode>
                <c:ptCount val="16"/>
                <c:pt idx="0">
                  <c:v>3.0000421559379609</c:v>
                </c:pt>
                <c:pt idx="1">
                  <c:v>2.6944335720052295</c:v>
                </c:pt>
                <c:pt idx="2">
                  <c:v>2.4472261497714118</c:v>
                </c:pt>
                <c:pt idx="3">
                  <c:v>2.2528198227194518</c:v>
                </c:pt>
                <c:pt idx="4">
                  <c:v>2.1056145242046838</c:v>
                </c:pt>
                <c:pt idx="5">
                  <c:v>2.0000101876613159</c:v>
                </c:pt>
                <c:pt idx="6">
                  <c:v>1.9304067464571311</c:v>
                </c:pt>
                <c:pt idx="7">
                  <c:v>1.8912041339635377</c:v>
                </c:pt>
                <c:pt idx="8">
                  <c:v>1.8768022836262515</c:v>
                </c:pt>
                <c:pt idx="9">
                  <c:v>1.8816011287928425</c:v>
                </c:pt>
                <c:pt idx="10">
                  <c:v>1.9000006028714396</c:v>
                </c:pt>
                <c:pt idx="11">
                  <c:v>1.9264006392519351</c:v>
                </c:pt>
                <c:pt idx="12">
                  <c:v>1.9552011713315027</c:v>
                </c:pt>
                <c:pt idx="13">
                  <c:v>1.9808021325029979</c:v>
                </c:pt>
                <c:pt idx="14">
                  <c:v>1.9976034561598297</c:v>
                </c:pt>
                <c:pt idx="15">
                  <c:v>2.0000050756916679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24-4974-9094-5ED3DDA0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046704"/>
        <c:axId val="1"/>
      </c:lineChart>
      <c:catAx>
        <c:axId val="389046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93347331583552"/>
              <c:y val="0.892159607500042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0.04"/>
              <c:y val="0.480393529240217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046704"/>
        <c:crosses val="autoZero"/>
        <c:crossBetween val="between"/>
        <c:majorUnit val="2"/>
        <c:minorUnit val="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3333368055645978"/>
          <c:y val="0.20261502570665374"/>
          <c:w val="0.64800168750439457"/>
          <c:h val="0.147059292851603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CaO/SiO2=0,8 </a:t>
            </a:r>
          </a:p>
        </c:rich>
      </c:tx>
      <c:layout>
        <c:manualLayout>
          <c:xMode val="edge"/>
          <c:yMode val="edge"/>
          <c:x val="0.22039508219367315"/>
          <c:y val="0.0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76342735439478"/>
          <c:y val="0.28400055468858337"/>
          <c:w val="0.74013276773997694"/>
          <c:h val="0.53600104687704464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MgO'!$C$25:$R$25</c:f>
              <c:numCache>
                <c:formatCode>0</c:formatCode>
                <c:ptCount val="16"/>
                <c:pt idx="0">
                  <c:v>1298.9547105728179</c:v>
                </c:pt>
                <c:pt idx="1">
                  <c:v>1316.2866660244179</c:v>
                </c:pt>
                <c:pt idx="2">
                  <c:v>1328.9468940070408</c:v>
                </c:pt>
                <c:pt idx="3">
                  <c:v>1338.4259111911549</c:v>
                </c:pt>
                <c:pt idx="4">
                  <c:v>1345.582513830982</c:v>
                </c:pt>
                <c:pt idx="5">
                  <c:v>1350.944555404101</c:v>
                </c:pt>
                <c:pt idx="6">
                  <c:v>1354.8569925307834</c:v>
                </c:pt>
                <c:pt idx="7">
                  <c:v>1357.5628614823008</c:v>
                </c:pt>
                <c:pt idx="8">
                  <c:v>1359.2513413952413</c:v>
                </c:pt>
                <c:pt idx="9">
                  <c:v>1360.0870867558415</c:v>
                </c:pt>
                <c:pt idx="10">
                  <c:v>1360.2272559260186</c:v>
                </c:pt>
                <c:pt idx="11">
                  <c:v>1359.8304249272169</c:v>
                </c:pt>
                <c:pt idx="12">
                  <c:v>1359.0612568748652</c:v>
                </c:pt>
                <c:pt idx="13">
                  <c:v>1358.0942004705532</c:v>
                </c:pt>
                <c:pt idx="14">
                  <c:v>1357.1181426208236</c:v>
                </c:pt>
                <c:pt idx="15">
                  <c:v>1356.3425296733099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F4-4742-90F9-265918C35528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MgO'!$C$26:$R$26</c:f>
              <c:numCache>
                <c:formatCode>0</c:formatCode>
                <c:ptCount val="16"/>
                <c:pt idx="0">
                  <c:v>1471.6766517918484</c:v>
                </c:pt>
                <c:pt idx="1">
                  <c:v>1454.5989217060394</c:v>
                </c:pt>
                <c:pt idx="2">
                  <c:v>1442.9420746440171</c:v>
                </c:pt>
                <c:pt idx="3">
                  <c:v>1434.745572978668</c:v>
                </c:pt>
                <c:pt idx="4">
                  <c:v>1428.8782299732748</c:v>
                </c:pt>
                <c:pt idx="5">
                  <c:v>1424.6452476627085</c:v>
                </c:pt>
                <c:pt idx="6">
                  <c:v>1421.5971484112895</c:v>
                </c:pt>
                <c:pt idx="7">
                  <c:v>1419.4279885458689</c:v>
                </c:pt>
                <c:pt idx="8">
                  <c:v>1417.9170367106913</c:v>
                </c:pt>
                <c:pt idx="9">
                  <c:v>1416.8937588999843</c:v>
                </c:pt>
                <c:pt idx="10">
                  <c:v>1416.2165425793287</c:v>
                </c:pt>
                <c:pt idx="11">
                  <c:v>1415.7600057429302</c:v>
                </c:pt>
                <c:pt idx="12">
                  <c:v>1415.4077204371345</c:v>
                </c:pt>
                <c:pt idx="13">
                  <c:v>1415.0484807447374</c:v>
                </c:pt>
                <c:pt idx="14">
                  <c:v>1414.5753878380106</c:v>
                </c:pt>
                <c:pt idx="15">
                  <c:v>1413.8879134199485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F4-4742-90F9-265918C3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39280"/>
        <c:axId val="1"/>
      </c:lineChart>
      <c:catAx>
        <c:axId val="389139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0986911175576732"/>
              <c:y val="0.89600167979002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2.6315789473684209E-2"/>
              <c:y val="0.452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139280"/>
        <c:crosses val="autoZero"/>
        <c:crossBetween val="between"/>
        <c:majorUnit val="100"/>
        <c:minorUnit val="5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447394838666154E-2"/>
          <c:y val="0.12400024218797302"/>
          <c:w val="0.79934338915917513"/>
          <c:h val="0.1800003515631866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температуры шлака от содержания   </a:t>
            </a:r>
          </a:p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CaO/SiO2=1</a:t>
            </a:r>
            <a:r>
              <a:rPr lang="ru-RU" sz="4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,0 </a:t>
            </a:r>
          </a:p>
        </c:rich>
      </c:tx>
      <c:layout>
        <c:manualLayout>
          <c:xMode val="edge"/>
          <c:yMode val="edge"/>
          <c:x val="0.16606536096345356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776536017416"/>
          <c:y val="0.2530612244897959"/>
          <c:w val="0.70036224539260883"/>
          <c:h val="0.559183673469387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MgO'!$C$57:$R$57</c:f>
              <c:numCache>
                <c:formatCode>0</c:formatCode>
                <c:ptCount val="16"/>
                <c:pt idx="0">
                  <c:v>1106.6142166310706</c:v>
                </c:pt>
                <c:pt idx="1">
                  <c:v>1218.8773438412254</c:v>
                </c:pt>
                <c:pt idx="2">
                  <c:v>1270.468280186313</c:v>
                </c:pt>
                <c:pt idx="3">
                  <c:v>1299.3287688250969</c:v>
                </c:pt>
                <c:pt idx="4">
                  <c:v>1317.0179231023476</c:v>
                </c:pt>
                <c:pt idx="5">
                  <c:v>1328.2234251243763</c:v>
                </c:pt>
                <c:pt idx="6">
                  <c:v>1335.2069710276739</c:v>
                </c:pt>
                <c:pt idx="7">
                  <c:v>1339.2205273753639</c:v>
                </c:pt>
                <c:pt idx="8">
                  <c:v>1341.0631572508764</c:v>
                </c:pt>
                <c:pt idx="9">
                  <c:v>1341.3327688475497</c:v>
                </c:pt>
                <c:pt idx="10">
                  <c:v>1340.5519125061012</c:v>
                </c:pt>
                <c:pt idx="11">
                  <c:v>1339.2380654556064</c:v>
                </c:pt>
                <c:pt idx="12">
                  <c:v>1337.9475041513717</c:v>
                </c:pt>
                <c:pt idx="13">
                  <c:v>1337.299703724357</c:v>
                </c:pt>
                <c:pt idx="14">
                  <c:v>1337.9769105488613</c:v>
                </c:pt>
                <c:pt idx="15">
                  <c:v>1340.6927932387039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5B-42CC-B360-E7A38F4544BA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MgO'!$C$58:$R$58</c:f>
              <c:numCache>
                <c:formatCode>0</c:formatCode>
                <c:ptCount val="16"/>
                <c:pt idx="0">
                  <c:v>1444.5710164761952</c:v>
                </c:pt>
                <c:pt idx="1">
                  <c:v>1426.4591983859218</c:v>
                </c:pt>
                <c:pt idx="2">
                  <c:v>1418.1534322805715</c:v>
                </c:pt>
                <c:pt idx="3">
                  <c:v>1413.4880509731991</c:v>
                </c:pt>
                <c:pt idx="4">
                  <c:v>1410.5773139500741</c:v>
                </c:pt>
                <c:pt idx="5">
                  <c:v>1408.6474309884406</c:v>
                </c:pt>
                <c:pt idx="6">
                  <c:v>1407.3150253692265</c:v>
                </c:pt>
                <c:pt idx="7">
                  <c:v>1406.3582912032607</c:v>
                </c:pt>
                <c:pt idx="8">
                  <c:v>1405.6288203225656</c:v>
                </c:pt>
                <c:pt idx="9">
                  <c:v>1405.014206048249</c:v>
                </c:pt>
                <c:pt idx="10">
                  <c:v>1404.4225734505824</c:v>
                </c:pt>
                <c:pt idx="11">
                  <c:v>1403.7781449184893</c:v>
                </c:pt>
                <c:pt idx="12">
                  <c:v>1403.0236741412541</c:v>
                </c:pt>
                <c:pt idx="13">
                  <c:v>1402.1284115161061</c:v>
                </c:pt>
                <c:pt idx="14">
                  <c:v>1401.1006907351527</c:v>
                </c:pt>
                <c:pt idx="15">
                  <c:v>1400.0028425624168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5B-42CC-B360-E7A38F454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141576"/>
        <c:axId val="1"/>
      </c:lineChart>
      <c:catAx>
        <c:axId val="38914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MgO</a:t>
                </a:r>
              </a:p>
            </c:rich>
          </c:tx>
          <c:layout>
            <c:manualLayout>
              <c:xMode val="edge"/>
              <c:yMode val="edge"/>
              <c:x val="0.52707657030235833"/>
              <c:y val="0.88979591836734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5.0541516245487361E-2"/>
              <c:y val="0.4285714285714285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141576"/>
        <c:crosses val="autoZero"/>
        <c:crossBetween val="between"/>
        <c:majorUnit val="10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8411584801558273"/>
          <c:y val="0.16734693877551021"/>
          <c:w val="0.74007350672930305"/>
          <c:h val="9.7959183673469383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MgO при  Al2O3=12,0  при CaO/SiO2=1,2 </a:t>
            </a:r>
          </a:p>
        </c:rich>
      </c:tx>
      <c:layout>
        <c:manualLayout>
          <c:xMode val="edge"/>
          <c:yMode val="edge"/>
          <c:x val="0.23676077873443391"/>
          <c:y val="3.92156862745098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99139344636345"/>
          <c:y val="0.21960868416315932"/>
          <c:w val="0.66978396911497617"/>
          <c:h val="0.62745338332331235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</c:numLit>
          </c:cat>
          <c:val>
            <c:numRef>
              <c:f>'Влияние MgO'!$C$93:$R$93</c:f>
              <c:numCache>
                <c:formatCode>0</c:formatCode>
                <c:ptCount val="16"/>
                <c:pt idx="0">
                  <c:v>1331.5188821608667</c:v>
                </c:pt>
                <c:pt idx="1">
                  <c:v>1351.5787975159226</c:v>
                </c:pt>
                <c:pt idx="2">
                  <c:v>1362.5880671348177</c:v>
                </c:pt>
                <c:pt idx="3">
                  <c:v>1369.2640479798144</c:v>
                </c:pt>
                <c:pt idx="4">
                  <c:v>1373.5175343917133</c:v>
                </c:pt>
                <c:pt idx="5">
                  <c:v>1376.2757772839184</c:v>
                </c:pt>
                <c:pt idx="6">
                  <c:v>1378.0547943995939</c:v>
                </c:pt>
                <c:pt idx="7">
                  <c:v>1379.182573885113</c:v>
                </c:pt>
                <c:pt idx="8">
                  <c:v>1379.8993830846211</c:v>
                </c:pt>
                <c:pt idx="9">
                  <c:v>1380.4054477342966</c:v>
                </c:pt>
                <c:pt idx="10">
                  <c:v>1380.8811465573156</c:v>
                </c:pt>
                <c:pt idx="11">
                  <c:v>1381.4899568153098</c:v>
                </c:pt>
                <c:pt idx="12">
                  <c:v>1382.369698448131</c:v>
                </c:pt>
                <c:pt idx="13">
                  <c:v>1383.6173947128623</c:v>
                </c:pt>
                <c:pt idx="14">
                  <c:v>1385.2744672422691</c:v>
                </c:pt>
                <c:pt idx="15">
                  <c:v>1387.31924189137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4-4729-8F29-2496B79EACC1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'Влияние MgO'!$C$94:$R$94</c:f>
              <c:numCache>
                <c:formatCode>0</c:formatCode>
                <c:ptCount val="16"/>
                <c:pt idx="0">
                  <c:v>1410.4018484167216</c:v>
                </c:pt>
                <c:pt idx="1">
                  <c:v>1414.9982779955712</c:v>
                </c:pt>
                <c:pt idx="2">
                  <c:v>1416.6185401932273</c:v>
                </c:pt>
                <c:pt idx="3">
                  <c:v>1417.046723250766</c:v>
                </c:pt>
                <c:pt idx="4">
                  <c:v>1417.0024731028921</c:v>
                </c:pt>
                <c:pt idx="5">
                  <c:v>1416.8287979006204</c:v>
                </c:pt>
                <c:pt idx="6">
                  <c:v>1416.7044330069432</c:v>
                </c:pt>
                <c:pt idx="7">
                  <c:v>1416.7255509634313</c:v>
                </c:pt>
                <c:pt idx="8">
                  <c:v>1416.943584135927</c:v>
                </c:pt>
                <c:pt idx="9">
                  <c:v>1417.3852951909626</c:v>
                </c:pt>
                <c:pt idx="10">
                  <c:v>1418.0628779913513</c:v>
                </c:pt>
                <c:pt idx="11">
                  <c:v>1418.9761689176798</c:v>
                </c:pt>
                <c:pt idx="12">
                  <c:v>1420.1084720156366</c:v>
                </c:pt>
                <c:pt idx="13">
                  <c:v>1421.4189088907738</c:v>
                </c:pt>
                <c:pt idx="14">
                  <c:v>1422.8354634675438</c:v>
                </c:pt>
                <c:pt idx="15">
                  <c:v>1424.252463478841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4-4729-8F29-2496B79EA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23144"/>
        <c:axId val="1"/>
      </c:lineChart>
      <c:catAx>
        <c:axId val="389223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ax val="150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6.2305623012076761E-2"/>
              <c:y val="0.419609489990221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223144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757063367234252"/>
          <c:y val="0.13725542760197457"/>
          <c:w val="0.75701164881367067"/>
          <c:h val="7.0588505623872644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7-25 пуаз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2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MgO</a:t>
            </a:r>
          </a:p>
        </c:rich>
      </c:tx>
      <c:layout>
        <c:manualLayout>
          <c:xMode val="edge"/>
          <c:yMode val="edge"/>
          <c:x val="0.23161764705882354"/>
          <c:y val="1.953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029411764705882"/>
          <c:y val="0.28125053644282616"/>
          <c:w val="0.57352941176470584"/>
          <c:h val="0.61328241974338482"/>
        </c:manualLayout>
      </c:layout>
      <c:lineChart>
        <c:grouping val="standard"/>
        <c:varyColors val="0"/>
        <c:ser>
          <c:idx val="0"/>
          <c:order val="0"/>
          <c:tx>
            <c:v> Al2O3=12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MgO'!$C$27:$R$27</c:f>
              <c:numCache>
                <c:formatCode>General</c:formatCode>
                <c:ptCount val="16"/>
                <c:pt idx="0">
                  <c:v>0.10421374304248941</c:v>
                </c:pt>
                <c:pt idx="1">
                  <c:v>0.13014031122038724</c:v>
                </c:pt>
                <c:pt idx="2">
                  <c:v>0.15790141214234266</c:v>
                </c:pt>
                <c:pt idx="3">
                  <c:v>0.18687773260364099</c:v>
                </c:pt>
                <c:pt idx="4">
                  <c:v>0.21609754779286458</c:v>
                </c:pt>
                <c:pt idx="5">
                  <c:v>0.24423108451736147</c:v>
                </c:pt>
                <c:pt idx="6">
                  <c:v>0.26970269641305339</c:v>
                </c:pt>
                <c:pt idx="7">
                  <c:v>0.29095551653041191</c:v>
                </c:pt>
                <c:pt idx="8">
                  <c:v>0.30682326192867249</c:v>
                </c:pt>
                <c:pt idx="9">
                  <c:v>0.3168641872617764</c:v>
                </c:pt>
                <c:pt idx="10">
                  <c:v>0.32149007561852644</c:v>
                </c:pt>
                <c:pt idx="11">
                  <c:v>0.32183327208028967</c:v>
                </c:pt>
                <c:pt idx="12">
                  <c:v>0.3194521689920779</c:v>
                </c:pt>
                <c:pt idx="13">
                  <c:v>0.31604297189510644</c:v>
                </c:pt>
                <c:pt idx="14">
                  <c:v>0.31327641852581783</c:v>
                </c:pt>
                <c:pt idx="15">
                  <c:v>0.31279659336795046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ED-4D3F-A9FC-8346A5CD5D28}"/>
            </c:ext>
          </c:extLst>
        </c:ser>
        <c:ser>
          <c:idx val="1"/>
          <c:order val="1"/>
          <c:tx>
            <c:v>Al2O3=12,0;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MgO'!$C$59:$R$59</c:f>
              <c:numCache>
                <c:formatCode>0.00</c:formatCode>
                <c:ptCount val="16"/>
                <c:pt idx="0">
                  <c:v>5.3261245248649704E-2</c:v>
                </c:pt>
                <c:pt idx="1">
                  <c:v>8.6712781516865442E-2</c:v>
                </c:pt>
                <c:pt idx="2">
                  <c:v>0.12188090505206436</c:v>
                </c:pt>
                <c:pt idx="3">
                  <c:v>0.15767443226077815</c:v>
                </c:pt>
                <c:pt idx="4">
                  <c:v>0.1923911628421788</c:v>
                </c:pt>
                <c:pt idx="5">
                  <c:v>0.22381377061003729</c:v>
                </c:pt>
                <c:pt idx="6">
                  <c:v>0.24962537353649578</c:v>
                </c:pt>
                <c:pt idx="7">
                  <c:v>0.26810544429423949</c:v>
                </c:pt>
                <c:pt idx="8">
                  <c:v>0.27878595438591036</c:v>
                </c:pt>
                <c:pt idx="9">
                  <c:v>0.28265693726840607</c:v>
                </c:pt>
                <c:pt idx="10">
                  <c:v>0.28181953550858485</c:v>
                </c:pt>
                <c:pt idx="11">
                  <c:v>0.27889646479830926</c:v>
                </c:pt>
                <c:pt idx="12">
                  <c:v>0.27659894555562387</c:v>
                </c:pt>
                <c:pt idx="13">
                  <c:v>0.27765477075097417</c:v>
                </c:pt>
                <c:pt idx="14">
                  <c:v>0.2851540251055662</c:v>
                </c:pt>
                <c:pt idx="15">
                  <c:v>0.3034898841806114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ED-4D3F-A9FC-8346A5CD5D28}"/>
            </c:ext>
          </c:extLst>
        </c:ser>
        <c:ser>
          <c:idx val="2"/>
          <c:order val="2"/>
          <c:tx>
            <c:v>Al2O3=12;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MgO'!$C$95:$R$95</c:f>
              <c:numCache>
                <c:formatCode>0.00</c:formatCode>
                <c:ptCount val="16"/>
                <c:pt idx="0">
                  <c:v>0.22818614530312498</c:v>
                </c:pt>
                <c:pt idx="1">
                  <c:v>0.2838244631438791</c:v>
                </c:pt>
                <c:pt idx="2">
                  <c:v>0.33314533412545017</c:v>
                </c:pt>
                <c:pt idx="3">
                  <c:v>0.3767055715890964</c:v>
                </c:pt>
                <c:pt idx="4">
                  <c:v>0.41393642335691522</c:v>
                </c:pt>
                <c:pt idx="5">
                  <c:v>0.44386336026931061</c:v>
                </c:pt>
                <c:pt idx="6">
                  <c:v>0.46572233657515422</c:v>
                </c:pt>
                <c:pt idx="7">
                  <c:v>0.47945052312847425</c:v>
                </c:pt>
                <c:pt idx="8">
                  <c:v>0.48590601198471411</c:v>
                </c:pt>
                <c:pt idx="9">
                  <c:v>0.48675160223667491</c:v>
                </c:pt>
                <c:pt idx="10">
                  <c:v>0.48410870892158026</c:v>
                </c:pt>
                <c:pt idx="11">
                  <c:v>0.48017655000308695</c:v>
                </c:pt>
                <c:pt idx="12">
                  <c:v>0.47696303558467018</c:v>
                </c:pt>
                <c:pt idx="13">
                  <c:v>0.47617140189897256</c:v>
                </c:pt>
                <c:pt idx="14">
                  <c:v>0.47922051619833861</c:v>
                </c:pt>
                <c:pt idx="15">
                  <c:v>0.4873660955183553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ED-4D3F-A9FC-8346A5CD5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225440"/>
        <c:axId val="1"/>
      </c:lineChart>
      <c:catAx>
        <c:axId val="38922544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0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5.8823529411764705E-2"/>
              <c:y val="0.38281332020997372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225440"/>
        <c:crosses val="autoZero"/>
        <c:crossBetween val="between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61397058823529416"/>
          <c:y val="0.30859433859698981"/>
          <c:w val="0.34926470588235292"/>
          <c:h val="0.4726571515219717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75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</a:t>
            </a:r>
            <a:r>
              <a:rPr lang="ru-RU" sz="800" b="0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ависимость градиента вязкости 1400-1500 C от изменения  MgO</a:t>
            </a:r>
          </a:p>
        </c:rich>
      </c:tx>
      <c:layout>
        <c:manualLayout>
          <c:xMode val="edge"/>
          <c:yMode val="edge"/>
          <c:x val="0.12075511315802506"/>
          <c:y val="2.1276595744680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905706267884486"/>
          <c:y val="0.38297951915624823"/>
          <c:w val="0.64905779970850475"/>
          <c:h val="0.53191599882812257"/>
        </c:manualLayout>
      </c:layout>
      <c:lineChart>
        <c:grouping val="standard"/>
        <c:varyColors val="0"/>
        <c:ser>
          <c:idx val="0"/>
          <c:order val="0"/>
          <c:tx>
            <c:v> Al2O3=12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MgO'!$C$28:$R$28</c:f>
              <c:numCache>
                <c:formatCode>0.00</c:formatCode>
                <c:ptCount val="16"/>
                <c:pt idx="0">
                  <c:v>5.0000183954262809</c:v>
                </c:pt>
                <c:pt idx="1">
                  <c:v>5.5312113631196116</c:v>
                </c:pt>
                <c:pt idx="2">
                  <c:v>5.9696061529127267</c:v>
                </c:pt>
                <c:pt idx="3">
                  <c:v>6.3224025824954522</c:v>
                </c:pt>
                <c:pt idx="4">
                  <c:v>6.5968004695520897</c:v>
                </c:pt>
                <c:pt idx="5">
                  <c:v>6.7999996317783928</c:v>
                </c:pt>
                <c:pt idx="6">
                  <c:v>6.9391998868342384</c:v>
                </c:pt>
                <c:pt idx="7">
                  <c:v>7.0216010524240247</c:v>
                </c:pt>
                <c:pt idx="8">
                  <c:v>7.0544029462344913</c:v>
                </c:pt>
                <c:pt idx="9">
                  <c:v>7.0448053859063275</c:v>
                </c:pt>
                <c:pt idx="10">
                  <c:v>7.0000081891906563</c:v>
                </c:pt>
                <c:pt idx="11">
                  <c:v>6.9272111737232303</c:v>
                </c:pt>
                <c:pt idx="12">
                  <c:v>6.8336141572092561</c:v>
                </c:pt>
                <c:pt idx="13">
                  <c:v>6.7264169573055703</c:v>
                </c:pt>
                <c:pt idx="14">
                  <c:v>6.6128193917371689</c:v>
                </c:pt>
                <c:pt idx="15">
                  <c:v>6.5000212781294984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72-4F61-846E-9ADCA1E39134}"/>
            </c:ext>
          </c:extLst>
        </c:ser>
        <c:ser>
          <c:idx val="1"/>
          <c:order val="1"/>
          <c:tx>
            <c:v>Al2O3=12,0;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MgO'!$C$60:$R$60</c:f>
              <c:numCache>
                <c:formatCode>0.00</c:formatCode>
                <c:ptCount val="16"/>
                <c:pt idx="0">
                  <c:v>2.0003017905838387</c:v>
                </c:pt>
                <c:pt idx="1">
                  <c:v>2.8689864305528641</c:v>
                </c:pt>
                <c:pt idx="2">
                  <c:v>3.5665009614147172</c:v>
                </c:pt>
                <c:pt idx="3">
                  <c:v>4.1096423925138943</c:v>
                </c:pt>
                <c:pt idx="4">
                  <c:v>4.5152077331947842</c:v>
                </c:pt>
                <c:pt idx="5">
                  <c:v>4.7999939928020261</c:v>
                </c:pt>
                <c:pt idx="6">
                  <c:v>4.980798180679936</c:v>
                </c:pt>
                <c:pt idx="7">
                  <c:v>5.0744173061732329</c:v>
                </c:pt>
                <c:pt idx="8">
                  <c:v>5.0976483786261486</c:v>
                </c:pt>
                <c:pt idx="9">
                  <c:v>5.0672884073833275</c:v>
                </c:pt>
                <c:pt idx="10">
                  <c:v>5.0001344017890101</c:v>
                </c:pt>
                <c:pt idx="11">
                  <c:v>4.9129833711847617</c:v>
                </c:pt>
                <c:pt idx="12">
                  <c:v>4.8226323249130809</c:v>
                </c:pt>
                <c:pt idx="13">
                  <c:v>4.7458782723176096</c:v>
                </c:pt>
                <c:pt idx="14">
                  <c:v>4.6995182227416965</c:v>
                </c:pt>
                <c:pt idx="15">
                  <c:v>4.7003491855288972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72-4F61-846E-9ADCA1E39134}"/>
            </c:ext>
          </c:extLst>
        </c:ser>
        <c:ser>
          <c:idx val="2"/>
          <c:order val="2"/>
          <c:tx>
            <c:v>Al2O3=12;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MgO'!$C$96:$R$96</c:f>
              <c:numCache>
                <c:formatCode>0.00</c:formatCode>
                <c:ptCount val="16"/>
                <c:pt idx="0">
                  <c:v>4.9999256512240002</c:v>
                </c:pt>
                <c:pt idx="1">
                  <c:v>6.2575502038862005</c:v>
                </c:pt>
                <c:pt idx="2">
                  <c:v>7.2487687430718299</c:v>
                </c:pt>
                <c:pt idx="3">
                  <c:v>8.0111818213095862</c:v>
                </c:pt>
                <c:pt idx="4">
                  <c:v>8.5823899912681298</c:v>
                </c:pt>
                <c:pt idx="5">
                  <c:v>8.999993805533089</c:v>
                </c:pt>
                <c:pt idx="6">
                  <c:v>9.3015938167727104</c:v>
                </c:pt>
                <c:pt idx="7">
                  <c:v>9.5247905776195356</c:v>
                </c:pt>
                <c:pt idx="8">
                  <c:v>9.7071846406434936</c:v>
                </c:pt>
                <c:pt idx="9">
                  <c:v>9.8863765585297401</c:v>
                </c:pt>
                <c:pt idx="10">
                  <c:v>10.099966883886772</c:v>
                </c:pt>
                <c:pt idx="11">
                  <c:v>10.385556169283294</c:v>
                </c:pt>
                <c:pt idx="12">
                  <c:v>10.78074496744413</c:v>
                </c:pt>
                <c:pt idx="13">
                  <c:v>11.32313383095271</c:v>
                </c:pt>
                <c:pt idx="14">
                  <c:v>12.050323312436085</c:v>
                </c:pt>
                <c:pt idx="15">
                  <c:v>12.999913964844335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72-4F61-846E-9ADCA1E39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26024"/>
        <c:axId val="1"/>
      </c:lineChart>
      <c:catAx>
        <c:axId val="38932602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14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5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0.10188679245283019"/>
              <c:y val="0.51063919137767355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326024"/>
        <c:crosses val="autoZero"/>
        <c:crossBetween val="between"/>
        <c:majorUnit val="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2075475522323707"/>
          <c:y val="0.18297910359687417"/>
          <c:w val="0.57735955439186759"/>
          <c:h val="0.2297877114937489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25 пуаз  от содержания   </a:t>
            </a:r>
          </a:p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5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MgO при Al2O3 =12,0   </a:t>
            </a:r>
          </a:p>
        </c:rich>
      </c:tx>
      <c:layout>
        <c:manualLayout>
          <c:xMode val="edge"/>
          <c:yMode val="edge"/>
          <c:x val="0.13148825254974617"/>
          <c:y val="3.83141762452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85152676850192"/>
          <c:y val="0.20689732585505663"/>
          <c:w val="0.7854684551194433"/>
          <c:h val="0.5977033858034969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MgO'!$C$25:$R$25</c:f>
              <c:numCache>
                <c:formatCode>0</c:formatCode>
                <c:ptCount val="16"/>
                <c:pt idx="0">
                  <c:v>1298.9547105728179</c:v>
                </c:pt>
                <c:pt idx="1">
                  <c:v>1316.2866660244179</c:v>
                </c:pt>
                <c:pt idx="2">
                  <c:v>1328.9468940070408</c:v>
                </c:pt>
                <c:pt idx="3">
                  <c:v>1338.4259111911549</c:v>
                </c:pt>
                <c:pt idx="4">
                  <c:v>1345.582513830982</c:v>
                </c:pt>
                <c:pt idx="5">
                  <c:v>1350.944555404101</c:v>
                </c:pt>
                <c:pt idx="6">
                  <c:v>1354.8569925307834</c:v>
                </c:pt>
                <c:pt idx="7">
                  <c:v>1357.5628614823008</c:v>
                </c:pt>
                <c:pt idx="8">
                  <c:v>1359.2513413952413</c:v>
                </c:pt>
                <c:pt idx="9">
                  <c:v>1360.0870867558415</c:v>
                </c:pt>
                <c:pt idx="10">
                  <c:v>1360.2272559260186</c:v>
                </c:pt>
                <c:pt idx="11">
                  <c:v>1359.8304249272169</c:v>
                </c:pt>
                <c:pt idx="12">
                  <c:v>1359.0612568748652</c:v>
                </c:pt>
                <c:pt idx="13">
                  <c:v>1358.0942004705532</c:v>
                </c:pt>
                <c:pt idx="14">
                  <c:v>1357.1181426208236</c:v>
                </c:pt>
                <c:pt idx="15">
                  <c:v>1356.3425296733099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8-40C4-B591-5AB4B6B47E4A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MgO'!$C$57:$R$57</c:f>
              <c:numCache>
                <c:formatCode>0</c:formatCode>
                <c:ptCount val="16"/>
                <c:pt idx="0">
                  <c:v>1106.6142166310706</c:v>
                </c:pt>
                <c:pt idx="1">
                  <c:v>1218.8773438412254</c:v>
                </c:pt>
                <c:pt idx="2">
                  <c:v>1270.468280186313</c:v>
                </c:pt>
                <c:pt idx="3">
                  <c:v>1299.3287688250969</c:v>
                </c:pt>
                <c:pt idx="4">
                  <c:v>1317.0179231023476</c:v>
                </c:pt>
                <c:pt idx="5">
                  <c:v>1328.2234251243763</c:v>
                </c:pt>
                <c:pt idx="6">
                  <c:v>1335.2069710276739</c:v>
                </c:pt>
                <c:pt idx="7">
                  <c:v>1339.2205273753639</c:v>
                </c:pt>
                <c:pt idx="8">
                  <c:v>1341.0631572508764</c:v>
                </c:pt>
                <c:pt idx="9">
                  <c:v>1341.3327688475497</c:v>
                </c:pt>
                <c:pt idx="10">
                  <c:v>1340.5519125061012</c:v>
                </c:pt>
                <c:pt idx="11">
                  <c:v>1339.2380654556064</c:v>
                </c:pt>
                <c:pt idx="12">
                  <c:v>1337.9475041513717</c:v>
                </c:pt>
                <c:pt idx="13">
                  <c:v>1337.299703724357</c:v>
                </c:pt>
                <c:pt idx="14">
                  <c:v>1337.9769105488613</c:v>
                </c:pt>
                <c:pt idx="15">
                  <c:v>1340.6927932387039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D8-40C4-B591-5AB4B6B47E4A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MgO'!$C$93:$R$93</c:f>
              <c:numCache>
                <c:formatCode>0</c:formatCode>
                <c:ptCount val="16"/>
                <c:pt idx="0">
                  <c:v>1331.5188821608667</c:v>
                </c:pt>
                <c:pt idx="1">
                  <c:v>1351.5787975159226</c:v>
                </c:pt>
                <c:pt idx="2">
                  <c:v>1362.5880671348177</c:v>
                </c:pt>
                <c:pt idx="3">
                  <c:v>1369.2640479798144</c:v>
                </c:pt>
                <c:pt idx="4">
                  <c:v>1373.5175343917133</c:v>
                </c:pt>
                <c:pt idx="5">
                  <c:v>1376.2757772839184</c:v>
                </c:pt>
                <c:pt idx="6">
                  <c:v>1378.0547943995939</c:v>
                </c:pt>
                <c:pt idx="7">
                  <c:v>1379.182573885113</c:v>
                </c:pt>
                <c:pt idx="8">
                  <c:v>1379.8993830846211</c:v>
                </c:pt>
                <c:pt idx="9">
                  <c:v>1380.4054477342966</c:v>
                </c:pt>
                <c:pt idx="10">
                  <c:v>1380.8811465573156</c:v>
                </c:pt>
                <c:pt idx="11">
                  <c:v>1381.4899568153098</c:v>
                </c:pt>
                <c:pt idx="12">
                  <c:v>1382.369698448131</c:v>
                </c:pt>
                <c:pt idx="13">
                  <c:v>1383.6173947128623</c:v>
                </c:pt>
                <c:pt idx="14">
                  <c:v>1385.2744672422691</c:v>
                </c:pt>
                <c:pt idx="15">
                  <c:v>1387.31924189137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D8-40C4-B591-5AB4B6B47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89744"/>
        <c:axId val="1"/>
      </c:lineChart>
      <c:catAx>
        <c:axId val="389389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ax val="1400"/>
          <c:min val="1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52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3.8062283737024222E-2"/>
              <c:y val="0.4099632948180327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389744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3425763384250959E-2"/>
          <c:y val="0.13410011860975893"/>
          <c:w val="0.86851357812766639"/>
          <c:h val="0.114942958808364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0.54" l="0.78740157480314965" r="0.78740157480314965" t="0.53" header="0.51181102362204722" footer="0.51181102362204722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7 пуаз  от содержания   </a:t>
            </a:r>
          </a:p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4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MgO при Al2O3 =12,0   </a:t>
            </a:r>
          </a:p>
        </c:rich>
      </c:tx>
      <c:layout>
        <c:manualLayout>
          <c:xMode val="edge"/>
          <c:yMode val="edge"/>
          <c:x val="0.14448669201520911"/>
          <c:y val="4.13223140495867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730038022813687"/>
          <c:y val="0.2024793388429752"/>
          <c:w val="0.80228136882129275"/>
          <c:h val="0.62396694214876036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MgO'!$C$26:$R$26</c:f>
              <c:numCache>
                <c:formatCode>0</c:formatCode>
                <c:ptCount val="16"/>
                <c:pt idx="0">
                  <c:v>1471.6766517918484</c:v>
                </c:pt>
                <c:pt idx="1">
                  <c:v>1454.5989217060394</c:v>
                </c:pt>
                <c:pt idx="2">
                  <c:v>1442.9420746440171</c:v>
                </c:pt>
                <c:pt idx="3">
                  <c:v>1434.745572978668</c:v>
                </c:pt>
                <c:pt idx="4">
                  <c:v>1428.8782299732748</c:v>
                </c:pt>
                <c:pt idx="5">
                  <c:v>1424.6452476627085</c:v>
                </c:pt>
                <c:pt idx="6">
                  <c:v>1421.5971484112895</c:v>
                </c:pt>
                <c:pt idx="7">
                  <c:v>1419.4279885458689</c:v>
                </c:pt>
                <c:pt idx="8">
                  <c:v>1417.9170367106913</c:v>
                </c:pt>
                <c:pt idx="9">
                  <c:v>1416.8937588999843</c:v>
                </c:pt>
                <c:pt idx="10">
                  <c:v>1416.2165425793287</c:v>
                </c:pt>
                <c:pt idx="11">
                  <c:v>1415.7600057429302</c:v>
                </c:pt>
                <c:pt idx="12">
                  <c:v>1415.4077204371345</c:v>
                </c:pt>
                <c:pt idx="13">
                  <c:v>1415.0484807447374</c:v>
                </c:pt>
                <c:pt idx="14">
                  <c:v>1414.5753878380106</c:v>
                </c:pt>
                <c:pt idx="15">
                  <c:v>1413.8879134199485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DF-4E71-B90E-782A08CE8A6F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MgO'!$C$58:$R$58</c:f>
              <c:numCache>
                <c:formatCode>0</c:formatCode>
                <c:ptCount val="16"/>
                <c:pt idx="0">
                  <c:v>1444.5710164761952</c:v>
                </c:pt>
                <c:pt idx="1">
                  <c:v>1426.4591983859218</c:v>
                </c:pt>
                <c:pt idx="2">
                  <c:v>1418.1534322805715</c:v>
                </c:pt>
                <c:pt idx="3">
                  <c:v>1413.4880509731991</c:v>
                </c:pt>
                <c:pt idx="4">
                  <c:v>1410.5773139500741</c:v>
                </c:pt>
                <c:pt idx="5">
                  <c:v>1408.6474309884406</c:v>
                </c:pt>
                <c:pt idx="6">
                  <c:v>1407.3150253692265</c:v>
                </c:pt>
                <c:pt idx="7">
                  <c:v>1406.3582912032607</c:v>
                </c:pt>
                <c:pt idx="8">
                  <c:v>1405.6288203225656</c:v>
                </c:pt>
                <c:pt idx="9">
                  <c:v>1405.014206048249</c:v>
                </c:pt>
                <c:pt idx="10">
                  <c:v>1404.4225734505824</c:v>
                </c:pt>
                <c:pt idx="11">
                  <c:v>1403.7781449184893</c:v>
                </c:pt>
                <c:pt idx="12">
                  <c:v>1403.0236741412541</c:v>
                </c:pt>
                <c:pt idx="13">
                  <c:v>1402.1284115161061</c:v>
                </c:pt>
                <c:pt idx="14">
                  <c:v>1401.1006907351527</c:v>
                </c:pt>
                <c:pt idx="15">
                  <c:v>1400.0028425624168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DF-4E71-B90E-782A08CE8A6F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MgO'!$C$10:$R$10</c:f>
              <c:numCache>
                <c:formatCode>General</c:formatCode>
                <c:ptCount val="1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</c:numCache>
            </c:numRef>
          </c:cat>
          <c:val>
            <c:numRef>
              <c:f>'Влияние MgO'!$C$94:$R$94</c:f>
              <c:numCache>
                <c:formatCode>0</c:formatCode>
                <c:ptCount val="16"/>
                <c:pt idx="0">
                  <c:v>1410.4018484167216</c:v>
                </c:pt>
                <c:pt idx="1">
                  <c:v>1414.9982779955712</c:v>
                </c:pt>
                <c:pt idx="2">
                  <c:v>1416.6185401932273</c:v>
                </c:pt>
                <c:pt idx="3">
                  <c:v>1417.046723250766</c:v>
                </c:pt>
                <c:pt idx="4">
                  <c:v>1417.0024731028921</c:v>
                </c:pt>
                <c:pt idx="5">
                  <c:v>1416.8287979006204</c:v>
                </c:pt>
                <c:pt idx="6">
                  <c:v>1416.7044330069432</c:v>
                </c:pt>
                <c:pt idx="7">
                  <c:v>1416.7255509634313</c:v>
                </c:pt>
                <c:pt idx="8">
                  <c:v>1416.943584135927</c:v>
                </c:pt>
                <c:pt idx="9">
                  <c:v>1417.3852951909626</c:v>
                </c:pt>
                <c:pt idx="10">
                  <c:v>1418.0628779913513</c:v>
                </c:pt>
                <c:pt idx="11">
                  <c:v>1418.9761689176798</c:v>
                </c:pt>
                <c:pt idx="12">
                  <c:v>1420.1084720156366</c:v>
                </c:pt>
                <c:pt idx="13">
                  <c:v>1421.4189088907738</c:v>
                </c:pt>
                <c:pt idx="14">
                  <c:v>1422.8354634675438</c:v>
                </c:pt>
                <c:pt idx="15">
                  <c:v>1424.252463478841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DF-4E71-B90E-782A08CE8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392040"/>
        <c:axId val="1"/>
      </c:lineChart>
      <c:catAx>
        <c:axId val="38939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80"/>
          <c:min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4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4.5627376425855515E-2"/>
              <c:y val="0.417355371900826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9392040"/>
        <c:crosses val="autoZero"/>
        <c:crossBetween val="between"/>
        <c:majorUnit val="2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9011406844106463E-2"/>
          <c:y val="0.14049586776859505"/>
          <c:w val="0.95437262357414454"/>
          <c:h val="0.1239669421487603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CaO/SiO2=0,8 </a:t>
            </a:r>
          </a:p>
        </c:rich>
      </c:tx>
      <c:layout>
        <c:manualLayout>
          <c:xMode val="edge"/>
          <c:yMode val="edge"/>
          <c:x val="0.1294966546447881"/>
          <c:y val="3.66666666666666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08905474617511"/>
          <c:y val="0.32666773003818372"/>
          <c:w val="0.77698023685794382"/>
          <c:h val="0.49666828342540176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Al2O3'!$C$19:$M$19</c:f>
              <c:numCache>
                <c:formatCode>General</c:formatCode>
                <c:ptCount val="11"/>
                <c:pt idx="0">
                  <c:v>8.6000001341930421</c:v>
                </c:pt>
                <c:pt idx="1">
                  <c:v>8.9200008986764789</c:v>
                </c:pt>
                <c:pt idx="2">
                  <c:v>9.2000013548501531</c:v>
                </c:pt>
                <c:pt idx="3">
                  <c:v>9.4400015027126827</c:v>
                </c:pt>
                <c:pt idx="4">
                  <c:v>9.6400013422689543</c:v>
                </c:pt>
                <c:pt idx="5">
                  <c:v>9.8000008735083242</c:v>
                </c:pt>
                <c:pt idx="6">
                  <c:v>9.9200000964369988</c:v>
                </c:pt>
                <c:pt idx="7">
                  <c:v>9.9999990110558485</c:v>
                </c:pt>
                <c:pt idx="8">
                  <c:v>10.039997617360925</c:v>
                </c:pt>
                <c:pt idx="9" formatCode="0.00">
                  <c:v>10.039995915355199</c:v>
                </c:pt>
                <c:pt idx="10">
                  <c:v>9.9999939050533264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A-40DE-A8CE-7FD237A67E7A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Al2O3'!$C$20:$M$20</c:f>
              <c:numCache>
                <c:formatCode>General</c:formatCode>
                <c:ptCount val="11"/>
                <c:pt idx="0">
                  <c:v>5.4459724648869816</c:v>
                </c:pt>
                <c:pt idx="1">
                  <c:v>5.0788373082576808</c:v>
                </c:pt>
                <c:pt idx="2">
                  <c:v>4.7763398937786974</c:v>
                </c:pt>
                <c:pt idx="3">
                  <c:v>4.5738038478509306</c:v>
                </c:pt>
                <c:pt idx="4">
                  <c:v>4.5005048412555215</c:v>
                </c:pt>
                <c:pt idx="5">
                  <c:v>4.5728774517823076</c:v>
                </c:pt>
                <c:pt idx="6">
                  <c:v>4.7904451925667662</c:v>
                </c:pt>
                <c:pt idx="7">
                  <c:v>5.1373455802890788</c:v>
                </c:pt>
                <c:pt idx="8">
                  <c:v>5.5882056759312517</c:v>
                </c:pt>
                <c:pt idx="9" formatCode="0.00">
                  <c:v>6.114556294002262</c:v>
                </c:pt>
                <c:pt idx="10">
                  <c:v>6.6891845624502713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7A-40DE-A8CE-7FD237A67E7A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Al2O3'!$C$21:$M$21</c:f>
              <c:numCache>
                <c:formatCode>General</c:formatCode>
                <c:ptCount val="11"/>
                <c:pt idx="0">
                  <c:v>3.800001667628107</c:v>
                </c:pt>
                <c:pt idx="1">
                  <c:v>3.3428577315389054</c:v>
                </c:pt>
                <c:pt idx="2">
                  <c:v>3.0095234795307571</c:v>
                </c:pt>
                <c:pt idx="3">
                  <c:v>2.7999989116155475</c:v>
                </c:pt>
                <c:pt idx="4">
                  <c:v>2.714284027796003</c:v>
                </c:pt>
                <c:pt idx="5">
                  <c:v>2.7523788280578496</c:v>
                </c:pt>
                <c:pt idx="6">
                  <c:v>2.9142833124095255</c:v>
                </c:pt>
                <c:pt idx="7">
                  <c:v>3.1999974808510618</c:v>
                </c:pt>
                <c:pt idx="8">
                  <c:v>3.6095213333817346</c:v>
                </c:pt>
                <c:pt idx="9" formatCode="0.00">
                  <c:v>4.142854869999705</c:v>
                </c:pt>
                <c:pt idx="10">
                  <c:v>4.7999980907158548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7A-40DE-A8CE-7FD237A67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666072"/>
        <c:axId val="1"/>
      </c:lineChart>
      <c:catAx>
        <c:axId val="387666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681181039420435"/>
              <c:y val="0.91333613298337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1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4366680664916885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7666072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1942614523883688E-2"/>
          <c:y val="0.16666720920315495"/>
          <c:w val="0.58273517764345784"/>
          <c:h val="0.1500004882828394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CaO/SiO2=1,0 </a:t>
            </a:r>
          </a:p>
        </c:rich>
      </c:tx>
      <c:layout>
        <c:manualLayout>
          <c:xMode val="edge"/>
          <c:yMode val="edge"/>
          <c:x val="0.13986038458479402"/>
          <c:y val="3.80622837370242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19844295974232"/>
          <c:y val="0.32872027857421632"/>
          <c:w val="0.7855495737488476"/>
          <c:h val="0.49135031113198652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Al2O3'!$C$51:$M$51</c:f>
              <c:numCache>
                <c:formatCode>General</c:formatCode>
                <c:ptCount val="11"/>
                <c:pt idx="0">
                  <c:v>9.5000021878760084</c:v>
                </c:pt>
                <c:pt idx="1">
                  <c:v>8.8114433161675212</c:v>
                </c:pt>
                <c:pt idx="2">
                  <c:v>8.2714508112163418</c:v>
                </c:pt>
                <c:pt idx="3">
                  <c:v>7.8800246730225485</c:v>
                </c:pt>
                <c:pt idx="4">
                  <c:v>7.6371649015860346</c:v>
                </c:pt>
                <c:pt idx="5">
                  <c:v>7.542871496906856</c:v>
                </c:pt>
                <c:pt idx="6">
                  <c:v>7.5971444589850154</c:v>
                </c:pt>
                <c:pt idx="7">
                  <c:v>7.7999837878204472</c:v>
                </c:pt>
                <c:pt idx="8">
                  <c:v>8.1513894834132188</c:v>
                </c:pt>
                <c:pt idx="9">
                  <c:v>8.6513615457633186</c:v>
                </c:pt>
                <c:pt idx="10">
                  <c:v>9.2998999748707138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82-4630-A093-6DF950743884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Al2O3'!$C$52:$M$52</c:f>
              <c:numCache>
                <c:formatCode>General</c:formatCode>
                <c:ptCount val="11"/>
                <c:pt idx="0">
                  <c:v>4.5836546303908188</c:v>
                </c:pt>
                <c:pt idx="1">
                  <c:v>4.2359855959263806</c:v>
                </c:pt>
                <c:pt idx="2">
                  <c:v>4.0029198354622197</c:v>
                </c:pt>
                <c:pt idx="3">
                  <c:v>3.8844007564696783</c:v>
                </c:pt>
                <c:pt idx="4">
                  <c:v>3.8782994957753316</c:v>
                </c:pt>
                <c:pt idx="5">
                  <c:v>3.9805979660350905</c:v>
                </c:pt>
                <c:pt idx="6">
                  <c:v>4.1864651390966756</c:v>
                </c:pt>
                <c:pt idx="7">
                  <c:v>4.4916346038666868</c:v>
                </c:pt>
                <c:pt idx="8">
                  <c:v>4.8933206821839166</c:v>
                </c:pt>
                <c:pt idx="9">
                  <c:v>5.3903850556062167</c:v>
                </c:pt>
                <c:pt idx="10">
                  <c:v>5.9829745066908391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82-4630-A093-6DF950743884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Al2O3'!$C$53:$M$53</c:f>
              <c:numCache>
                <c:formatCode>General</c:formatCode>
                <c:ptCount val="11"/>
                <c:pt idx="0">
                  <c:v>2.8000273800215956</c:v>
                </c:pt>
                <c:pt idx="1">
                  <c:v>2.6057239542539756</c:v>
                </c:pt>
                <c:pt idx="2">
                  <c:v>2.485708873961519</c:v>
                </c:pt>
                <c:pt idx="3">
                  <c:v>2.4399821391442242</c:v>
                </c:pt>
                <c:pt idx="4">
                  <c:v>2.4685437498020875</c:v>
                </c:pt>
                <c:pt idx="5">
                  <c:v>2.5713937059351135</c:v>
                </c:pt>
                <c:pt idx="6">
                  <c:v>2.7485320075433002</c:v>
                </c:pt>
                <c:pt idx="7">
                  <c:v>2.9999586546266439</c:v>
                </c:pt>
                <c:pt idx="8">
                  <c:v>3.3256736471851513</c:v>
                </c:pt>
                <c:pt idx="9">
                  <c:v>3.7256769852188185</c:v>
                </c:pt>
                <c:pt idx="10">
                  <c:v>4.1999686687276423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82-4630-A093-6DF95074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158608"/>
        <c:axId val="1"/>
      </c:lineChart>
      <c:catAx>
        <c:axId val="38815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71807108027581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0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3986013986013986E-2"/>
              <c:y val="0.4325266781098728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158608"/>
        <c:crosses val="autoZero"/>
        <c:crossBetween val="between"/>
        <c:majorUnit val="1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8578290215003588E-2"/>
          <c:y val="0.1626300325577702"/>
          <c:w val="0.56643485584857556"/>
          <c:h val="0.1557096056404182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Изменение расчетной вязкости шлака при увеличении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Al2O3 и MgO и =10,0  при CaO/SiO2=1,2 </a:t>
            </a:r>
          </a:p>
        </c:rich>
      </c:tx>
      <c:layout>
        <c:manualLayout>
          <c:xMode val="edge"/>
          <c:yMode val="edge"/>
          <c:x val="0.12378666258950639"/>
          <c:y val="3.623188405797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77686587064087"/>
          <c:y val="0.34420411643779875"/>
          <c:w val="0.77669994963112199"/>
          <c:h val="0.46739295811027409"/>
        </c:manualLayout>
      </c:layout>
      <c:lineChart>
        <c:grouping val="standard"/>
        <c:varyColors val="0"/>
        <c:ser>
          <c:idx val="0"/>
          <c:order val="0"/>
          <c:tx>
            <c:strRef>
              <c:f>'Влияние Al2O3'!$A$19</c:f>
              <c:strCache>
                <c:ptCount val="1"/>
                <c:pt idx="0">
                  <c:v>вязкость при т-ре 1400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Al2O3'!$C$89:$M$89</c:f>
              <c:numCache>
                <c:formatCode>General</c:formatCode>
                <c:ptCount val="11"/>
                <c:pt idx="0">
                  <c:v>9.4999994626541735</c:v>
                </c:pt>
                <c:pt idx="1">
                  <c:v>9.6428535105536941</c:v>
                </c:pt>
                <c:pt idx="2">
                  <c:v>9.8095183296556776</c:v>
                </c:pt>
                <c:pt idx="3">
                  <c:v>9.9999939199401346</c:v>
                </c:pt>
                <c:pt idx="4">
                  <c:v>10.214280281453972</c:v>
                </c:pt>
                <c:pt idx="5">
                  <c:v>10.452377414175551</c:v>
                </c:pt>
                <c:pt idx="6">
                  <c:v>10.71428531807695</c:v>
                </c:pt>
                <c:pt idx="7">
                  <c:v>11.000003993194404</c:v>
                </c:pt>
                <c:pt idx="8">
                  <c:v>11.309533439527589</c:v>
                </c:pt>
                <c:pt idx="9">
                  <c:v>11.642873657065765</c:v>
                </c:pt>
                <c:pt idx="10">
                  <c:v>12.000024645792076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19-4A0A-8F05-D7FB743FC7EF}"/>
            </c:ext>
          </c:extLst>
        </c:ser>
        <c:ser>
          <c:idx val="1"/>
          <c:order val="1"/>
          <c:tx>
            <c:strRef>
              <c:f>'Влияние Al2O3'!$A$20</c:f>
              <c:strCache>
                <c:ptCount val="1"/>
                <c:pt idx="0">
                  <c:v>вязкость при т-ре 1450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Al2O3'!$C$90:$M$90</c:f>
              <c:numCache>
                <c:formatCode>General</c:formatCode>
                <c:ptCount val="11"/>
                <c:pt idx="0">
                  <c:v>4.4609308050499186</c:v>
                </c:pt>
                <c:pt idx="1">
                  <c:v>4.0624949155590313</c:v>
                </c:pt>
                <c:pt idx="2">
                  <c:v>3.7259413614426302</c:v>
                </c:pt>
                <c:pt idx="3">
                  <c:v>3.4722258234981989</c:v>
                </c:pt>
                <c:pt idx="4">
                  <c:v>3.3230166361696649</c:v>
                </c:pt>
                <c:pt idx="5">
                  <c:v>3.2959338664116933</c:v>
                </c:pt>
                <c:pt idx="6">
                  <c:v>3.3993001049740097</c:v>
                </c:pt>
                <c:pt idx="7">
                  <c:v>3.629980279778056</c:v>
                </c:pt>
                <c:pt idx="8">
                  <c:v>3.9760076481210103</c:v>
                </c:pt>
                <c:pt idx="9">
                  <c:v>4.4215152647814966</c:v>
                </c:pt>
                <c:pt idx="10">
                  <c:v>4.9507373607444656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19-4A0A-8F05-D7FB743FC7EF}"/>
            </c:ext>
          </c:extLst>
        </c:ser>
        <c:ser>
          <c:idx val="2"/>
          <c:order val="2"/>
          <c:tx>
            <c:strRef>
              <c:f>'Влияние Al2O3'!$A$21</c:f>
              <c:strCache>
                <c:ptCount val="1"/>
                <c:pt idx="0">
                  <c:v>вязкость при т-ре 1500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Al2O3'!$C$91:$M$91</c:f>
              <c:numCache>
                <c:formatCode>General</c:formatCode>
                <c:ptCount val="11"/>
                <c:pt idx="0">
                  <c:v>2.6999932524322414</c:v>
                </c:pt>
                <c:pt idx="1">
                  <c:v>2.3799976169792991</c:v>
                </c:pt>
                <c:pt idx="2">
                  <c:v>2.1333346664417379</c:v>
                </c:pt>
                <c:pt idx="3">
                  <c:v>1.9600044008068553</c:v>
                </c:pt>
                <c:pt idx="4">
                  <c:v>1.8600068201285442</c:v>
                </c:pt>
                <c:pt idx="5">
                  <c:v>1.8333419243978144</c:v>
                </c:pt>
                <c:pt idx="6">
                  <c:v>1.8800097135426292</c:v>
                </c:pt>
                <c:pt idx="7">
                  <c:v>2.0000101876613159</c:v>
                </c:pt>
                <c:pt idx="8">
                  <c:v>2.1933433467091668</c:v>
                </c:pt>
                <c:pt idx="9">
                  <c:v>2.4600091906595924</c:v>
                </c:pt>
                <c:pt idx="10">
                  <c:v>2.8000077195810977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19-4A0A-8F05-D7FB743FC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160904"/>
        <c:axId val="1"/>
      </c:lineChart>
      <c:catAx>
        <c:axId val="388160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48786458731493515"/>
              <c:y val="0.9094233329529460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4563106796116505E-2"/>
              <c:y val="0.4275377534329947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160904"/>
        <c:crosses val="autoZero"/>
        <c:crossBetween val="between"/>
        <c:majorUnit val="2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0388432935320433E-2"/>
          <c:y val="0.16666725638040783"/>
          <c:w val="0.58980652425113334"/>
          <c:h val="0.163044055154746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CaO/SiO2=0,8 </a:t>
            </a:r>
          </a:p>
        </c:rich>
      </c:tx>
      <c:layout>
        <c:manualLayout>
          <c:xMode val="edge"/>
          <c:yMode val="edge"/>
          <c:x val="0.18055604160591038"/>
          <c:y val="3.6764705882352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064862433228518"/>
          <c:y val="0.27205882352941174"/>
          <c:w val="0.77083507585330735"/>
          <c:h val="0.52941176470588236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Al2O3'!$C$23:$M$23</c:f>
              <c:numCache>
                <c:formatCode>0</c:formatCode>
                <c:ptCount val="11"/>
                <c:pt idx="0">
                  <c:v>1315.6298213925363</c:v>
                </c:pt>
                <c:pt idx="1">
                  <c:v>1335.1554440094026</c:v>
                </c:pt>
                <c:pt idx="2">
                  <c:v>1346.8904207627577</c:v>
                </c:pt>
                <c:pt idx="3">
                  <c:v>1353.7719665438703</c:v>
                </c:pt>
                <c:pt idx="4">
                  <c:v>1357.1604206924642</c:v>
                </c:pt>
                <c:pt idx="5">
                  <c:v>1357.7018847640602</c:v>
                </c:pt>
                <c:pt idx="6">
                  <c:v>1355.6498367709926</c:v>
                </c:pt>
                <c:pt idx="7">
                  <c:v>1350.9445733997943</c:v>
                </c:pt>
                <c:pt idx="8">
                  <c:v>1343.1395768743516</c:v>
                </c:pt>
                <c:pt idx="9">
                  <c:v>1331.1619030685886</c:v>
                </c:pt>
                <c:pt idx="10">
                  <c:v>1312.7237765338755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CC-408B-94EA-C6F9900954ED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Al2O3'!$C$24:$M$24</c:f>
              <c:numCache>
                <c:formatCode>0</c:formatCode>
                <c:ptCount val="11"/>
                <c:pt idx="0">
                  <c:v>1421.0655362937482</c:v>
                </c:pt>
                <c:pt idx="1">
                  <c:v>1419.7256892996647</c:v>
                </c:pt>
                <c:pt idx="2">
                  <c:v>1418.7681930120168</c:v>
                </c:pt>
                <c:pt idx="3">
                  <c:v>1418.3395382386732</c:v>
                </c:pt>
                <c:pt idx="4">
                  <c:v>1418.5796328928893</c:v>
                </c:pt>
                <c:pt idx="5">
                  <c:v>1419.621540861318</c:v>
                </c:pt>
                <c:pt idx="6">
                  <c:v>1421.5934930505407</c:v>
                </c:pt>
                <c:pt idx="7">
                  <c:v>1424.6452567604038</c:v>
                </c:pt>
                <c:pt idx="8">
                  <c:v>1429.0104613357717</c:v>
                </c:pt>
                <c:pt idx="9">
                  <c:v>1435.1215051891827</c:v>
                </c:pt>
                <c:pt idx="10">
                  <c:v>1443.8471506139751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CC-408B-94EA-C6F99009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457616"/>
        <c:axId val="1"/>
      </c:lineChart>
      <c:catAx>
        <c:axId val="38845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574074074074073E-2"/>
              <c:y val="0.37867647058823528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457616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222272457032283"/>
          <c:y val="0.15441176470588236"/>
          <c:w val="0.58101983194948992"/>
          <c:h val="0.1066176470588235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CaO/SiO2=1,0 </a:t>
            </a:r>
          </a:p>
        </c:rich>
      </c:tx>
      <c:layout>
        <c:manualLayout>
          <c:xMode val="edge"/>
          <c:yMode val="edge"/>
          <c:x val="0.18202764976958524"/>
          <c:y val="3.58422939068100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59447004608296"/>
          <c:y val="0.34408722588774743"/>
          <c:w val="0.75345622119815669"/>
          <c:h val="0.4551987259139991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Al2O3'!$C$55:$M$55</c:f>
              <c:numCache>
                <c:formatCode>General</c:formatCode>
                <c:ptCount val="11"/>
                <c:pt idx="0" formatCode="0">
                  <c:v>1354.298178257797</c:v>
                </c:pt>
                <c:pt idx="1">
                  <c:v>1352.2956011084589</c:v>
                </c:pt>
                <c:pt idx="2">
                  <c:v>1349.9815732617551</c:v>
                </c:pt>
                <c:pt idx="3">
                  <c:v>1347.059599464538</c:v>
                </c:pt>
                <c:pt idx="4">
                  <c:v>1343.3311355177732</c:v>
                </c:pt>
                <c:pt idx="5">
                  <c:v>1338.7764269972533</c:v>
                </c:pt>
                <c:pt idx="6" formatCode="0">
                  <c:v>1333.6006256865878</c:v>
                </c:pt>
                <c:pt idx="7" formatCode="0">
                  <c:v>1328.2239586125786</c:v>
                </c:pt>
                <c:pt idx="8" formatCode="0">
                  <c:v>1323.2169988144119</c:v>
                </c:pt>
                <c:pt idx="9" formatCode="0">
                  <c:v>1319.1997037039589</c:v>
                </c:pt>
                <c:pt idx="10" formatCode="0">
                  <c:v>1316.7328215586019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F-45C7-AB20-C528F2C08FD3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Al2O3'!$C$56:$M$56</c:f>
              <c:numCache>
                <c:formatCode>General</c:formatCode>
                <c:ptCount val="11"/>
                <c:pt idx="0" formatCode="0">
                  <c:v>1418.6339564253115</c:v>
                </c:pt>
                <c:pt idx="1">
                  <c:v>1413.6199748848053</c:v>
                </c:pt>
                <c:pt idx="2">
                  <c:v>1409.7763272637521</c:v>
                </c:pt>
                <c:pt idx="3">
                  <c:v>1407.04040079233</c:v>
                </c:pt>
                <c:pt idx="4">
                  <c:v>1405.4011287501448</c:v>
                </c:pt>
                <c:pt idx="5">
                  <c:v>1404.952483923639</c:v>
                </c:pt>
                <c:pt idx="6" formatCode="0">
                  <c:v>1405.9212797577784</c:v>
                </c:pt>
                <c:pt idx="7" formatCode="0">
                  <c:v>1408.647714703015</c:v>
                </c:pt>
                <c:pt idx="8" formatCode="0">
                  <c:v>1413.5180982283302</c:v>
                </c:pt>
                <c:pt idx="9" formatCode="0">
                  <c:v>1420.8718335819699</c:v>
                </c:pt>
                <c:pt idx="10" formatCode="0">
                  <c:v>1430.916095589522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7F-45C7-AB20-C528F2C08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459912"/>
        <c:axId val="1"/>
      </c:lineChart>
      <c:catAx>
        <c:axId val="388459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Al2O3</a:t>
                </a:r>
              </a:p>
            </c:rich>
          </c:tx>
          <c:layout>
            <c:manualLayout>
              <c:xMode val="edge"/>
              <c:yMode val="edge"/>
              <c:x val="0.51382488479262678"/>
              <c:y val="0.896060358046641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6129032258064516E-2"/>
              <c:y val="0.422940573288554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459912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059907834101383"/>
          <c:y val="0.16845937100754302"/>
          <c:w val="0.55990783410138245"/>
          <c:h val="0.161290887134881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при CaO/SiO2=1,2 </a:t>
            </a:r>
          </a:p>
        </c:rich>
      </c:tx>
      <c:layout>
        <c:manualLayout>
          <c:xMode val="edge"/>
          <c:yMode val="edge"/>
          <c:x val="0.17183770883054891"/>
          <c:y val="3.62318840579710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945107398568018"/>
          <c:y val="0.35507372011478189"/>
          <c:w val="0.74940334128878283"/>
          <c:h val="0.43478414707932478"/>
        </c:manualLayout>
      </c:layout>
      <c:lineChart>
        <c:grouping val="standard"/>
        <c:varyColors val="0"/>
        <c:ser>
          <c:idx val="0"/>
          <c:order val="0"/>
          <c:tx>
            <c:v> 25 пуаз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Al2O3'!$C$93:$M$93</c:f>
              <c:numCache>
                <c:formatCode>0</c:formatCode>
                <c:ptCount val="11"/>
                <c:pt idx="0">
                  <c:v>1356.3072555516708</c:v>
                </c:pt>
                <c:pt idx="1">
                  <c:v>1363.4729586519736</c:v>
                </c:pt>
                <c:pt idx="2">
                  <c:v>1368.8715872495504</c:v>
                </c:pt>
                <c:pt idx="3">
                  <c:v>1372.7669138256369</c:v>
                </c:pt>
                <c:pt idx="4">
                  <c:v>1375.3211814519536</c:v>
                </c:pt>
                <c:pt idx="5">
                  <c:v>1376.6591647639257</c:v>
                </c:pt>
                <c:pt idx="6">
                  <c:v>1376.9201825012403</c:v>
                </c:pt>
                <c:pt idx="7">
                  <c:v>1376.2757772839184</c:v>
                </c:pt>
                <c:pt idx="8">
                  <c:v>1374.9088462663476</c:v>
                </c:pt>
                <c:pt idx="9">
                  <c:v>1372.9829015097384</c:v>
                </c:pt>
                <c:pt idx="10">
                  <c:v>1370.6261827778678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2-44B9-A01F-68CDBB964BDA}"/>
            </c:ext>
          </c:extLst>
        </c:ser>
        <c:ser>
          <c:idx val="1"/>
          <c:order val="1"/>
          <c:tx>
            <c:v>7 пуаз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Al2O3'!$C$94:$M$94</c:f>
              <c:numCache>
                <c:formatCode>0</c:formatCode>
                <c:ptCount val="11"/>
                <c:pt idx="0">
                  <c:v>1417.8147755007533</c:v>
                </c:pt>
                <c:pt idx="1">
                  <c:v>1415.861351014657</c:v>
                </c:pt>
                <c:pt idx="2">
                  <c:v>1414.4964889600296</c:v>
                </c:pt>
                <c:pt idx="3">
                  <c:v>1413.6817702535641</c:v>
                </c:pt>
                <c:pt idx="4">
                  <c:v>1413.4415255709432</c:v>
                </c:pt>
                <c:pt idx="5">
                  <c:v>1413.8386813776042</c:v>
                </c:pt>
                <c:pt idx="6">
                  <c:v>1414.9464170259689</c:v>
                </c:pt>
                <c:pt idx="7">
                  <c:v>1416.8287979006204</c:v>
                </c:pt>
                <c:pt idx="8">
                  <c:v>1419.5426638032582</c:v>
                </c:pt>
                <c:pt idx="9">
                  <c:v>1423.1536286683154</c:v>
                </c:pt>
                <c:pt idx="10">
                  <c:v>1427.7518611558125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2-44B9-A01F-68CDBB964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446240"/>
        <c:axId val="1"/>
      </c:lineChart>
      <c:catAx>
        <c:axId val="388446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en-US"/>
                  <a:t>Ai2O3</a:t>
                </a:r>
              </a:p>
            </c:rich>
          </c:tx>
          <c:layout>
            <c:manualLayout>
              <c:xMode val="edge"/>
              <c:yMode val="edge"/>
              <c:x val="0.50357995226730312"/>
              <c:y val="0.887684202518163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0"/>
          <c:min val="12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6706443914081145E-2"/>
              <c:y val="0.4239145650271977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446240"/>
        <c:crosses val="autoZero"/>
        <c:crossBetween val="between"/>
        <c:majorUnit val="5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252983293556"/>
          <c:y val="0.18116006128305198"/>
          <c:w val="0.57995226730310268"/>
          <c:h val="0.16304405515474679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7-25 пуаз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Al2O3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 sz="850" b="1" i="0" u="none" strike="noStrike" baseline="0">
              <a:solidFill>
                <a:srgbClr val="000000"/>
              </a:solidFill>
              <a:latin typeface="Arial Cyr"/>
              <a:cs typeface="Arial Cyr"/>
            </a:endParaRPr>
          </a:p>
        </c:rich>
      </c:tx>
      <c:layout>
        <c:manualLayout>
          <c:xMode val="edge"/>
          <c:yMode val="edge"/>
          <c:x val="0.22528783902012248"/>
          <c:y val="1.85185185185185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63248839908496"/>
          <c:y val="0.31481595347205393"/>
          <c:w val="0.83678348775028677"/>
          <c:h val="0.56666871624969706"/>
        </c:manualLayout>
      </c:layout>
      <c:lineChart>
        <c:grouping val="standard"/>
        <c:varyColors val="0"/>
        <c:ser>
          <c:idx val="0"/>
          <c:order val="0"/>
          <c:tx>
            <c:v> MgO=10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Al2O3'!$C$25:$M$25</c:f>
              <c:numCache>
                <c:formatCode>General</c:formatCode>
                <c:ptCount val="11"/>
                <c:pt idx="0">
                  <c:v>0.17072013991525661</c:v>
                </c:pt>
                <c:pt idx="1">
                  <c:v>0.21284081580017136</c:v>
                </c:pt>
                <c:pt idx="2">
                  <c:v>0.25042512360537905</c:v>
                </c:pt>
                <c:pt idx="3">
                  <c:v>0.27877771344851199</c:v>
                </c:pt>
                <c:pt idx="4">
                  <c:v>0.29306790750200157</c:v>
                </c:pt>
                <c:pt idx="5">
                  <c:v>0.29069928895805297</c:v>
                </c:pt>
                <c:pt idx="6">
                  <c:v>0.27296029694948154</c:v>
                </c:pt>
                <c:pt idx="7">
                  <c:v>0.24423111400375969</c:v>
                </c:pt>
                <c:pt idx="8">
                  <c:v>0.20961703274509791</c:v>
                </c:pt>
                <c:pt idx="9">
                  <c:v>0.17314417940076213</c:v>
                </c:pt>
                <c:pt idx="10">
                  <c:v>0.13727529608111133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C-42CF-99C7-0B4DD789AC47}"/>
            </c:ext>
          </c:extLst>
        </c:ser>
        <c:ser>
          <c:idx val="1"/>
          <c:order val="1"/>
          <c:tx>
            <c:v>MgO=10;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Al2O3'!$C$57:$M$57</c:f>
              <c:numCache>
                <c:formatCode>General</c:formatCode>
                <c:ptCount val="11"/>
                <c:pt idx="0">
                  <c:v>0.27978211366515909</c:v>
                </c:pt>
                <c:pt idx="1">
                  <c:v>0.29352113835922816</c:v>
                </c:pt>
                <c:pt idx="2">
                  <c:v>0.30102975253312075</c:v>
                </c:pt>
                <c:pt idx="3">
                  <c:v>0.30009602408662245</c:v>
                </c:pt>
                <c:pt idx="4">
                  <c:v>0.28999519836603393</c:v>
                </c:pt>
                <c:pt idx="5">
                  <c:v>0.27200170025275511</c:v>
                </c:pt>
                <c:pt idx="6">
                  <c:v>0.24889155430316307</c:v>
                </c:pt>
                <c:pt idx="7">
                  <c:v>0.22381446571283017</c:v>
                </c:pt>
                <c:pt idx="8">
                  <c:v>0.19933312126680058</c:v>
                </c:pt>
                <c:pt idx="9">
                  <c:v>0.17703966683492214</c:v>
                </c:pt>
                <c:pt idx="10">
                  <c:v>0.15764130213261987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3C-42CF-99C7-0B4DD789AC47}"/>
            </c:ext>
          </c:extLst>
        </c:ser>
        <c:ser>
          <c:idx val="2"/>
          <c:order val="2"/>
          <c:tx>
            <c:v>MgO=10;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Lit>
              <c:formatCode>General</c:formatCode>
              <c:ptCount val="16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</c:numLit>
          </c:cat>
          <c:val>
            <c:numRef>
              <c:f>'Влияние Al2O3'!$C$95:$M$95</c:f>
              <c:numCache>
                <c:formatCode>General</c:formatCode>
                <c:ptCount val="11"/>
                <c:pt idx="0">
                  <c:v>0.29264714322575286</c:v>
                </c:pt>
                <c:pt idx="1">
                  <c:v>0.34358756182832462</c:v>
                </c:pt>
                <c:pt idx="2">
                  <c:v>0.39452139785904961</c:v>
                </c:pt>
                <c:pt idx="3">
                  <c:v>0.43993799738018369</c:v>
                </c:pt>
                <c:pt idx="4">
                  <c:v>0.47218881193240159</c:v>
                </c:pt>
                <c:pt idx="5">
                  <c:v>0.4841375477533163</c:v>
                </c:pt>
                <c:pt idx="6">
                  <c:v>0.47335741298009781</c:v>
                </c:pt>
                <c:pt idx="7">
                  <c:v>0.44386336026931061</c:v>
                </c:pt>
                <c:pt idx="8">
                  <c:v>0.40328165936320931</c:v>
                </c:pt>
                <c:pt idx="9">
                  <c:v>0.35877494745305499</c:v>
                </c:pt>
                <c:pt idx="10">
                  <c:v>0.31509472641903019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3C-42CF-99C7-0B4DD789A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35792"/>
        <c:axId val="1"/>
      </c:lineChart>
      <c:catAx>
        <c:axId val="38873579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0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1.6091954022988506E-2"/>
              <c:y val="0.3962978516574317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735792"/>
        <c:crosses val="autoZero"/>
        <c:crossBetween val="between"/>
        <c:majorUnit val="0.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15862104575486205"/>
          <c:y val="0.16296355238553381"/>
          <c:w val="0.77241552715411088"/>
          <c:h val="0.1074077958904654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градиента вязкости 1400-1500 C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5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от изменения  Al2O3</a:t>
            </a:r>
          </a:p>
        </c:rich>
      </c:tx>
      <c:layout>
        <c:manualLayout>
          <c:xMode val="edge"/>
          <c:yMode val="edge"/>
          <c:x val="0.20871583712586383"/>
          <c:y val="1.83150183150183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13779961855785"/>
          <c:y val="0.31501944189074621"/>
          <c:w val="0.79128528983892299"/>
          <c:h val="0.56410458199040603"/>
        </c:manualLayout>
      </c:layout>
      <c:lineChart>
        <c:grouping val="standard"/>
        <c:varyColors val="0"/>
        <c:ser>
          <c:idx val="0"/>
          <c:order val="0"/>
          <c:tx>
            <c:v> MgO=10 и CaO/SiO2=0,8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Al2O3'!$C$26:$M$26</c:f>
              <c:numCache>
                <c:formatCode>General</c:formatCode>
                <c:ptCount val="11"/>
                <c:pt idx="0">
                  <c:v>4.7999984665649347</c:v>
                </c:pt>
                <c:pt idx="1">
                  <c:v>5.5771431671375735</c:v>
                </c:pt>
                <c:pt idx="2">
                  <c:v>6.1904778753193961</c:v>
                </c:pt>
                <c:pt idx="3">
                  <c:v>6.6400025910971348</c:v>
                </c:pt>
                <c:pt idx="4">
                  <c:v>6.9257173144729514</c:v>
                </c:pt>
                <c:pt idx="5">
                  <c:v>7.0476220454504741</c:v>
                </c:pt>
                <c:pt idx="6">
                  <c:v>7.0057167840274737</c:v>
                </c:pt>
                <c:pt idx="7">
                  <c:v>6.8000015302047867</c:v>
                </c:pt>
                <c:pt idx="8">
                  <c:v>6.43047628397919</c:v>
                </c:pt>
                <c:pt idx="9" formatCode="0.00">
                  <c:v>5.897141045355494</c:v>
                </c:pt>
                <c:pt idx="10">
                  <c:v>5.1999958143374716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58-479A-A2CB-1D8F27022089}"/>
            </c:ext>
          </c:extLst>
        </c:ser>
        <c:ser>
          <c:idx val="1"/>
          <c:order val="1"/>
          <c:tx>
            <c:v>MgO=10; 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Al2O3'!$C$58:$M$58</c:f>
              <c:numCache>
                <c:formatCode>General</c:formatCode>
                <c:ptCount val="11"/>
                <c:pt idx="0">
                  <c:v>6.6999748078544128</c:v>
                </c:pt>
                <c:pt idx="1">
                  <c:v>6.2057193619135456</c:v>
                </c:pt>
                <c:pt idx="2">
                  <c:v>5.7857419372548229</c:v>
                </c:pt>
                <c:pt idx="3">
                  <c:v>5.4400425338783247</c:v>
                </c:pt>
                <c:pt idx="4">
                  <c:v>5.1686211517839471</c:v>
                </c:pt>
                <c:pt idx="5">
                  <c:v>4.9714777909717425</c:v>
                </c:pt>
                <c:pt idx="6">
                  <c:v>4.8486124514417153</c:v>
                </c:pt>
                <c:pt idx="7">
                  <c:v>4.8000251331938033</c:v>
                </c:pt>
                <c:pt idx="8">
                  <c:v>4.825715836228067</c:v>
                </c:pt>
                <c:pt idx="9">
                  <c:v>4.9256845605445001</c:v>
                </c:pt>
                <c:pt idx="10">
                  <c:v>5.0999313061430716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58-479A-A2CB-1D8F27022089}"/>
            </c:ext>
          </c:extLst>
        </c:ser>
        <c:ser>
          <c:idx val="2"/>
          <c:order val="2"/>
          <c:tx>
            <c:v>MgO=10; 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'Влияние Al2O3'!$C$8:$M$8</c:f>
              <c:numCache>
                <c:formatCode>General</c:formatCode>
                <c:ptCount val="11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</c:numCache>
            </c:numRef>
          </c:cat>
          <c:val>
            <c:numRef>
              <c:f>'Влияние Al2O3'!$C$96:$M$96</c:f>
              <c:numCache>
                <c:formatCode>General</c:formatCode>
                <c:ptCount val="11"/>
                <c:pt idx="0">
                  <c:v>6.8000062102219321</c:v>
                </c:pt>
                <c:pt idx="1">
                  <c:v>7.262855893574395</c:v>
                </c:pt>
                <c:pt idx="2">
                  <c:v>7.6761836632139397</c:v>
                </c:pt>
                <c:pt idx="3">
                  <c:v>8.0399895191332789</c:v>
                </c:pt>
                <c:pt idx="4">
                  <c:v>8.3542734613254268</c:v>
                </c:pt>
                <c:pt idx="5">
                  <c:v>8.6190354897777368</c:v>
                </c:pt>
                <c:pt idx="6">
                  <c:v>8.8342756045343211</c:v>
                </c:pt>
                <c:pt idx="7">
                  <c:v>8.999993805533089</c:v>
                </c:pt>
                <c:pt idx="8">
                  <c:v>9.1161900928184227</c:v>
                </c:pt>
                <c:pt idx="9">
                  <c:v>9.1828644664061727</c:v>
                </c:pt>
                <c:pt idx="10">
                  <c:v>9.2000169262109779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58-479A-A2CB-1D8F27022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738088"/>
        <c:axId val="1"/>
      </c:lineChart>
      <c:catAx>
        <c:axId val="38873808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At val="0"/>
        <c:auto val="1"/>
        <c:lblAlgn val="ctr"/>
        <c:lblOffset val="0"/>
        <c:tickLblSkip val="1"/>
        <c:tickMarkSkip val="1"/>
        <c:noMultiLvlLbl val="0"/>
      </c:catAx>
      <c:valAx>
        <c:axId val="1"/>
        <c:scaling>
          <c:orientation val="minMax"/>
          <c:max val="10"/>
          <c:min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Градиент вязкости</a:t>
                </a:r>
              </a:p>
            </c:rich>
          </c:tx>
          <c:layout>
            <c:manualLayout>
              <c:xMode val="edge"/>
              <c:yMode val="edge"/>
              <c:x val="3.2110091743119268E-2"/>
              <c:y val="0.3992689375366541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738088"/>
        <c:crosses val="autoZero"/>
        <c:crossBetween val="between"/>
        <c:majorUnit val="1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73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</c:legendEntry>
      <c:layout>
        <c:manualLayout>
          <c:xMode val="edge"/>
          <c:yMode val="edge"/>
          <c:x val="0.14449557466623811"/>
          <c:y val="0.17216178801005899"/>
          <c:w val="0.77064306488660328"/>
          <c:h val="0.10622748621897257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25 пуаз  от содержания  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 </a:t>
            </a:r>
          </a:p>
        </c:rich>
      </c:tx>
      <c:layout>
        <c:manualLayout>
          <c:xMode val="edge"/>
          <c:yMode val="edge"/>
          <c:x val="0.18493198624144586"/>
          <c:y val="3.77358490566037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11904724744768"/>
          <c:y val="0.28679298126654862"/>
          <c:w val="0.83561830144634131"/>
          <c:h val="0.5245292683690823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Al2O3'!$C$23:$M$23</c:f>
              <c:numCache>
                <c:formatCode>0</c:formatCode>
                <c:ptCount val="11"/>
                <c:pt idx="0">
                  <c:v>1315.6298213925363</c:v>
                </c:pt>
                <c:pt idx="1">
                  <c:v>1335.1554440094026</c:v>
                </c:pt>
                <c:pt idx="2">
                  <c:v>1346.8904207627577</c:v>
                </c:pt>
                <c:pt idx="3">
                  <c:v>1353.7719665438703</c:v>
                </c:pt>
                <c:pt idx="4">
                  <c:v>1357.1604206924642</c:v>
                </c:pt>
                <c:pt idx="5">
                  <c:v>1357.7018847640602</c:v>
                </c:pt>
                <c:pt idx="6">
                  <c:v>1355.6498367709926</c:v>
                </c:pt>
                <c:pt idx="7">
                  <c:v>1350.9445733997943</c:v>
                </c:pt>
                <c:pt idx="8">
                  <c:v>1343.1395768743516</c:v>
                </c:pt>
                <c:pt idx="9">
                  <c:v>1331.1619030685886</c:v>
                </c:pt>
                <c:pt idx="10">
                  <c:v>1312.7237765338755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92-44B7-B7F6-F0747955FAF4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Al2O3'!$C$55:$M$55</c:f>
              <c:numCache>
                <c:formatCode>General</c:formatCode>
                <c:ptCount val="11"/>
                <c:pt idx="0" formatCode="0">
                  <c:v>1354.298178257797</c:v>
                </c:pt>
                <c:pt idx="1">
                  <c:v>1352.2956011084589</c:v>
                </c:pt>
                <c:pt idx="2">
                  <c:v>1349.9815732617551</c:v>
                </c:pt>
                <c:pt idx="3">
                  <c:v>1347.059599464538</c:v>
                </c:pt>
                <c:pt idx="4">
                  <c:v>1343.3311355177732</c:v>
                </c:pt>
                <c:pt idx="5">
                  <c:v>1338.7764269972533</c:v>
                </c:pt>
                <c:pt idx="6" formatCode="0">
                  <c:v>1333.6006256865878</c:v>
                </c:pt>
                <c:pt idx="7" formatCode="0">
                  <c:v>1328.2239586125786</c:v>
                </c:pt>
                <c:pt idx="8" formatCode="0">
                  <c:v>1323.2169988144119</c:v>
                </c:pt>
                <c:pt idx="9" formatCode="0">
                  <c:v>1319.1997037039589</c:v>
                </c:pt>
                <c:pt idx="10" formatCode="0">
                  <c:v>1316.7328215586019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92-44B7-B7F6-F0747955FAF4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Al2O3'!$C$93:$M$93</c:f>
              <c:numCache>
                <c:formatCode>0</c:formatCode>
                <c:ptCount val="11"/>
                <c:pt idx="0">
                  <c:v>1356.3072555516708</c:v>
                </c:pt>
                <c:pt idx="1">
                  <c:v>1363.4729586519736</c:v>
                </c:pt>
                <c:pt idx="2">
                  <c:v>1368.8715872495504</c:v>
                </c:pt>
                <c:pt idx="3">
                  <c:v>1372.7669138256369</c:v>
                </c:pt>
                <c:pt idx="4">
                  <c:v>1375.3211814519536</c:v>
                </c:pt>
                <c:pt idx="5">
                  <c:v>1376.6591647639257</c:v>
                </c:pt>
                <c:pt idx="6">
                  <c:v>1376.9201825012403</c:v>
                </c:pt>
                <c:pt idx="7">
                  <c:v>1376.2757772839184</c:v>
                </c:pt>
                <c:pt idx="8">
                  <c:v>1374.9088462663476</c:v>
                </c:pt>
                <c:pt idx="9">
                  <c:v>1372.9829015097384</c:v>
                </c:pt>
                <c:pt idx="10">
                  <c:v>1370.6261827778678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2-44B7-B7F6-F0747955F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89736"/>
        <c:axId val="1"/>
      </c:lineChart>
      <c:catAx>
        <c:axId val="38888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  <c:min val="13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415525114155251E-2"/>
              <c:y val="0.392453622542465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889736"/>
        <c:crosses val="autoZero"/>
        <c:crossBetween val="between"/>
        <c:majorUnit val="2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17857087117149"/>
          <c:y val="0.20000036851482997"/>
          <c:w val="0.57306063842358379"/>
          <c:h val="0.113207755763111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Зависимость температуры шлака при  7 пуаз  от содержания </a:t>
            </a:r>
          </a:p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 sz="800" b="1" i="0" u="none" strike="noStrike" baseline="0">
                <a:solidFill>
                  <a:srgbClr val="000000"/>
                </a:solidFill>
                <a:latin typeface="Arial Cyr"/>
                <a:cs typeface="Arial Cyr"/>
              </a:rPr>
              <a:t>  Al2O3 при MgO=10,0   </a:t>
            </a:r>
          </a:p>
        </c:rich>
      </c:tx>
      <c:layout>
        <c:manualLayout>
          <c:xMode val="edge"/>
          <c:yMode val="edge"/>
          <c:x val="0.12471679135346175"/>
          <c:y val="1.930501930501930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3926166396875"/>
          <c:y val="0.2355216795398459"/>
          <c:w val="0.83446896805238457"/>
          <c:h val="0.56756863757962861"/>
        </c:manualLayout>
      </c:layout>
      <c:lineChart>
        <c:grouping val="standard"/>
        <c:varyColors val="0"/>
        <c:ser>
          <c:idx val="0"/>
          <c:order val="0"/>
          <c:tx>
            <c:v> CaO/SiO=0,8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Al2O3'!$C$24:$M$24</c:f>
              <c:numCache>
                <c:formatCode>0</c:formatCode>
                <c:ptCount val="11"/>
                <c:pt idx="0">
                  <c:v>1421.0655362937482</c:v>
                </c:pt>
                <c:pt idx="1">
                  <c:v>1419.7256892996647</c:v>
                </c:pt>
                <c:pt idx="2">
                  <c:v>1418.7681930120168</c:v>
                </c:pt>
                <c:pt idx="3">
                  <c:v>1418.3395382386732</c:v>
                </c:pt>
                <c:pt idx="4">
                  <c:v>1418.5796328928893</c:v>
                </c:pt>
                <c:pt idx="5">
                  <c:v>1419.621540861318</c:v>
                </c:pt>
                <c:pt idx="6">
                  <c:v>1421.5934930505407</c:v>
                </c:pt>
                <c:pt idx="7">
                  <c:v>1424.6452567604038</c:v>
                </c:pt>
                <c:pt idx="8">
                  <c:v>1429.0104613357717</c:v>
                </c:pt>
                <c:pt idx="9">
                  <c:v>1435.1215051891827</c:v>
                </c:pt>
                <c:pt idx="10">
                  <c:v>1443.8471506139751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E-42FB-9911-D5534F35C56A}"/>
            </c:ext>
          </c:extLst>
        </c:ser>
        <c:ser>
          <c:idx val="1"/>
          <c:order val="1"/>
          <c:tx>
            <c:v>CaO/SiO2=1,0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Lit>
              <c:formatCode>General</c:formatCode>
              <c:ptCount val="11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</c:numLit>
          </c:cat>
          <c:val>
            <c:numRef>
              <c:f>'Влияние Al2O3'!$C$56:$M$56</c:f>
              <c:numCache>
                <c:formatCode>General</c:formatCode>
                <c:ptCount val="11"/>
                <c:pt idx="0" formatCode="0">
                  <c:v>1418.6339564253115</c:v>
                </c:pt>
                <c:pt idx="1">
                  <c:v>1413.6199748848053</c:v>
                </c:pt>
                <c:pt idx="2">
                  <c:v>1409.7763272637521</c:v>
                </c:pt>
                <c:pt idx="3">
                  <c:v>1407.04040079233</c:v>
                </c:pt>
                <c:pt idx="4">
                  <c:v>1405.4011287501448</c:v>
                </c:pt>
                <c:pt idx="5">
                  <c:v>1404.952483923639</c:v>
                </c:pt>
                <c:pt idx="6" formatCode="0">
                  <c:v>1405.9212797577784</c:v>
                </c:pt>
                <c:pt idx="7" formatCode="0">
                  <c:v>1408.647714703015</c:v>
                </c:pt>
                <c:pt idx="8" formatCode="0">
                  <c:v>1413.5180982283302</c:v>
                </c:pt>
                <c:pt idx="9" formatCode="0">
                  <c:v>1420.8718335819699</c:v>
                </c:pt>
                <c:pt idx="10" formatCode="0">
                  <c:v>1430.916095589522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1E-42FB-9911-D5534F35C56A}"/>
            </c:ext>
          </c:extLst>
        </c:ser>
        <c:ser>
          <c:idx val="2"/>
          <c:order val="2"/>
          <c:tx>
            <c:v>CaO/SiO2=1,2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Ref>
              <c:f>'Влияние Al2O3'!$C$94:$M$94</c:f>
              <c:numCache>
                <c:formatCode>0</c:formatCode>
                <c:ptCount val="11"/>
                <c:pt idx="0">
                  <c:v>1417.8147755007533</c:v>
                </c:pt>
                <c:pt idx="1">
                  <c:v>1415.861351014657</c:v>
                </c:pt>
                <c:pt idx="2">
                  <c:v>1414.4964889600296</c:v>
                </c:pt>
                <c:pt idx="3">
                  <c:v>1413.6817702535641</c:v>
                </c:pt>
                <c:pt idx="4">
                  <c:v>1413.4415255709432</c:v>
                </c:pt>
                <c:pt idx="5">
                  <c:v>1413.8386813776042</c:v>
                </c:pt>
                <c:pt idx="6">
                  <c:v>1414.9464170259689</c:v>
                </c:pt>
                <c:pt idx="7">
                  <c:v>1416.8287979006204</c:v>
                </c:pt>
                <c:pt idx="8">
                  <c:v>1419.5426638032582</c:v>
                </c:pt>
                <c:pt idx="9">
                  <c:v>1423.1536286683154</c:v>
                </c:pt>
                <c:pt idx="10">
                  <c:v>1427.7518611558125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1E-42FB-9911-D5534F35C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92032"/>
        <c:axId val="1"/>
      </c:lineChart>
      <c:catAx>
        <c:axId val="38889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50"/>
          <c:min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Вязкость, пуаз</a:t>
                </a:r>
              </a:p>
            </c:rich>
          </c:tx>
          <c:layout>
            <c:manualLayout>
              <c:xMode val="edge"/>
              <c:yMode val="edge"/>
              <c:x val="1.1337868480725623E-2"/>
              <c:y val="0.35907416978283119"/>
            </c:manualLayout>
          </c:layout>
          <c:overlay val="0"/>
          <c:spPr>
            <a:noFill/>
            <a:ln w="25400">
              <a:noFill/>
            </a:ln>
          </c:spPr>
        </c:title>
        <c:numFmt formatCode="\О\с\н\о\в\н\о\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388892032"/>
        <c:crosses val="autoZero"/>
        <c:crossBetween val="between"/>
        <c:majorUnit val="10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2222271431829807"/>
          <c:y val="0.15444044559989895"/>
          <c:w val="0.56916225810094712"/>
          <c:h val="0.1158303341999242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G$22" fmlaRange="$G$23:$G$27" noThreeD="1" sel="1" val="0"/>
</file>

<file path=xl/ctrlProps/ctrlProp3.xml><?xml version="1.0" encoding="utf-8"?>
<formControlPr xmlns="http://schemas.microsoft.com/office/spreadsheetml/2009/9/main" objectType="CheckBox" fmlaLink="$G$17" lockText="1" noThreeD="1"/>
</file>

<file path=xl/ctrlProps/ctrlProp4.xml><?xml version="1.0" encoding="utf-8"?>
<formControlPr xmlns="http://schemas.microsoft.com/office/spreadsheetml/2009/9/main" objectType="CheckBox" fmlaLink="$G$18" lockText="1" noThreeD="1"/>
</file>

<file path=xl/ctrlProps/ctrlProp5.xml><?xml version="1.0" encoding="utf-8"?>
<formControlPr xmlns="http://schemas.microsoft.com/office/spreadsheetml/2009/9/main" objectType="CheckBox" fmlaLink="$G$19" lockText="1" noThreeD="1"/>
</file>

<file path=xl/ctrlProps/ctrlProp6.xml><?xml version="1.0" encoding="utf-8"?>
<formControlPr xmlns="http://schemas.microsoft.com/office/spreadsheetml/2009/9/main" objectType="CheckBox" fmlaLink="$G$20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2" fmlaLink="$G$33" fmlaRange="$G$34:$G$37" noThreeD="1" sel="3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22" fmlaLink="$G$22" fmlaRange="$G$23:$G$27" noThreeD="1" sel="1" val="0"/>
</file>

<file path=xl/ctrlProps/ctrlProp13.xml><?xml version="1.0" encoding="utf-8"?>
<formControlPr xmlns="http://schemas.microsoft.com/office/spreadsheetml/2009/9/main" objectType="CheckBox" fmlaLink="$G$17" lockText="1" noThreeD="1"/>
</file>

<file path=xl/ctrlProps/ctrlProp14.xml><?xml version="1.0" encoding="utf-8"?>
<formControlPr xmlns="http://schemas.microsoft.com/office/spreadsheetml/2009/9/main" objectType="CheckBox" fmlaLink="$G$18" lockText="1" noThreeD="1"/>
</file>

<file path=xl/ctrlProps/ctrlProp15.xml><?xml version="1.0" encoding="utf-8"?>
<formControlPr xmlns="http://schemas.microsoft.com/office/spreadsheetml/2009/9/main" objectType="CheckBox" fmlaLink="$G$19" lockText="1" noThreeD="1"/>
</file>

<file path=xl/ctrlProps/ctrlProp16.xml><?xml version="1.0" encoding="utf-8"?>
<formControlPr xmlns="http://schemas.microsoft.com/office/spreadsheetml/2009/9/main" objectType="CheckBox" fmlaLink="$G$20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22" fmlaLink="$G$33" fmlaRange="$G$34:$G$37" noThreeD="1" sel="1" val="0"/>
</file>

<file path=xl/ctrlProps/ctrlProp20.xml><?xml version="1.0" encoding="utf-8"?>
<formControlPr xmlns="http://schemas.microsoft.com/office/spreadsheetml/2009/9/main" objectType="CheckBox" fmlaLink="$G$21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21</xdr:row>
          <xdr:rowOff>114300</xdr:rowOff>
        </xdr:from>
        <xdr:to>
          <xdr:col>5</xdr:col>
          <xdr:colOff>2000250</xdr:colOff>
          <xdr:row>24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расхода флюсов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20</xdr:row>
          <xdr:rowOff>180975</xdr:rowOff>
        </xdr:from>
        <xdr:to>
          <xdr:col>4</xdr:col>
          <xdr:colOff>533400</xdr:colOff>
          <xdr:row>22</xdr:row>
          <xdr:rowOff>28575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19050</xdr:rowOff>
        </xdr:from>
        <xdr:to>
          <xdr:col>5</xdr:col>
          <xdr:colOff>2095500</xdr:colOff>
          <xdr:row>16</xdr:row>
          <xdr:rowOff>238125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19050</xdr:rowOff>
        </xdr:from>
        <xdr:to>
          <xdr:col>5</xdr:col>
          <xdr:colOff>3352800</xdr:colOff>
          <xdr:row>17</xdr:row>
          <xdr:rowOff>238125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Основность конечного шлака, CaO/SiO2 (диапазон или задано)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5</xdr:col>
          <xdr:colOff>2295525</xdr:colOff>
          <xdr:row>18</xdr:row>
          <xdr:rowOff>219075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1450 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9525</xdr:rowOff>
        </xdr:from>
        <xdr:to>
          <xdr:col>5</xdr:col>
          <xdr:colOff>2362200</xdr:colOff>
          <xdr:row>19</xdr:row>
          <xdr:rowOff>228600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Градиент вязкости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15</xdr:row>
          <xdr:rowOff>266700</xdr:rowOff>
        </xdr:from>
        <xdr:to>
          <xdr:col>13</xdr:col>
          <xdr:colOff>361950</xdr:colOff>
          <xdr:row>16</xdr:row>
          <xdr:rowOff>209550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17</xdr:row>
          <xdr:rowOff>104775</xdr:rowOff>
        </xdr:from>
        <xdr:to>
          <xdr:col>13</xdr:col>
          <xdr:colOff>361950</xdr:colOff>
          <xdr:row>18</xdr:row>
          <xdr:rowOff>180975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142875</xdr:rowOff>
        </xdr:from>
        <xdr:to>
          <xdr:col>4</xdr:col>
          <xdr:colOff>533400</xdr:colOff>
          <xdr:row>24</xdr:row>
          <xdr:rowOff>28575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323850</xdr:colOff>
          <xdr:row>2</xdr:row>
          <xdr:rowOff>85725</xdr:rowOff>
        </xdr:from>
        <xdr:to>
          <xdr:col>5</xdr:col>
          <xdr:colOff>1857375</xdr:colOff>
          <xdr:row>4</xdr:row>
          <xdr:rowOff>28575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23</xdr:row>
          <xdr:rowOff>142875</xdr:rowOff>
        </xdr:from>
        <xdr:to>
          <xdr:col>5</xdr:col>
          <xdr:colOff>2381250</xdr:colOff>
          <xdr:row>26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соотношения ЖРМ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142875</xdr:rowOff>
        </xdr:from>
        <xdr:to>
          <xdr:col>4</xdr:col>
          <xdr:colOff>476250</xdr:colOff>
          <xdr:row>24</xdr:row>
          <xdr:rowOff>38100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19050</xdr:rowOff>
        </xdr:from>
        <xdr:to>
          <xdr:col>5</xdr:col>
          <xdr:colOff>3267075</xdr:colOff>
          <xdr:row>16</xdr:row>
          <xdr:rowOff>238125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температуре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19050</xdr:rowOff>
        </xdr:from>
        <xdr:to>
          <xdr:col>6</xdr:col>
          <xdr:colOff>295275</xdr:colOff>
          <xdr:row>17</xdr:row>
          <xdr:rowOff>238125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Основность конечного шлака, CaO/SiO2 (диапазон или задано)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5</xdr:col>
          <xdr:colOff>2295525</xdr:colOff>
          <xdr:row>18</xdr:row>
          <xdr:rowOff>219075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Вязкость конечного шлака при 1450 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9525</xdr:rowOff>
        </xdr:from>
        <xdr:to>
          <xdr:col>5</xdr:col>
          <xdr:colOff>2362200</xdr:colOff>
          <xdr:row>19</xdr:row>
          <xdr:rowOff>228600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Градиент вязкости конечного шлака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15</xdr:row>
          <xdr:rowOff>342900</xdr:rowOff>
        </xdr:from>
        <xdr:to>
          <xdr:col>13</xdr:col>
          <xdr:colOff>266700</xdr:colOff>
          <xdr:row>16</xdr:row>
          <xdr:rowOff>190500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17</xdr:row>
          <xdr:rowOff>47625</xdr:rowOff>
        </xdr:from>
        <xdr:to>
          <xdr:col>13</xdr:col>
          <xdr:colOff>266700</xdr:colOff>
          <xdr:row>18</xdr:row>
          <xdr:rowOff>76200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0</xdr:rowOff>
        </xdr:from>
        <xdr:to>
          <xdr:col>4</xdr:col>
          <xdr:colOff>542925</xdr:colOff>
          <xdr:row>26</xdr:row>
          <xdr:rowOff>47625</xdr:rowOff>
        </xdr:to>
        <xdr:sp macro="" textlink="">
          <xdr:nvSpPr>
            <xdr:cNvPr id="6153" name="Drop Dow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9525</xdr:rowOff>
        </xdr:from>
        <xdr:to>
          <xdr:col>6</xdr:col>
          <xdr:colOff>152400</xdr:colOff>
          <xdr:row>21</xdr:row>
          <xdr:rowOff>19050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Доля агломерата ММК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3</xdr:row>
          <xdr:rowOff>295275</xdr:rowOff>
        </xdr:from>
        <xdr:to>
          <xdr:col>5</xdr:col>
          <xdr:colOff>1285875</xdr:colOff>
          <xdr:row>6</xdr:row>
          <xdr:rowOff>76200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13</xdr:row>
          <xdr:rowOff>19050</xdr:rowOff>
        </xdr:from>
        <xdr:to>
          <xdr:col>7</xdr:col>
          <xdr:colOff>314325</xdr:colOff>
          <xdr:row>14</xdr:row>
          <xdr:rowOff>200025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16</xdr:row>
          <xdr:rowOff>200025</xdr:rowOff>
        </xdr:from>
        <xdr:to>
          <xdr:col>8</xdr:col>
          <xdr:colOff>657225</xdr:colOff>
          <xdr:row>19</xdr:row>
          <xdr:rowOff>57150</xdr:rowOff>
        </xdr:to>
        <xdr:sp macro="" textlink="">
          <xdr:nvSpPr>
            <xdr:cNvPr id="12313" name="Button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основности агломерата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25</xdr:row>
          <xdr:rowOff>66675</xdr:rowOff>
        </xdr:from>
        <xdr:to>
          <xdr:col>10</xdr:col>
          <xdr:colOff>104775</xdr:colOff>
          <xdr:row>28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Проект как база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66</xdr:row>
      <xdr:rowOff>104775</xdr:rowOff>
    </xdr:from>
    <xdr:to>
      <xdr:col>4</xdr:col>
      <xdr:colOff>390525</xdr:colOff>
      <xdr:row>82</xdr:row>
      <xdr:rowOff>66675</xdr:rowOff>
    </xdr:to>
    <xdr:graphicFrame macro="">
      <xdr:nvGraphicFramePr>
        <xdr:cNvPr id="7225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371475</xdr:colOff>
      <xdr:row>0</xdr:row>
      <xdr:rowOff>66675</xdr:rowOff>
    </xdr:from>
    <xdr:to>
      <xdr:col>17</xdr:col>
      <xdr:colOff>28575</xdr:colOff>
      <xdr:row>16</xdr:row>
      <xdr:rowOff>0</xdr:rowOff>
    </xdr:to>
    <xdr:graphicFrame macro="">
      <xdr:nvGraphicFramePr>
        <xdr:cNvPr id="7226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352425</xdr:colOff>
      <xdr:row>16</xdr:row>
      <xdr:rowOff>28575</xdr:rowOff>
    </xdr:from>
    <xdr:to>
      <xdr:col>17</xdr:col>
      <xdr:colOff>28575</xdr:colOff>
      <xdr:row>32</xdr:row>
      <xdr:rowOff>95250</xdr:rowOff>
    </xdr:to>
    <xdr:graphicFrame macro="">
      <xdr:nvGraphicFramePr>
        <xdr:cNvPr id="7227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180975</xdr:colOff>
      <xdr:row>0</xdr:row>
      <xdr:rowOff>76200</xdr:rowOff>
    </xdr:from>
    <xdr:to>
      <xdr:col>23</xdr:col>
      <xdr:colOff>409575</xdr:colOff>
      <xdr:row>15</xdr:row>
      <xdr:rowOff>47625</xdr:rowOff>
    </xdr:to>
    <xdr:graphicFrame macro="">
      <xdr:nvGraphicFramePr>
        <xdr:cNvPr id="7228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180975</xdr:colOff>
      <xdr:row>16</xdr:row>
      <xdr:rowOff>28575</xdr:rowOff>
    </xdr:from>
    <xdr:to>
      <xdr:col>23</xdr:col>
      <xdr:colOff>390525</xdr:colOff>
      <xdr:row>32</xdr:row>
      <xdr:rowOff>104775</xdr:rowOff>
    </xdr:to>
    <xdr:graphicFrame macro="">
      <xdr:nvGraphicFramePr>
        <xdr:cNvPr id="7229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82</xdr:row>
      <xdr:rowOff>142875</xdr:rowOff>
    </xdr:from>
    <xdr:to>
      <xdr:col>4</xdr:col>
      <xdr:colOff>342900</xdr:colOff>
      <xdr:row>99</xdr:row>
      <xdr:rowOff>66675</xdr:rowOff>
    </xdr:to>
    <xdr:graphicFrame macro="">
      <xdr:nvGraphicFramePr>
        <xdr:cNvPr id="7230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447675</xdr:colOff>
      <xdr:row>82</xdr:row>
      <xdr:rowOff>142875</xdr:rowOff>
    </xdr:from>
    <xdr:to>
      <xdr:col>10</xdr:col>
      <xdr:colOff>619125</xdr:colOff>
      <xdr:row>99</xdr:row>
      <xdr:rowOff>66675</xdr:rowOff>
    </xdr:to>
    <xdr:graphicFrame macro="">
      <xdr:nvGraphicFramePr>
        <xdr:cNvPr id="7231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485775</xdr:colOff>
      <xdr:row>66</xdr:row>
      <xdr:rowOff>104775</xdr:rowOff>
    </xdr:from>
    <xdr:to>
      <xdr:col>10</xdr:col>
      <xdr:colOff>600075</xdr:colOff>
      <xdr:row>82</xdr:row>
      <xdr:rowOff>66675</xdr:rowOff>
    </xdr:to>
    <xdr:graphicFrame macro="">
      <xdr:nvGraphicFramePr>
        <xdr:cNvPr id="7232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295275</xdr:colOff>
      <xdr:row>0</xdr:row>
      <xdr:rowOff>0</xdr:rowOff>
    </xdr:from>
    <xdr:to>
      <xdr:col>22</xdr:col>
      <xdr:colOff>219075</xdr:colOff>
      <xdr:row>15</xdr:row>
      <xdr:rowOff>66675</xdr:rowOff>
    </xdr:to>
    <xdr:graphicFrame macro="">
      <xdr:nvGraphicFramePr>
        <xdr:cNvPr id="8263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428625</xdr:colOff>
      <xdr:row>0</xdr:row>
      <xdr:rowOff>180975</xdr:rowOff>
    </xdr:from>
    <xdr:to>
      <xdr:col>27</xdr:col>
      <xdr:colOff>152400</xdr:colOff>
      <xdr:row>16</xdr:row>
      <xdr:rowOff>9525</xdr:rowOff>
    </xdr:to>
    <xdr:graphicFrame macro="">
      <xdr:nvGraphicFramePr>
        <xdr:cNvPr id="826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571500</xdr:colOff>
      <xdr:row>16</xdr:row>
      <xdr:rowOff>142875</xdr:rowOff>
    </xdr:from>
    <xdr:to>
      <xdr:col>24</xdr:col>
      <xdr:colOff>485775</xdr:colOff>
      <xdr:row>34</xdr:row>
      <xdr:rowOff>104775</xdr:rowOff>
    </xdr:to>
    <xdr:graphicFrame macro="">
      <xdr:nvGraphicFramePr>
        <xdr:cNvPr id="8265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228600</xdr:colOff>
      <xdr:row>107</xdr:row>
      <xdr:rowOff>9525</xdr:rowOff>
    </xdr:from>
    <xdr:to>
      <xdr:col>3</xdr:col>
      <xdr:colOff>323850</xdr:colOff>
      <xdr:row>121</xdr:row>
      <xdr:rowOff>123825</xdr:rowOff>
    </xdr:to>
    <xdr:graphicFrame macro="">
      <xdr:nvGraphicFramePr>
        <xdr:cNvPr id="8266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219075</xdr:colOff>
      <xdr:row>106</xdr:row>
      <xdr:rowOff>85725</xdr:rowOff>
    </xdr:from>
    <xdr:to>
      <xdr:col>9</xdr:col>
      <xdr:colOff>390525</xdr:colOff>
      <xdr:row>120</xdr:row>
      <xdr:rowOff>152400</xdr:rowOff>
    </xdr:to>
    <xdr:graphicFrame macro="">
      <xdr:nvGraphicFramePr>
        <xdr:cNvPr id="8267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125</xdr:row>
      <xdr:rowOff>85725</xdr:rowOff>
    </xdr:from>
    <xdr:to>
      <xdr:col>3</xdr:col>
      <xdr:colOff>323850</xdr:colOff>
      <xdr:row>140</xdr:row>
      <xdr:rowOff>85725</xdr:rowOff>
    </xdr:to>
    <xdr:graphicFrame macro="">
      <xdr:nvGraphicFramePr>
        <xdr:cNvPr id="8268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142875</xdr:colOff>
      <xdr:row>124</xdr:row>
      <xdr:rowOff>114300</xdr:rowOff>
    </xdr:from>
    <xdr:to>
      <xdr:col>9</xdr:col>
      <xdr:colOff>266700</xdr:colOff>
      <xdr:row>139</xdr:row>
      <xdr:rowOff>123825</xdr:rowOff>
    </xdr:to>
    <xdr:graphicFrame macro="">
      <xdr:nvGraphicFramePr>
        <xdr:cNvPr id="8269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9525</xdr:colOff>
      <xdr:row>106</xdr:row>
      <xdr:rowOff>104775</xdr:rowOff>
    </xdr:from>
    <xdr:to>
      <xdr:col>17</xdr:col>
      <xdr:colOff>0</xdr:colOff>
      <xdr:row>120</xdr:row>
      <xdr:rowOff>76200</xdr:rowOff>
    </xdr:to>
    <xdr:graphicFrame macro="">
      <xdr:nvGraphicFramePr>
        <xdr:cNvPr id="8270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333375</xdr:colOff>
      <xdr:row>1</xdr:row>
      <xdr:rowOff>66675</xdr:rowOff>
    </xdr:from>
    <xdr:to>
      <xdr:col>32</xdr:col>
      <xdr:colOff>38100</xdr:colOff>
      <xdr:row>16</xdr:row>
      <xdr:rowOff>47625</xdr:rowOff>
    </xdr:to>
    <xdr:graphicFrame macro="">
      <xdr:nvGraphicFramePr>
        <xdr:cNvPr id="8271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85725</xdr:colOff>
      <xdr:row>124</xdr:row>
      <xdr:rowOff>152400</xdr:rowOff>
    </xdr:from>
    <xdr:to>
      <xdr:col>17</xdr:col>
      <xdr:colOff>57150</xdr:colOff>
      <xdr:row>139</xdr:row>
      <xdr:rowOff>28575</xdr:rowOff>
    </xdr:to>
    <xdr:graphicFrame macro="">
      <xdr:nvGraphicFramePr>
        <xdr:cNvPr id="8272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0</xdr:row>
      <xdr:rowOff>28575</xdr:rowOff>
    </xdr:from>
    <xdr:to>
      <xdr:col>19</xdr:col>
      <xdr:colOff>371475</xdr:colOff>
      <xdr:row>16</xdr:row>
      <xdr:rowOff>180975</xdr:rowOff>
    </xdr:to>
    <xdr:graphicFrame macro="">
      <xdr:nvGraphicFramePr>
        <xdr:cNvPr id="9287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533400</xdr:colOff>
      <xdr:row>0</xdr:row>
      <xdr:rowOff>104775</xdr:rowOff>
    </xdr:from>
    <xdr:to>
      <xdr:col>26</xdr:col>
      <xdr:colOff>352425</xdr:colOff>
      <xdr:row>16</xdr:row>
      <xdr:rowOff>152400</xdr:rowOff>
    </xdr:to>
    <xdr:graphicFrame macro="">
      <xdr:nvGraphicFramePr>
        <xdr:cNvPr id="9288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200025</xdr:colOff>
      <xdr:row>18</xdr:row>
      <xdr:rowOff>28575</xdr:rowOff>
    </xdr:from>
    <xdr:to>
      <xdr:col>19</xdr:col>
      <xdr:colOff>371475</xdr:colOff>
      <xdr:row>34</xdr:row>
      <xdr:rowOff>66675</xdr:rowOff>
    </xdr:to>
    <xdr:graphicFrame macro="">
      <xdr:nvGraphicFramePr>
        <xdr:cNvPr id="9289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581025</xdr:colOff>
      <xdr:row>35</xdr:row>
      <xdr:rowOff>180975</xdr:rowOff>
    </xdr:from>
    <xdr:to>
      <xdr:col>26</xdr:col>
      <xdr:colOff>428625</xdr:colOff>
      <xdr:row>51</xdr:row>
      <xdr:rowOff>104775</xdr:rowOff>
    </xdr:to>
    <xdr:graphicFrame macro="">
      <xdr:nvGraphicFramePr>
        <xdr:cNvPr id="9290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523875</xdr:colOff>
      <xdr:row>18</xdr:row>
      <xdr:rowOff>28575</xdr:rowOff>
    </xdr:from>
    <xdr:to>
      <xdr:col>26</xdr:col>
      <xdr:colOff>390525</xdr:colOff>
      <xdr:row>34</xdr:row>
      <xdr:rowOff>95250</xdr:rowOff>
    </xdr:to>
    <xdr:graphicFrame macro="">
      <xdr:nvGraphicFramePr>
        <xdr:cNvPr id="9291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104775</xdr:colOff>
      <xdr:row>35</xdr:row>
      <xdr:rowOff>104775</xdr:rowOff>
    </xdr:from>
    <xdr:to>
      <xdr:col>19</xdr:col>
      <xdr:colOff>342900</xdr:colOff>
      <xdr:row>51</xdr:row>
      <xdr:rowOff>66675</xdr:rowOff>
    </xdr:to>
    <xdr:graphicFrame macro="">
      <xdr:nvGraphicFramePr>
        <xdr:cNvPr id="9292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124</xdr:row>
      <xdr:rowOff>142875</xdr:rowOff>
    </xdr:from>
    <xdr:to>
      <xdr:col>5</xdr:col>
      <xdr:colOff>123825</xdr:colOff>
      <xdr:row>140</xdr:row>
      <xdr:rowOff>123825</xdr:rowOff>
    </xdr:to>
    <xdr:graphicFrame macro="">
      <xdr:nvGraphicFramePr>
        <xdr:cNvPr id="9293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314325</xdr:colOff>
      <xdr:row>124</xdr:row>
      <xdr:rowOff>152400</xdr:rowOff>
    </xdr:from>
    <xdr:to>
      <xdr:col>12</xdr:col>
      <xdr:colOff>504825</xdr:colOff>
      <xdr:row>141</xdr:row>
      <xdr:rowOff>0</xdr:rowOff>
    </xdr:to>
    <xdr:graphicFrame macro="">
      <xdr:nvGraphicFramePr>
        <xdr:cNvPr id="9294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108</xdr:row>
      <xdr:rowOff>47625</xdr:rowOff>
    </xdr:from>
    <xdr:to>
      <xdr:col>5</xdr:col>
      <xdr:colOff>152400</xdr:colOff>
      <xdr:row>123</xdr:row>
      <xdr:rowOff>142875</xdr:rowOff>
    </xdr:to>
    <xdr:graphicFrame macro="">
      <xdr:nvGraphicFramePr>
        <xdr:cNvPr id="9295" name="Диаграмма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333375</xdr:colOff>
      <xdr:row>108</xdr:row>
      <xdr:rowOff>66675</xdr:rowOff>
    </xdr:from>
    <xdr:to>
      <xdr:col>12</xdr:col>
      <xdr:colOff>571500</xdr:colOff>
      <xdr:row>123</xdr:row>
      <xdr:rowOff>104775</xdr:rowOff>
    </xdr:to>
    <xdr:graphicFrame macro="">
      <xdr:nvGraphicFramePr>
        <xdr:cNvPr id="9296" name="Диаграмма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omments" Target="../comments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N56"/>
  <sheetViews>
    <sheetView zoomScale="85" workbookViewId="0">
      <selection activeCell="B26" sqref="B26"/>
    </sheetView>
  </sheetViews>
  <sheetFormatPr defaultRowHeight="12.75" x14ac:dyDescent="0.2"/>
  <cols>
    <col min="1" max="1" width="50.42578125" customWidth="1"/>
    <col min="2" max="2" width="11.5703125" customWidth="1"/>
    <col min="3" max="3" width="11" customWidth="1"/>
    <col min="4" max="5" width="10.85546875" customWidth="1"/>
    <col min="6" max="6" width="53.140625" customWidth="1"/>
    <col min="7" max="7" width="23.7109375" hidden="1" customWidth="1"/>
    <col min="8" max="12" width="0" hidden="1" customWidth="1"/>
  </cols>
  <sheetData>
    <row r="1" spans="1:14" ht="18" x14ac:dyDescent="0.25">
      <c r="A1" s="315" t="s">
        <v>512</v>
      </c>
      <c r="B1" s="315"/>
    </row>
    <row r="2" spans="1:14" ht="14.25" customHeight="1" x14ac:dyDescent="0.25">
      <c r="A2" s="315"/>
      <c r="B2" s="315"/>
      <c r="M2" s="134"/>
      <c r="N2" s="462" t="s">
        <v>622</v>
      </c>
    </row>
    <row r="3" spans="1:14" x14ac:dyDescent="0.2">
      <c r="A3" s="573" t="s">
        <v>449</v>
      </c>
      <c r="B3" s="574" t="s">
        <v>437</v>
      </c>
      <c r="C3" s="574"/>
      <c r="D3" s="574"/>
      <c r="M3" s="340"/>
      <c r="N3" s="462" t="s">
        <v>64</v>
      </c>
    </row>
    <row r="4" spans="1:14" ht="24.75" customHeight="1" x14ac:dyDescent="0.2">
      <c r="A4" s="573"/>
      <c r="B4" s="349" t="s">
        <v>499</v>
      </c>
      <c r="C4" s="349" t="s">
        <v>500</v>
      </c>
      <c r="D4" s="349" t="s">
        <v>502</v>
      </c>
    </row>
    <row r="5" spans="1:14" x14ac:dyDescent="0.2">
      <c r="A5" s="4" t="s">
        <v>454</v>
      </c>
      <c r="B5" s="348">
        <f>'Исходные данные и результаты'!B3</f>
        <v>3517.26</v>
      </c>
      <c r="C5" s="348">
        <f>'Исходные данные и результаты'!C3</f>
        <v>3536.397264854344</v>
      </c>
      <c r="D5" s="348">
        <f>C5-B5</f>
        <v>19.137264854343812</v>
      </c>
    </row>
    <row r="6" spans="1:14" x14ac:dyDescent="0.2">
      <c r="A6" s="4" t="s">
        <v>724</v>
      </c>
      <c r="B6" s="348">
        <f>'Исходные данные и результаты'!B74</f>
        <v>416.85500000000002</v>
      </c>
      <c r="C6" s="348">
        <f>'Исходные данные и результаты'!C74</f>
        <v>415.52082902585983</v>
      </c>
      <c r="D6" s="348">
        <f>C6-B6</f>
        <v>-1.3341709741401928</v>
      </c>
    </row>
    <row r="7" spans="1:14" x14ac:dyDescent="0.2">
      <c r="A7" s="4" t="s">
        <v>444</v>
      </c>
      <c r="B7" s="336">
        <f>'Исходные данные и результаты'!B15</f>
        <v>1.9E-2</v>
      </c>
      <c r="C7" s="336">
        <f>'Исходные данные и результаты'!C15</f>
        <v>1.9069990455539643E-2</v>
      </c>
      <c r="D7" s="336">
        <f>C7-B7</f>
        <v>6.9990455539643143E-5</v>
      </c>
    </row>
    <row r="8" spans="1:14" ht="15.75" x14ac:dyDescent="0.2">
      <c r="A8" s="358" t="s">
        <v>543</v>
      </c>
      <c r="B8" s="336">
        <f>'Исходные данные и результаты'!B23</f>
        <v>11.05</v>
      </c>
      <c r="C8" s="336">
        <f>'Исходные данные и результаты'!C23</f>
        <v>12.967515306414976</v>
      </c>
      <c r="D8" s="336">
        <f>C8-B8</f>
        <v>1.917515306414975</v>
      </c>
    </row>
    <row r="9" spans="1:14" x14ac:dyDescent="0.2">
      <c r="A9" s="355" t="s">
        <v>542</v>
      </c>
      <c r="B9" s="336">
        <f>'Исходные данные и результаты'!B24</f>
        <v>9.01</v>
      </c>
      <c r="C9" s="336">
        <f>'Исходные данные и результаты'!C24</f>
        <v>9.1590619531119692</v>
      </c>
      <c r="D9" s="336">
        <f>C9-B9</f>
        <v>0.14906195311196946</v>
      </c>
    </row>
    <row r="10" spans="1:14" hidden="1" x14ac:dyDescent="0.2"/>
    <row r="11" spans="1:14" hidden="1" x14ac:dyDescent="0.2">
      <c r="A11" s="38"/>
      <c r="B11" s="359"/>
      <c r="C11" s="359"/>
      <c r="D11" s="39"/>
    </row>
    <row r="12" spans="1:14" hidden="1" x14ac:dyDescent="0.2">
      <c r="A12" s="38"/>
      <c r="B12" s="359"/>
      <c r="C12" s="359"/>
      <c r="D12" s="39"/>
    </row>
    <row r="13" spans="1:14" hidden="1" x14ac:dyDescent="0.2"/>
    <row r="14" spans="1:14" x14ac:dyDescent="0.2">
      <c r="A14" s="347" t="s">
        <v>498</v>
      </c>
    </row>
    <row r="15" spans="1:14" ht="13.5" customHeight="1" x14ac:dyDescent="0.2">
      <c r="A15" s="573" t="s">
        <v>449</v>
      </c>
      <c r="B15" s="571" t="s">
        <v>522</v>
      </c>
      <c r="C15" s="573" t="s">
        <v>497</v>
      </c>
      <c r="D15" s="573"/>
      <c r="E15" s="573"/>
    </row>
    <row r="16" spans="1:14" ht="28.5" customHeight="1" x14ac:dyDescent="0.2">
      <c r="A16" s="573"/>
      <c r="B16" s="572"/>
      <c r="C16" s="328" t="s">
        <v>438</v>
      </c>
      <c r="D16" s="329" t="s">
        <v>439</v>
      </c>
      <c r="E16" s="329" t="s">
        <v>496</v>
      </c>
      <c r="F16" s="11" t="s">
        <v>485</v>
      </c>
      <c r="J16" s="23"/>
    </row>
    <row r="17" spans="1:11" ht="20.100000000000001" customHeight="1" x14ac:dyDescent="0.2">
      <c r="A17" s="4" t="s">
        <v>667</v>
      </c>
      <c r="B17" s="12">
        <f>'Исходные данные и результаты'!H16</f>
        <v>2.6613050195154915</v>
      </c>
      <c r="C17" s="372">
        <v>1.95</v>
      </c>
      <c r="D17" s="372">
        <v>2</v>
      </c>
      <c r="E17" s="372" t="s">
        <v>21</v>
      </c>
      <c r="G17" t="b">
        <v>0</v>
      </c>
      <c r="J17" s="23"/>
      <c r="K17" s="23"/>
    </row>
    <row r="18" spans="1:11" ht="20.100000000000001" customHeight="1" x14ac:dyDescent="0.3">
      <c r="A18" s="4" t="s">
        <v>494</v>
      </c>
      <c r="B18" s="361">
        <f>'Исходные данные и результаты'!C27</f>
        <v>1.0048077440464966</v>
      </c>
      <c r="C18" s="372">
        <v>1</v>
      </c>
      <c r="D18" s="372">
        <v>1.17</v>
      </c>
      <c r="E18" s="372">
        <v>0.997</v>
      </c>
      <c r="G18" t="b">
        <v>0</v>
      </c>
    </row>
    <row r="19" spans="1:11" ht="20.100000000000001" customHeight="1" x14ac:dyDescent="0.2">
      <c r="A19" s="4" t="s">
        <v>493</v>
      </c>
      <c r="B19" s="12">
        <f>'Исходные данные и результаты'!H14</f>
        <v>5.0932027711492323</v>
      </c>
      <c r="C19" s="372">
        <v>2</v>
      </c>
      <c r="D19" s="372">
        <v>6.5</v>
      </c>
      <c r="E19" s="372" t="s">
        <v>21</v>
      </c>
      <c r="G19" t="b">
        <v>0</v>
      </c>
    </row>
    <row r="20" spans="1:11" ht="20.100000000000001" customHeight="1" x14ac:dyDescent="0.2">
      <c r="A20" s="4" t="s">
        <v>501</v>
      </c>
      <c r="B20" s="346">
        <f>'Исходные данные и результаты'!H23</f>
        <v>0.18193255584730716</v>
      </c>
      <c r="C20" s="372">
        <v>0.1</v>
      </c>
      <c r="D20" s="372">
        <v>0.35</v>
      </c>
      <c r="E20" s="372" t="s">
        <v>21</v>
      </c>
      <c r="G20" t="b">
        <v>0</v>
      </c>
      <c r="J20" s="18"/>
    </row>
    <row r="21" spans="1:11" ht="16.5" customHeight="1" x14ac:dyDescent="0.2"/>
    <row r="22" spans="1:11" x14ac:dyDescent="0.2">
      <c r="A22" s="13" t="s">
        <v>451</v>
      </c>
      <c r="G22">
        <v>1</v>
      </c>
    </row>
    <row r="23" spans="1:11" x14ac:dyDescent="0.2">
      <c r="G23" t="s">
        <v>495</v>
      </c>
    </row>
    <row r="24" spans="1:11" x14ac:dyDescent="0.2">
      <c r="A24" s="13" t="s">
        <v>504</v>
      </c>
      <c r="G24" t="s">
        <v>452</v>
      </c>
    </row>
    <row r="25" spans="1:11" x14ac:dyDescent="0.2">
      <c r="A25" s="353" t="s">
        <v>509</v>
      </c>
      <c r="G25" t="s">
        <v>503</v>
      </c>
    </row>
    <row r="26" spans="1:11" x14ac:dyDescent="0.2">
      <c r="A26" s="330" t="s">
        <v>506</v>
      </c>
      <c r="B26" s="18">
        <v>0</v>
      </c>
      <c r="G26" t="s">
        <v>453</v>
      </c>
    </row>
    <row r="27" spans="1:11" x14ac:dyDescent="0.2">
      <c r="A27" s="330" t="s">
        <v>507</v>
      </c>
      <c r="B27" s="18">
        <v>0</v>
      </c>
      <c r="F27" s="31"/>
      <c r="G27" t="s">
        <v>459</v>
      </c>
    </row>
    <row r="28" spans="1:11" x14ac:dyDescent="0.2">
      <c r="A28" s="330" t="s">
        <v>508</v>
      </c>
      <c r="B28" s="18">
        <v>6.74</v>
      </c>
    </row>
    <row r="29" spans="1:11" x14ac:dyDescent="0.2">
      <c r="A29" s="330" t="s">
        <v>510</v>
      </c>
      <c r="B29" s="18">
        <v>0</v>
      </c>
      <c r="F29" s="356" t="s">
        <v>554</v>
      </c>
    </row>
    <row r="30" spans="1:11" x14ac:dyDescent="0.2">
      <c r="F30" s="117" t="str">
        <f>K43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</row>
    <row r="31" spans="1:11" x14ac:dyDescent="0.2">
      <c r="F31" s="117" t="str">
        <f>K44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</row>
    <row r="32" spans="1:11" x14ac:dyDescent="0.2">
      <c r="F32" s="117" t="str">
        <f>K45</f>
        <v>3. При промежуточной основности шлака (CaO/SiO2=0,85-1,25) обеспечивается нормальный шлаковый режим плавки</v>
      </c>
    </row>
    <row r="33" spans="1:12" x14ac:dyDescent="0.2">
      <c r="F33" s="117" t="str">
        <f>K46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G33">
        <v>3</v>
      </c>
    </row>
    <row r="34" spans="1:12" x14ac:dyDescent="0.2">
      <c r="F34" s="117" t="str">
        <f>K47</f>
        <v>5. При промежуточном содержании магнезии в шлаке (MgO=7,0-12,0 %) свойства шлака отвечают нормальному течению шлакового режима</v>
      </c>
      <c r="G34" t="s">
        <v>196</v>
      </c>
    </row>
    <row r="35" spans="1:12" hidden="1" x14ac:dyDescent="0.2">
      <c r="A35" t="s">
        <v>455</v>
      </c>
      <c r="G35" t="s">
        <v>505</v>
      </c>
    </row>
    <row r="36" spans="1:12" hidden="1" x14ac:dyDescent="0.2">
      <c r="A36" t="s">
        <v>456</v>
      </c>
      <c r="B36" t="b">
        <f>$B$18=0.997</f>
        <v>0</v>
      </c>
      <c r="G36" t="s">
        <v>99</v>
      </c>
    </row>
    <row r="37" spans="1:12" hidden="1" x14ac:dyDescent="0.2">
      <c r="A37" t="s">
        <v>457</v>
      </c>
      <c r="B37">
        <f>COUNT($B$28)</f>
        <v>1</v>
      </c>
      <c r="G37" t="s">
        <v>511</v>
      </c>
    </row>
    <row r="38" spans="1:12" hidden="1" x14ac:dyDescent="0.2">
      <c r="A38" t="s">
        <v>458</v>
      </c>
      <c r="B38" t="b">
        <f>$B$27&gt;=0</f>
        <v>1</v>
      </c>
    </row>
    <row r="39" spans="1:12" hidden="1" x14ac:dyDescent="0.2">
      <c r="A39" t="s">
        <v>450</v>
      </c>
      <c r="B39" t="b">
        <f>$B$28&gt;=0</f>
        <v>1</v>
      </c>
    </row>
    <row r="40" spans="1:12" hidden="1" x14ac:dyDescent="0.2">
      <c r="B40" t="b">
        <f>$B$29&gt;=0</f>
        <v>1</v>
      </c>
    </row>
    <row r="41" spans="1:12" hidden="1" x14ac:dyDescent="0.2">
      <c r="B41" t="b">
        <f>$B$26&gt;=0</f>
        <v>1</v>
      </c>
    </row>
    <row r="42" spans="1:12" s="362" customFormat="1" hidden="1" x14ac:dyDescent="0.2">
      <c r="A42"/>
      <c r="B42" t="b">
        <f>$C$5&gt;=0</f>
        <v>1</v>
      </c>
      <c r="G42" s="362" t="s">
        <v>245</v>
      </c>
      <c r="H42" s="362" t="s">
        <v>525</v>
      </c>
      <c r="I42" s="362" t="s">
        <v>526</v>
      </c>
    </row>
    <row r="43" spans="1:12" s="362" customFormat="1" hidden="1" x14ac:dyDescent="0.2">
      <c r="A43"/>
      <c r="B43" t="b">
        <f>$C$6&gt;=0</f>
        <v>1</v>
      </c>
      <c r="G43" s="363" t="str">
        <f>Диагностика!A3</f>
        <v xml:space="preserve">Вязкость конечного шлака в интервале 1450-1550 С, пуаз </v>
      </c>
      <c r="H43" s="363">
        <f>Диагностика!B3</f>
        <v>2</v>
      </c>
      <c r="I43" s="363">
        <f>Диагностика!C3</f>
        <v>6.5</v>
      </c>
      <c r="J43" s="363" t="str">
        <f>Диагностика!D3</f>
        <v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v>
      </c>
      <c r="K43" s="363" t="str">
        <f>Диагностика!E3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  <c r="L43" s="363" t="str">
        <f>Диагностика!F3</f>
        <v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v>
      </c>
    </row>
    <row r="44" spans="1:12" s="362" customFormat="1" hidden="1" x14ac:dyDescent="0.2">
      <c r="A44"/>
      <c r="B44" t="b">
        <f>$C$7&gt;=0</f>
        <v>1</v>
      </c>
      <c r="G44" s="363" t="str">
        <f>Диагностика!A4</f>
        <v>Градиент вязкости конечного шлака, пуаз/град. С</v>
      </c>
      <c r="H44" s="363">
        <f>Диагностика!B4</f>
        <v>0.1</v>
      </c>
      <c r="I44" s="363">
        <f>Диагностика!C4</f>
        <v>0.35</v>
      </c>
      <c r="J44" s="363" t="str">
        <f>Диагностика!D4</f>
        <v>2. Шлак относится к типу «длинных шлаков» и особых опасностей не приносит</v>
      </c>
      <c r="K44" s="363" t="str">
        <f>Диагностика!E4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  <c r="L44" s="363" t="str">
        <f>Диагностика!F4</f>
        <v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v>
      </c>
    </row>
    <row r="45" spans="1:12" s="362" customFormat="1" hidden="1" x14ac:dyDescent="0.2">
      <c r="A45"/>
      <c r="B45">
        <f>{100;100;0.000001;0.05;FALSE;FALSE;FALSE;1;1;1;0.0001;TRUE}</f>
        <v>100</v>
      </c>
      <c r="G45" s="363" t="str">
        <f>Диагностика!A5</f>
        <v>Основность конечного шлака (CaO/SiO2)</v>
      </c>
      <c r="H45" s="363">
        <f>Диагностика!B5</f>
        <v>0.85</v>
      </c>
      <c r="I45" s="363">
        <f>Диагностика!C5</f>
        <v>1.25</v>
      </c>
      <c r="J45" s="363" t="str">
        <f>Диагностика!D5</f>
        <v>3. При низкой основности шлака уменьшается десульфурирующая способность шлака, Возможно получение брака по содержанию серы в чугуне.</v>
      </c>
      <c r="K45" s="363" t="str">
        <f>Диагностика!E5</f>
        <v>3. При промежуточной основности шлака (CaO/SiO2=0,85-1,25) обеспечивается нормальный шлаковый режим плавки</v>
      </c>
      <c r="L45" s="363" t="str">
        <f>Диагностика!F5</f>
        <v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v>
      </c>
    </row>
    <row r="46" spans="1:12" s="362" customFormat="1" hidden="1" x14ac:dyDescent="0.2">
      <c r="A46"/>
      <c r="B46">
        <f>{100;100;1;100;0;FALSE;TRUE;0.075;0;0;TRUE;30}</f>
        <v>100</v>
      </c>
      <c r="G46" s="363" t="str">
        <f>Диагностика!A6</f>
        <v>Содержание Al2O3 в шлаке, %</v>
      </c>
      <c r="H46" s="363">
        <f>Диагностика!B6</f>
        <v>10</v>
      </c>
      <c r="I46" s="363">
        <f>Диагностика!C6</f>
        <v>15</v>
      </c>
      <c r="J46" s="363" t="str">
        <f>Диагностика!D6</f>
        <v>4. При низком содержании глинозема в шлаке он становится «неустойчивым», т.е. резко теряет вязкость при изменении состава шлака</v>
      </c>
      <c r="K46" s="363" t="str">
        <f>Диагностика!E6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L46" s="363" t="str">
        <f>Диагностика!F6</f>
        <v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v>
      </c>
    </row>
    <row r="47" spans="1:12" s="362" customFormat="1" hidden="1" x14ac:dyDescent="0.2">
      <c r="A47"/>
      <c r="B47"/>
      <c r="G47" s="363" t="str">
        <f>Диагностика!A7</f>
        <v>Содержание MgO в шлаке, %</v>
      </c>
      <c r="H47" s="363">
        <f>Диагностика!B7</f>
        <v>7</v>
      </c>
      <c r="I47" s="363">
        <f>Диагностика!C7</f>
        <v>12</v>
      </c>
      <c r="J47" s="363" t="str">
        <f>Диагностика!D7</f>
        <v>5. При пониженной концентрации магнезии в шлаке  снижается десульфурирующая способность шлака</v>
      </c>
      <c r="K47" s="363" t="str">
        <f>Диагностика!E7</f>
        <v>5. При промежуточном содержании магнезии в шлаке (MgO=7,0-12,0 %) свойства шлака отвечают нормальному течению шлакового режима</v>
      </c>
      <c r="L47" s="363" t="str">
        <f>Диагностика!F7</f>
        <v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v>
      </c>
    </row>
    <row r="48" spans="1:12" s="362" customFormat="1" hidden="1" x14ac:dyDescent="0.2">
      <c r="A48"/>
      <c r="B48"/>
    </row>
    <row r="49" spans="1:2" s="362" customFormat="1" hidden="1" x14ac:dyDescent="0.2">
      <c r="A49"/>
      <c r="B49"/>
    </row>
    <row r="50" spans="1:2" s="362" customFormat="1" hidden="1" x14ac:dyDescent="0.2">
      <c r="A50"/>
      <c r="B50"/>
    </row>
    <row r="51" spans="1:2" s="362" customFormat="1" x14ac:dyDescent="0.2"/>
    <row r="52" spans="1:2" s="362" customFormat="1" x14ac:dyDescent="0.2"/>
    <row r="53" spans="1:2" s="362" customFormat="1" x14ac:dyDescent="0.2"/>
    <row r="54" spans="1:2" s="362" customFormat="1" x14ac:dyDescent="0.2"/>
    <row r="55" spans="1:2" s="362" customFormat="1" x14ac:dyDescent="0.2"/>
    <row r="56" spans="1:2" s="362" customFormat="1" x14ac:dyDescent="0.2"/>
  </sheetData>
  <mergeCells count="5">
    <mergeCell ref="B15:B16"/>
    <mergeCell ref="A15:A16"/>
    <mergeCell ref="C15:E15"/>
    <mergeCell ref="A3:A4"/>
    <mergeCell ref="B3:D3"/>
  </mergeCells>
  <phoneticPr fontId="0" type="noConversion"/>
  <conditionalFormatting sqref="B19">
    <cfRule type="cellIs" dxfId="49" priority="1" stopIfTrue="1" operator="notBetween">
      <formula>$C$19</formula>
      <formula>$D$19</formula>
    </cfRule>
  </conditionalFormatting>
  <conditionalFormatting sqref="B18">
    <cfRule type="cellIs" dxfId="48" priority="2" stopIfTrue="1" operator="notBetween">
      <formula>$C$18</formula>
      <formula>$D$18</formula>
    </cfRule>
  </conditionalFormatting>
  <conditionalFormatting sqref="B17">
    <cfRule type="cellIs" dxfId="47" priority="3" stopIfTrue="1" operator="notBetween">
      <formula>$C$17</formula>
      <formula>$D$17</formula>
    </cfRule>
  </conditionalFormatting>
  <conditionalFormatting sqref="B20">
    <cfRule type="cellIs" dxfId="46" priority="4" stopIfTrue="1" operator="notBetween">
      <formula>$C$20</formula>
      <formula>$D$20</formula>
    </cfRule>
  </conditionalFormatting>
  <dataValidations count="1">
    <dataValidation type="decimal" operator="greaterThanOrEqual" allowBlank="1" showInputMessage="1" showErrorMessage="1" sqref="C19:D19 E18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Flux.Оптимизация">
                <anchor moveWithCells="1" sizeWithCells="1">
                  <from>
                    <xdr:col>5</xdr:col>
                    <xdr:colOff>66675</xdr:colOff>
                    <xdr:row>21</xdr:row>
                    <xdr:rowOff>114300</xdr:rowOff>
                  </from>
                  <to>
                    <xdr:col>5</xdr:col>
                    <xdr:colOff>2000250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>
                <anchor moveWithCells="1">
                  <from>
                    <xdr:col>1</xdr:col>
                    <xdr:colOff>66675</xdr:colOff>
                    <xdr:row>20</xdr:row>
                    <xdr:rowOff>180975</xdr:rowOff>
                  </from>
                  <to>
                    <xdr:col>4</xdr:col>
                    <xdr:colOff>533400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19050</xdr:rowOff>
                  </from>
                  <to>
                    <xdr:col>5</xdr:col>
                    <xdr:colOff>2095500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Check Box 12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19050</xdr:rowOff>
                  </from>
                  <to>
                    <xdr:col>5</xdr:col>
                    <xdr:colOff>3352800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" name="Check Box 13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5</xdr:col>
                    <xdr:colOff>2295525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Check Box 14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9525</xdr:rowOff>
                  </from>
                  <to>
                    <xdr:col>5</xdr:col>
                    <xdr:colOff>2362200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" name="Button 17">
              <controlPr defaultSize="0" print="0" autoFill="0" autoPict="0" macro="[0]!КнопкаОграниченияВсе">
                <anchor moveWithCells="1" sizeWithCells="1">
                  <from>
                    <xdr:col>12</xdr:col>
                    <xdr:colOff>228600</xdr:colOff>
                    <xdr:row>15</xdr:row>
                    <xdr:rowOff>266700</xdr:rowOff>
                  </from>
                  <to>
                    <xdr:col>13</xdr:col>
                    <xdr:colOff>361950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Button 18">
              <controlPr defaultSize="0" print="0" autoFill="0" autoPict="0" macro="[0]!КнопкаОграниченияОчистить">
                <anchor moveWithCells="1" sizeWithCells="1">
                  <from>
                    <xdr:col>12</xdr:col>
                    <xdr:colOff>228600</xdr:colOff>
                    <xdr:row>17</xdr:row>
                    <xdr:rowOff>104775</xdr:rowOff>
                  </from>
                  <to>
                    <xdr:col>13</xdr:col>
                    <xdr:colOff>361950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2" name="Drop Down 24">
              <controlPr defaultSize="0" autoLine="0" autoPict="0">
                <anchor moveWithCells="1">
                  <from>
                    <xdr:col>1</xdr:col>
                    <xdr:colOff>47625</xdr:colOff>
                    <xdr:row>22</xdr:row>
                    <xdr:rowOff>142875</xdr:rowOff>
                  </from>
                  <to>
                    <xdr:col>4</xdr:col>
                    <xdr:colOff>533400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3" name="Button 25">
              <controlPr defaultSize="0" print="0" autoFill="0" autoPict="0" macro="[0]!ModuleFlux.КнопкаПроектРавенБаза">
                <anchor moveWithCells="1" sizeWithCells="1">
                  <from>
                    <xdr:col>5</xdr:col>
                    <xdr:colOff>323850</xdr:colOff>
                    <xdr:row>2</xdr:row>
                    <xdr:rowOff>85725</xdr:rowOff>
                  </from>
                  <to>
                    <xdr:col>5</xdr:col>
                    <xdr:colOff>1857375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N55"/>
  <sheetViews>
    <sheetView tabSelected="1" topLeftCell="A14" zoomScale="85" workbookViewId="0">
      <selection activeCell="G22" sqref="G22"/>
    </sheetView>
  </sheetViews>
  <sheetFormatPr defaultRowHeight="12.75" x14ac:dyDescent="0.2"/>
  <cols>
    <col min="1" max="1" width="51.5703125" customWidth="1"/>
    <col min="2" max="2" width="11.5703125" customWidth="1"/>
    <col min="3" max="3" width="11" customWidth="1"/>
    <col min="4" max="5" width="10.85546875" customWidth="1"/>
    <col min="6" max="6" width="49.7109375" customWidth="1"/>
    <col min="7" max="7" width="18.140625" customWidth="1"/>
    <col min="8" max="9" width="8.42578125" customWidth="1"/>
    <col min="10" max="10" width="10.85546875" customWidth="1"/>
    <col min="11" max="11" width="9.7109375" customWidth="1"/>
    <col min="12" max="12" width="25.42578125" customWidth="1"/>
  </cols>
  <sheetData>
    <row r="1" spans="1:14" ht="18" x14ac:dyDescent="0.25">
      <c r="A1" s="315" t="s">
        <v>513</v>
      </c>
      <c r="B1" s="315"/>
    </row>
    <row r="2" spans="1:14" ht="14.25" customHeight="1" x14ac:dyDescent="0.25">
      <c r="A2" s="315"/>
      <c r="B2" s="315"/>
      <c r="M2" s="134"/>
      <c r="N2" s="462" t="s">
        <v>622</v>
      </c>
    </row>
    <row r="3" spans="1:14" x14ac:dyDescent="0.2">
      <c r="A3" s="573" t="s">
        <v>449</v>
      </c>
      <c r="B3" s="574" t="s">
        <v>437</v>
      </c>
      <c r="C3" s="574"/>
      <c r="D3" s="574"/>
      <c r="M3" s="340"/>
      <c r="N3" s="462" t="s">
        <v>64</v>
      </c>
    </row>
    <row r="4" spans="1:14" ht="24.75" customHeight="1" x14ac:dyDescent="0.2">
      <c r="A4" s="573"/>
      <c r="B4" s="349" t="s">
        <v>499</v>
      </c>
      <c r="C4" s="349" t="s">
        <v>500</v>
      </c>
      <c r="D4" s="349" t="s">
        <v>502</v>
      </c>
    </row>
    <row r="5" spans="1:14" x14ac:dyDescent="0.2">
      <c r="A5" s="4" t="s">
        <v>454</v>
      </c>
      <c r="B5" s="348">
        <f>'Исходные данные и результаты'!B3</f>
        <v>3517.26</v>
      </c>
      <c r="C5" s="348">
        <f>'Исходные данные и результаты'!C3</f>
        <v>3536.397264854344</v>
      </c>
      <c r="D5" s="348">
        <f t="shared" ref="D5:D10" si="0">C5-B5</f>
        <v>19.137264854343812</v>
      </c>
    </row>
    <row r="6" spans="1:14" x14ac:dyDescent="0.2">
      <c r="A6" s="4" t="s">
        <v>724</v>
      </c>
      <c r="B6" s="348">
        <f>'Исходные данные и результаты'!B74</f>
        <v>416.85500000000002</v>
      </c>
      <c r="C6" s="348">
        <f>'Исходные данные и результаты'!C74</f>
        <v>415.52082902585983</v>
      </c>
      <c r="D6" s="348">
        <f t="shared" si="0"/>
        <v>-1.3341709741401928</v>
      </c>
    </row>
    <row r="7" spans="1:14" x14ac:dyDescent="0.2">
      <c r="A7" s="4" t="s">
        <v>444</v>
      </c>
      <c r="B7" s="336">
        <f>'Исходные данные и результаты'!B15</f>
        <v>1.9E-2</v>
      </c>
      <c r="C7" s="336">
        <f>'Исходные данные и результаты'!C15</f>
        <v>1.9069990455539643E-2</v>
      </c>
      <c r="D7" s="336">
        <f t="shared" si="0"/>
        <v>6.9990455539643143E-5</v>
      </c>
    </row>
    <row r="8" spans="1:14" x14ac:dyDescent="0.2">
      <c r="A8" s="4" t="s">
        <v>514</v>
      </c>
      <c r="B8" s="336">
        <f>'Исходные данные и результаты'!B54</f>
        <v>0.61078876555667683</v>
      </c>
      <c r="C8" s="336">
        <v>0.61080000000000001</v>
      </c>
      <c r="D8" s="336">
        <f t="shared" si="0"/>
        <v>1.1234443323182575E-5</v>
      </c>
    </row>
    <row r="9" spans="1:14" ht="15.75" x14ac:dyDescent="0.2">
      <c r="A9" s="358" t="s">
        <v>543</v>
      </c>
      <c r="B9" s="336">
        <f>'Исходные данные и результаты'!B23</f>
        <v>11.05</v>
      </c>
      <c r="C9" s="336">
        <f>'Исходные данные и результаты'!C23</f>
        <v>12.967515306414976</v>
      </c>
      <c r="D9" s="336">
        <f t="shared" si="0"/>
        <v>1.917515306414975</v>
      </c>
    </row>
    <row r="10" spans="1:14" x14ac:dyDescent="0.2">
      <c r="A10" s="355" t="s">
        <v>542</v>
      </c>
      <c r="B10" s="336">
        <f>'Исходные данные и результаты'!B24</f>
        <v>9.01</v>
      </c>
      <c r="C10" s="336">
        <f>'Исходные данные и результаты'!C24</f>
        <v>9.1590619531119692</v>
      </c>
      <c r="D10" s="336">
        <f t="shared" si="0"/>
        <v>0.14906195311196946</v>
      </c>
    </row>
    <row r="11" spans="1:14" s="38" customFormat="1" hidden="1" x14ac:dyDescent="0.2">
      <c r="B11" s="359"/>
      <c r="C11" s="359"/>
      <c r="D11" s="39"/>
    </row>
    <row r="12" spans="1:14" s="38" customFormat="1" hidden="1" x14ac:dyDescent="0.2">
      <c r="B12" s="359"/>
      <c r="C12" s="359"/>
      <c r="D12" s="39"/>
    </row>
    <row r="13" spans="1:14" s="38" customFormat="1" hidden="1" x14ac:dyDescent="0.2">
      <c r="B13" s="359"/>
      <c r="C13" s="359"/>
      <c r="D13" s="39"/>
    </row>
    <row r="14" spans="1:14" ht="20.25" customHeight="1" x14ac:dyDescent="0.2">
      <c r="A14" s="347" t="s">
        <v>519</v>
      </c>
    </row>
    <row r="15" spans="1:14" ht="13.5" customHeight="1" x14ac:dyDescent="0.2">
      <c r="A15" s="573" t="s">
        <v>449</v>
      </c>
      <c r="B15" s="571" t="s">
        <v>520</v>
      </c>
      <c r="C15" s="573" t="s">
        <v>497</v>
      </c>
      <c r="D15" s="573"/>
      <c r="E15" s="573"/>
    </row>
    <row r="16" spans="1:14" ht="33" customHeight="1" x14ac:dyDescent="0.2">
      <c r="A16" s="573"/>
      <c r="B16" s="572"/>
      <c r="C16" s="328" t="s">
        <v>438</v>
      </c>
      <c r="D16" s="329" t="s">
        <v>439</v>
      </c>
      <c r="E16" s="329" t="s">
        <v>496</v>
      </c>
      <c r="F16" s="11" t="s">
        <v>485</v>
      </c>
      <c r="J16" s="23"/>
    </row>
    <row r="17" spans="1:11" ht="20.100000000000001" customHeight="1" x14ac:dyDescent="0.2">
      <c r="A17" s="4" t="s">
        <v>667</v>
      </c>
      <c r="B17" s="12">
        <f>'Исходные данные и результаты'!H16</f>
        <v>2.6613050195154915</v>
      </c>
      <c r="C17" s="372">
        <v>1.95</v>
      </c>
      <c r="D17" s="372">
        <v>2</v>
      </c>
      <c r="E17" s="372" t="s">
        <v>21</v>
      </c>
      <c r="G17" t="b">
        <v>0</v>
      </c>
      <c r="J17" s="23"/>
      <c r="K17" s="23"/>
    </row>
    <row r="18" spans="1:11" ht="20.100000000000001" customHeight="1" x14ac:dyDescent="0.3">
      <c r="A18" s="4" t="s">
        <v>494</v>
      </c>
      <c r="B18" s="346">
        <f>'Исходные данные и результаты'!C27</f>
        <v>1.0048077440464966</v>
      </c>
      <c r="C18" s="372">
        <v>1</v>
      </c>
      <c r="D18" s="372">
        <v>1.17</v>
      </c>
      <c r="E18" s="372">
        <v>1.008</v>
      </c>
      <c r="G18" t="b">
        <v>0</v>
      </c>
    </row>
    <row r="19" spans="1:11" ht="20.100000000000001" customHeight="1" x14ac:dyDescent="0.2">
      <c r="A19" s="4" t="s">
        <v>493</v>
      </c>
      <c r="B19" s="346">
        <f>'Исходные данные и результаты'!H14</f>
        <v>5.0932027711492323</v>
      </c>
      <c r="C19" s="372">
        <v>2</v>
      </c>
      <c r="D19" s="372">
        <v>6.5</v>
      </c>
      <c r="E19" s="372" t="s">
        <v>21</v>
      </c>
      <c r="G19" t="b">
        <v>0</v>
      </c>
    </row>
    <row r="20" spans="1:11" ht="20.100000000000001" customHeight="1" x14ac:dyDescent="0.2">
      <c r="A20" s="4" t="s">
        <v>501</v>
      </c>
      <c r="B20" s="346">
        <f>'Исходные данные и результаты'!H23</f>
        <v>0.18193255584730716</v>
      </c>
      <c r="C20" s="372">
        <v>0.1</v>
      </c>
      <c r="D20" s="372">
        <v>0.35</v>
      </c>
      <c r="E20" s="372" t="s">
        <v>21</v>
      </c>
      <c r="G20" t="b">
        <v>0</v>
      </c>
      <c r="J20" s="18"/>
    </row>
    <row r="21" spans="1:11" ht="16.5" customHeight="1" x14ac:dyDescent="0.2">
      <c r="A21" s="29" t="s">
        <v>514</v>
      </c>
      <c r="B21" s="346">
        <f>'Исходные данные и результаты'!C54</f>
        <v>0.61080000000000001</v>
      </c>
      <c r="C21" s="372">
        <v>0.3</v>
      </c>
      <c r="D21" s="372">
        <v>1</v>
      </c>
      <c r="E21" s="372" t="s">
        <v>21</v>
      </c>
      <c r="G21" t="b">
        <v>0</v>
      </c>
    </row>
    <row r="22" spans="1:11" ht="15" customHeight="1" x14ac:dyDescent="0.2">
      <c r="A22" s="29" t="s">
        <v>518</v>
      </c>
      <c r="B22" s="346">
        <f>'Исходные данные и результаты'!C67</f>
        <v>0.99990000000000001</v>
      </c>
      <c r="C22" s="5" t="s">
        <v>21</v>
      </c>
      <c r="D22" s="5" t="s">
        <v>21</v>
      </c>
      <c r="E22" s="346">
        <v>1</v>
      </c>
      <c r="G22">
        <v>1</v>
      </c>
    </row>
    <row r="23" spans="1:11" x14ac:dyDescent="0.2">
      <c r="G23" t="s">
        <v>495</v>
      </c>
    </row>
    <row r="24" spans="1:11" x14ac:dyDescent="0.2">
      <c r="A24" s="13" t="s">
        <v>451</v>
      </c>
      <c r="G24" t="s">
        <v>452</v>
      </c>
    </row>
    <row r="25" spans="1:11" x14ac:dyDescent="0.2">
      <c r="G25" t="s">
        <v>503</v>
      </c>
    </row>
    <row r="26" spans="1:11" x14ac:dyDescent="0.2">
      <c r="A26" s="13" t="s">
        <v>517</v>
      </c>
      <c r="G26" t="s">
        <v>453</v>
      </c>
    </row>
    <row r="27" spans="1:11" x14ac:dyDescent="0.2">
      <c r="F27" s="31"/>
      <c r="G27" t="s">
        <v>459</v>
      </c>
    </row>
    <row r="28" spans="1:11" x14ac:dyDescent="0.2">
      <c r="A28" s="353" t="s">
        <v>521</v>
      </c>
      <c r="F28" s="31"/>
    </row>
    <row r="29" spans="1:11" x14ac:dyDescent="0.2">
      <c r="A29" s="330" t="s">
        <v>515</v>
      </c>
      <c r="B29" s="57">
        <v>0.21990000000000001</v>
      </c>
      <c r="F29" s="356" t="s">
        <v>554</v>
      </c>
    </row>
    <row r="30" spans="1:11" x14ac:dyDescent="0.2">
      <c r="A30" s="330" t="s">
        <v>95</v>
      </c>
      <c r="B30" s="57">
        <v>0</v>
      </c>
      <c r="F30" s="117" t="str">
        <f>K43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</row>
    <row r="31" spans="1:11" x14ac:dyDescent="0.2">
      <c r="A31" s="330" t="s">
        <v>516</v>
      </c>
      <c r="B31" s="57">
        <v>2.1999999999999999E-2</v>
      </c>
      <c r="F31" s="117" t="str">
        <f>K44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</row>
    <row r="32" spans="1:11" x14ac:dyDescent="0.2">
      <c r="A32" s="330" t="s">
        <v>97</v>
      </c>
      <c r="B32" s="57">
        <v>0.1242</v>
      </c>
      <c r="F32" s="117" t="str">
        <f>K45</f>
        <v>3. При промежуточной основности шлака (CaO/SiO2=0,85-1,25) обеспечивается нормальный шлаковый режим плавки</v>
      </c>
    </row>
    <row r="33" spans="1:12" x14ac:dyDescent="0.2">
      <c r="B33" s="57"/>
      <c r="F33" s="117" t="str">
        <f>K46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G33">
        <v>1</v>
      </c>
    </row>
    <row r="34" spans="1:12" x14ac:dyDescent="0.2">
      <c r="F34" s="117" t="str">
        <f>K47</f>
        <v>5. При промежуточном содержании магнезии в шлаке (MgO=7,0-12,0 %) свойства шлака отвечают нормальному течению шлакового режима</v>
      </c>
      <c r="G34" t="s">
        <v>550</v>
      </c>
    </row>
    <row r="35" spans="1:12" x14ac:dyDescent="0.2">
      <c r="A35" s="360" t="s">
        <v>455</v>
      </c>
      <c r="B35" s="360"/>
      <c r="G35" t="s">
        <v>551</v>
      </c>
    </row>
    <row r="36" spans="1:12" hidden="1" x14ac:dyDescent="0.2">
      <c r="A36" t="s">
        <v>456</v>
      </c>
      <c r="B36" t="e">
        <f ca="1">_xludf.MIN($C$7)</f>
        <v>#NAME?</v>
      </c>
      <c r="G36" t="s">
        <v>552</v>
      </c>
    </row>
    <row r="37" spans="1:12" hidden="1" x14ac:dyDescent="0.2">
      <c r="A37" t="s">
        <v>457</v>
      </c>
      <c r="B37">
        <f>COUNT($B$29,$C$8)</f>
        <v>2</v>
      </c>
      <c r="G37" t="s">
        <v>553</v>
      </c>
    </row>
    <row r="38" spans="1:12" hidden="1" x14ac:dyDescent="0.2">
      <c r="A38" t="s">
        <v>458</v>
      </c>
      <c r="B38" t="b">
        <f>$B$19&gt;=$C$19</f>
        <v>1</v>
      </c>
    </row>
    <row r="39" spans="1:12" hidden="1" x14ac:dyDescent="0.2">
      <c r="A39" t="s">
        <v>450</v>
      </c>
      <c r="B39" t="b">
        <f>$B$19&lt;=$D$19</f>
        <v>1</v>
      </c>
    </row>
    <row r="40" spans="1:12" s="362" customFormat="1" hidden="1" x14ac:dyDescent="0.2">
      <c r="A40"/>
      <c r="B40" t="b">
        <f>$B$21&gt;=0</f>
        <v>1</v>
      </c>
    </row>
    <row r="41" spans="1:12" s="362" customFormat="1" hidden="1" x14ac:dyDescent="0.2">
      <c r="A41"/>
      <c r="B41" t="b">
        <f>$B$21&lt;=1</f>
        <v>1</v>
      </c>
    </row>
    <row r="42" spans="1:12" s="362" customFormat="1" hidden="1" x14ac:dyDescent="0.2">
      <c r="A42"/>
      <c r="B42" t="b">
        <f>$B$22=$E$22</f>
        <v>0</v>
      </c>
      <c r="G42" s="362" t="s">
        <v>245</v>
      </c>
      <c r="H42" s="362" t="s">
        <v>525</v>
      </c>
      <c r="I42" s="362" t="s">
        <v>526</v>
      </c>
    </row>
    <row r="43" spans="1:12" s="362" customFormat="1" ht="11.25" hidden="1" customHeight="1" x14ac:dyDescent="0.2">
      <c r="A43"/>
      <c r="B43" t="b">
        <f>$B$18=$E$18</f>
        <v>0</v>
      </c>
      <c r="G43" s="363" t="str">
        <f>Диагностика!A3</f>
        <v xml:space="preserve">Вязкость конечного шлака в интервале 1450-1550 С, пуаз </v>
      </c>
      <c r="H43" s="363">
        <f>Диагностика!B3</f>
        <v>2</v>
      </c>
      <c r="I43" s="363">
        <f>Диагностика!C3</f>
        <v>6.5</v>
      </c>
      <c r="J43" s="363" t="str">
        <f>Диагностика!D3</f>
        <v>1. Шлак имеет низкую вязкость. Агрессивен к огнеупорной кладке и разрушает ее. При выпуске чугуна разрушает канал летки. Это может быть причиной «бурного» выпуска, Возможен подход чугуна к раме летки и холодильнику.</v>
      </c>
      <c r="K43" s="363" t="str">
        <f>Диагностика!E3</f>
        <v xml:space="preserve">1. Шлак промежуточной вязкости обеспечивает нормальное протекание процесса выпуска, процесса фильтрации расплава через коксовую насадку и процесса десульфурации чугуна </v>
      </c>
      <c r="L43" s="363" t="str">
        <f>Диагностика!F3</f>
        <v>1. Шлак вязкостью более 6,5 пуаз характеризуется склонностью к образованию известковых настылей в нижней части печи. Снижается серопоглатительная способность шлака, ухудшается процесс фильтрации шлака через коксовую насадку</v>
      </c>
    </row>
    <row r="44" spans="1:12" s="362" customFormat="1" ht="15.75" hidden="1" customHeight="1" x14ac:dyDescent="0.2">
      <c r="A44"/>
      <c r="B44" t="b">
        <f>$B$30&gt;=0</f>
        <v>1</v>
      </c>
      <c r="G44" s="363" t="str">
        <f>Диагностика!A4</f>
        <v>Градиент вязкости конечного шлака, пуаз/град. С</v>
      </c>
      <c r="H44" s="363">
        <f>Диагностика!B4</f>
        <v>0.1</v>
      </c>
      <c r="I44" s="363">
        <f>Диагностика!C4</f>
        <v>0.35</v>
      </c>
      <c r="J44" s="363" t="str">
        <f>Диагностика!D4</f>
        <v>2. Шлак относится к типу «длинных шлаков» и особых опасностей не приносит</v>
      </c>
      <c r="K44" s="363" t="str">
        <f>Диагностика!E4</f>
        <v>2. Шлак, имеющий промежуточное значение градиента вязкости устойчив по вязкости при изменении температуры и обеспечивает нормальное протекание шлакового режима плавки.</v>
      </c>
      <c r="L44" s="363" t="str">
        <f>Диагностика!F4</f>
        <v>2. Шлак относится к типу «коротких шлаков». Он  резко меняет вязкость при изменении температуры, быстро кристаллизуется при похолодании плавки. Это может приводить к подвисанию шихты, потере серопоглатительной способности и загромождению горна</v>
      </c>
    </row>
    <row r="45" spans="1:12" s="362" customFormat="1" ht="15.75" hidden="1" customHeight="1" x14ac:dyDescent="0.2">
      <c r="A45"/>
      <c r="B45" t="b">
        <f>$B$31&gt;=0</f>
        <v>1</v>
      </c>
      <c r="G45" s="363" t="str">
        <f>Диагностика!A5</f>
        <v>Основность конечного шлака (CaO/SiO2)</v>
      </c>
      <c r="H45" s="363">
        <f>Диагностика!B5</f>
        <v>0.85</v>
      </c>
      <c r="I45" s="363">
        <f>Диагностика!C5</f>
        <v>1.25</v>
      </c>
      <c r="J45" s="363" t="str">
        <f>Диагностика!D5</f>
        <v>3. При низкой основности шлака уменьшается десульфурирующая способность шлака, Возможно получение брака по содержанию серы в чугуне.</v>
      </c>
      <c r="K45" s="363" t="str">
        <f>Диагностика!E5</f>
        <v>3. При промежуточной основности шлака (CaO/SiO2=0,85-1,25) обеспечивается нормальный шлаковый режим плавки</v>
      </c>
      <c r="L45" s="363" t="str">
        <f>Диагностика!F5</f>
        <v>3. При высокой основности шлака он становится «коротким», может быть причиной образования настылей в печи. Наблюдается «зарастание» главного горнового желоба, увеличиваются потери чугуна со шлаком</v>
      </c>
    </row>
    <row r="46" spans="1:12" s="362" customFormat="1" ht="14.25" hidden="1" customHeight="1" x14ac:dyDescent="0.2">
      <c r="A46"/>
      <c r="B46" t="b">
        <f>$B$32&gt;=0</f>
        <v>1</v>
      </c>
      <c r="G46" s="363" t="str">
        <f>Диагностика!A6</f>
        <v>Содержание Al2O3 в шлаке, %</v>
      </c>
      <c r="H46" s="363">
        <f>Диагностика!B6</f>
        <v>10</v>
      </c>
      <c r="I46" s="363">
        <f>Диагностика!C6</f>
        <v>15</v>
      </c>
      <c r="J46" s="363" t="str">
        <f>Диагностика!D6</f>
        <v>4. При низком содержании глинозема в шлаке он становится «неустойчивым», т.е. резко теряет вязкость при изменении состава шлака</v>
      </c>
      <c r="K46" s="363" t="str">
        <f>Диагностика!E6</f>
        <v xml:space="preserve">4. Шлак промежуточного состава по содержанию глинозема имеет оптимальные значения по температурам плавления шлака,  их вязкости и устойчивости </v>
      </c>
      <c r="L46" s="363" t="str">
        <f>Диагностика!F6</f>
        <v>4. Шлак с повышенным содержанием глинозема характеризуются повышенными температурами плавления, имеют повышенную вязкость; ухудшаются процессы десульфурации чугуна</v>
      </c>
    </row>
    <row r="47" spans="1:12" s="362" customFormat="1" ht="18" hidden="1" customHeight="1" x14ac:dyDescent="0.2">
      <c r="A47"/>
      <c r="B47" t="b">
        <f>$B$29&gt;=0</f>
        <v>1</v>
      </c>
      <c r="G47" s="363" t="str">
        <f>Диагностика!A7</f>
        <v>Содержание MgO в шлаке, %</v>
      </c>
      <c r="H47" s="363">
        <f>Диагностика!B7</f>
        <v>7</v>
      </c>
      <c r="I47" s="363">
        <f>Диагностика!C7</f>
        <v>12</v>
      </c>
      <c r="J47" s="363" t="str">
        <f>Диагностика!D7</f>
        <v>5. При пониженной концентрации магнезии в шлаке  снижается десульфурирующая способность шлака</v>
      </c>
      <c r="K47" s="363" t="str">
        <f>Диагностика!E7</f>
        <v>5. При промежуточном содержании магнезии в шлаке (MgO=7,0-12,0 %) свойства шлака отвечают нормальному течению шлакового режима</v>
      </c>
      <c r="L47" s="363" t="str">
        <f>Диагностика!F7</f>
        <v>5. Повышенная концентрация магнезии в шлаке сопровождается ростом температуры плавления шлака. Шлак становится «коротким» - быстро кристаллизуется в печи, застывает в желобах, увеличиваются потери чугуна со шлаком на выпусках.</v>
      </c>
    </row>
    <row r="48" spans="1:12" s="362" customFormat="1" hidden="1" x14ac:dyDescent="0.2">
      <c r="A48"/>
      <c r="B48" t="b">
        <f>$C$5&gt;=0</f>
        <v>1</v>
      </c>
    </row>
    <row r="49" spans="1:2" s="362" customFormat="1" hidden="1" x14ac:dyDescent="0.2">
      <c r="A49"/>
      <c r="B49" t="b">
        <f>$C$6&gt;=0</f>
        <v>1</v>
      </c>
    </row>
    <row r="50" spans="1:2" s="362" customFormat="1" hidden="1" x14ac:dyDescent="0.2">
      <c r="A50"/>
      <c r="B50" t="b">
        <f>$C$7&gt;=0</f>
        <v>1</v>
      </c>
    </row>
    <row r="51" spans="1:2" s="362" customFormat="1" hidden="1" x14ac:dyDescent="0.2">
      <c r="A51"/>
      <c r="B51" t="b">
        <f>$C$8&gt;=0</f>
        <v>1</v>
      </c>
    </row>
    <row r="52" spans="1:2" hidden="1" x14ac:dyDescent="0.2">
      <c r="B52">
        <f>{100;100;0.000001;0.05;FALSE;FALSE;FALSE;1;1;1;0.0001;TRUE}</f>
        <v>100</v>
      </c>
    </row>
    <row r="53" spans="1:2" hidden="1" x14ac:dyDescent="0.2">
      <c r="B53">
        <f>{100;100;1;100;0;FALSE;TRUE;0.075;0;0;TRUE;30}</f>
        <v>100</v>
      </c>
    </row>
    <row r="54" spans="1:2" hidden="1" x14ac:dyDescent="0.2"/>
    <row r="55" spans="1:2" hidden="1" x14ac:dyDescent="0.2"/>
  </sheetData>
  <mergeCells count="5">
    <mergeCell ref="B15:B16"/>
    <mergeCell ref="A15:A16"/>
    <mergeCell ref="C15:E15"/>
    <mergeCell ref="A3:A4"/>
    <mergeCell ref="B3:D3"/>
  </mergeCells>
  <phoneticPr fontId="0" type="noConversion"/>
  <conditionalFormatting sqref="B17">
    <cfRule type="cellIs" dxfId="45" priority="1" stopIfTrue="1" operator="notBetween">
      <formula>$C$17</formula>
      <formula>$D$17</formula>
    </cfRule>
  </conditionalFormatting>
  <conditionalFormatting sqref="B18">
    <cfRule type="cellIs" dxfId="44" priority="2" stopIfTrue="1" operator="notBetween">
      <formula>$C$18</formula>
      <formula>$D$18</formula>
    </cfRule>
  </conditionalFormatting>
  <conditionalFormatting sqref="B19">
    <cfRule type="cellIs" dxfId="43" priority="3" stopIfTrue="1" operator="notBetween">
      <formula>$C$19</formula>
      <formula>$D$19</formula>
    </cfRule>
  </conditionalFormatting>
  <conditionalFormatting sqref="B20">
    <cfRule type="cellIs" dxfId="42" priority="4" stopIfTrue="1" operator="notBetween">
      <formula>$C$20</formula>
      <formula>$D$20</formula>
    </cfRule>
  </conditionalFormatting>
  <conditionalFormatting sqref="B21:B22">
    <cfRule type="cellIs" dxfId="41" priority="5" stopIfTrue="1" operator="notBetween">
      <formula>$C$21</formula>
      <formula>$D$21</formula>
    </cfRule>
  </conditionalFormatting>
  <dataValidations count="1">
    <dataValidation type="decimal" operator="greaterThanOrEqual" allowBlank="1" showInputMessage="1" showErrorMessage="1" sqref="C17:D21 E18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птимизацияСоотношениеЖРМ">
                <anchor moveWithCells="1" sizeWithCells="1">
                  <from>
                    <xdr:col>5</xdr:col>
                    <xdr:colOff>142875</xdr:colOff>
                    <xdr:row>23</xdr:row>
                    <xdr:rowOff>142875</xdr:rowOff>
                  </from>
                  <to>
                    <xdr:col>5</xdr:col>
                    <xdr:colOff>2381250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>
                <anchor moveWithCells="1">
                  <from>
                    <xdr:col>1</xdr:col>
                    <xdr:colOff>9525</xdr:colOff>
                    <xdr:row>22</xdr:row>
                    <xdr:rowOff>142875</xdr:rowOff>
                  </from>
                  <to>
                    <xdr:col>4</xdr:col>
                    <xdr:colOff>476250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19050</xdr:rowOff>
                  </from>
                  <to>
                    <xdr:col>5</xdr:col>
                    <xdr:colOff>3267075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19050</xdr:rowOff>
                  </from>
                  <to>
                    <xdr:col>6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5</xdr:col>
                    <xdr:colOff>2295525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9525</xdr:rowOff>
                  </from>
                  <to>
                    <xdr:col>5</xdr:col>
                    <xdr:colOff>2362200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КнопкаСоотношениеЖРМОграниченияВсе">
                <anchor moveWithCells="1" sizeWithCells="1">
                  <from>
                    <xdr:col>12</xdr:col>
                    <xdr:colOff>133350</xdr:colOff>
                    <xdr:row>15</xdr:row>
                    <xdr:rowOff>342900</xdr:rowOff>
                  </from>
                  <to>
                    <xdr:col>13</xdr:col>
                    <xdr:colOff>266700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Button 8">
              <controlPr defaultSize="0" print="0" autoFill="0" autoPict="0" macro="[0]!КнопкаСоотношениеЖРМОграниченияОчистить">
                <anchor moveWithCells="1" sizeWithCells="1">
                  <from>
                    <xdr:col>12</xdr:col>
                    <xdr:colOff>133350</xdr:colOff>
                    <xdr:row>17</xdr:row>
                    <xdr:rowOff>47625</xdr:rowOff>
                  </from>
                  <to>
                    <xdr:col>13</xdr:col>
                    <xdr:colOff>266700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Drop Down 9">
              <controlPr defaultSize="0" autoLine="0" autoPict="0">
                <anchor moveWithCells="1">
                  <from>
                    <xdr:col>1</xdr:col>
                    <xdr:colOff>57150</xdr:colOff>
                    <xdr:row>25</xdr:row>
                    <xdr:rowOff>0</xdr:rowOff>
                  </from>
                  <to>
                    <xdr:col>4</xdr:col>
                    <xdr:colOff>542925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9525</xdr:rowOff>
                  </from>
                  <to>
                    <xdr:col>6</xdr:col>
                    <xdr:colOff>152400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Button 11">
              <controlPr defaultSize="0" print="0" autoFill="0" autoPict="0" macro="[0]!ModuleGRM.КнопкаПроектРавенБаза">
                <anchor moveWithCells="1" sizeWithCells="1">
                  <from>
                    <xdr:col>4</xdr:col>
                    <xdr:colOff>714375</xdr:colOff>
                    <xdr:row>3</xdr:row>
                    <xdr:rowOff>295275</xdr:rowOff>
                  </from>
                  <to>
                    <xdr:col>5</xdr:col>
                    <xdr:colOff>1285875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/>
  <dimension ref="A1:T44"/>
  <sheetViews>
    <sheetView zoomScale="85" workbookViewId="0">
      <selection activeCell="B6" sqref="B6"/>
    </sheetView>
  </sheetViews>
  <sheetFormatPr defaultRowHeight="12.75" x14ac:dyDescent="0.2"/>
  <cols>
    <col min="1" max="1" width="50.85546875" customWidth="1"/>
    <col min="2" max="4" width="11.7109375" bestFit="1" customWidth="1"/>
    <col min="5" max="6" width="10.7109375" bestFit="1" customWidth="1"/>
    <col min="7" max="7" width="11.7109375" bestFit="1" customWidth="1"/>
    <col min="8" max="16" width="10.7109375" bestFit="1" customWidth="1"/>
    <col min="17" max="17" width="14" customWidth="1"/>
    <col min="18" max="19" width="9.140625" style="483"/>
  </cols>
  <sheetData>
    <row r="1" spans="1:20" ht="22.5" customHeight="1" x14ac:dyDescent="0.25">
      <c r="A1" s="315" t="s">
        <v>653</v>
      </c>
      <c r="R1" s="402"/>
      <c r="S1" s="402"/>
    </row>
    <row r="2" spans="1:20" x14ac:dyDescent="0.2">
      <c r="A2" s="366" t="s">
        <v>654</v>
      </c>
      <c r="B2" s="77"/>
      <c r="C2" s="77"/>
      <c r="D2" s="77"/>
      <c r="E2" s="77"/>
      <c r="G2" s="77"/>
      <c r="H2" s="77"/>
      <c r="I2" s="77"/>
      <c r="J2" s="77"/>
      <c r="K2" s="77"/>
      <c r="L2" s="77"/>
      <c r="M2" s="77"/>
      <c r="N2" s="77"/>
      <c r="O2" s="77"/>
      <c r="P2" s="77"/>
      <c r="R2" s="402"/>
      <c r="S2" s="402"/>
    </row>
    <row r="3" spans="1:20" x14ac:dyDescent="0.2">
      <c r="A3" s="334" t="s">
        <v>474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10</v>
      </c>
      <c r="J3" s="1" t="s">
        <v>11</v>
      </c>
      <c r="K3" s="1" t="s">
        <v>12</v>
      </c>
      <c r="L3" s="1" t="s">
        <v>469</v>
      </c>
      <c r="M3" s="1" t="s">
        <v>94</v>
      </c>
      <c r="N3" s="1" t="s">
        <v>15</v>
      </c>
      <c r="O3" s="1" t="s">
        <v>16</v>
      </c>
      <c r="P3" s="1" t="s">
        <v>17</v>
      </c>
      <c r="Q3" s="334" t="s">
        <v>191</v>
      </c>
      <c r="R3" s="360" t="s">
        <v>182</v>
      </c>
      <c r="S3" s="360"/>
      <c r="T3" s="360"/>
    </row>
    <row r="4" spans="1:20" x14ac:dyDescent="0.2">
      <c r="A4" s="474" t="s">
        <v>656</v>
      </c>
      <c r="B4" s="348">
        <f>'Исходные данные и результаты'!$F29*'Ввод составов (база)'!C4+'Исходные данные и результаты'!$F30*'Ввод составов (база)'!C5+'Исходные данные и результаты'!$F31*'Ввод составов (база)'!C6+'Исходные данные и результаты'!$F32*'Ввод составов (база)'!C7+'Исходные данные и результаты'!$F33*'Ввод составов (база)'!C8</f>
        <v>55.264066909891923</v>
      </c>
      <c r="C4" s="348">
        <f>'Исходные данные и результаты'!$F29*'Ввод составов (база)'!D4+'Исходные данные и результаты'!$F30*'Ввод составов (база)'!D5+'Исходные данные и результаты'!$F31*'Ввод составов (база)'!D6+'Исходные данные и результаты'!$F32*'Ввод составов (база)'!D7+'Исходные данные и результаты'!$F33*'Ввод составов (база)'!D8</f>
        <v>10.12404529496799</v>
      </c>
      <c r="D4" s="348">
        <f>'Исходные данные и результаты'!$F29*'Ввод составов (база)'!E4+'Исходные данные и результаты'!$F30*'Ввод составов (база)'!E5+'Исходные данные и результаты'!$F31*'Ввод составов (база)'!E6+'Исходные данные и результаты'!$F32*'Ввод составов (база)'!E7+'Исходные данные и результаты'!$F33*'Ввод составов (база)'!E8</f>
        <v>67.507404144007708</v>
      </c>
      <c r="E4" s="348">
        <f>'Исходные данные и результаты'!$F29*'Ввод составов (база)'!F4+'Исходные данные и результаты'!$F30*'Ввод составов (база)'!F5+'Исходные данные и результаты'!$F31*'Ввод составов (база)'!F6+'Исходные данные и результаты'!$F32*'Ввод составов (база)'!F7+'Исходные данные и результаты'!$F33*'Ввод составов (база)'!F8</f>
        <v>6.6273503132098845</v>
      </c>
      <c r="F4" s="348">
        <f>'Исходные данные и результаты'!$F29*'Ввод составов (база)'!G4+'Исходные данные и результаты'!$F30*'Ввод составов (база)'!G5+'Исходные данные и результаты'!$F31*'Ввод составов (база)'!G6+'Исходные данные и результаты'!$F32*'Ввод составов (база)'!G7+'Исходные данные и результаты'!$F33*'Ввод составов (база)'!G8</f>
        <v>1.5912200041302402</v>
      </c>
      <c r="G4" s="348">
        <f>'Исходные данные и результаты'!$F29*'Ввод составов (база)'!H4+'Исходные данные и результаты'!$F30*'Ввод составов (база)'!H5+'Исходные данные и результаты'!$F31*'Ввод составов (база)'!H6+'Исходные данные и результаты'!$F32*'Ввод составов (база)'!H7+'Исходные данные и результаты'!$F33*'Ввод составов (база)'!H8</f>
        <v>10.864343222964136</v>
      </c>
      <c r="H4" s="348">
        <f>'Исходные данные и результаты'!$F29*'Ввод составов (база)'!I4+'Исходные данные и результаты'!$F30*'Ввод составов (база)'!I5+'Исходные данные и результаты'!$F31*'Ввод составов (база)'!I6+'Исходные данные и результаты'!$F32*'Ввод составов (база)'!I7+'Исходные данные и результаты'!$F33*'Ввод составов (база)'!I8</f>
        <v>2.0806403249122325</v>
      </c>
      <c r="I4" s="348">
        <f>'Исходные данные и результаты'!$F29*'Ввод составов (база)'!J4+'Исходные данные и результаты'!$F30*'Ввод составов (база)'!J5+'Исходные данные и результаты'!$F31*'Ввод составов (база)'!J6+'Исходные данные и результаты'!$F32*'Ввод составов (база)'!J7+'Исходные данные и результаты'!$F33*'Ввод составов (база)'!J8</f>
        <v>2.600474977627865E-2</v>
      </c>
      <c r="J4" s="348">
        <f>'Исходные данные и результаты'!$F29*'Ввод составов (база)'!K4+'Исходные данные и результаты'!$F30*'Ввод составов (база)'!K5+'Исходные данные и результаты'!$F31*'Ввод составов (база)'!K6+'Исходные данные и результаты'!$F32*'Ввод составов (база)'!K7+'Исходные данные и результаты'!$F33*'Ввод составов (база)'!K8</f>
        <v>3.934804157775177E-2</v>
      </c>
      <c r="K4" s="348">
        <f>'Исходные данные и результаты'!$F29*'Ввод составов (база)'!L4+'Исходные данные и результаты'!$F30*'Ввод составов (база)'!L5+'Исходные данные и результаты'!$F31*'Ввод составов (база)'!L6+'Исходные данные и результаты'!$F32*'Ввод составов (база)'!L7+'Исходные данные и результаты'!$F33*'Ввод составов (база)'!L8</f>
        <v>0.33753080470847391</v>
      </c>
      <c r="L4" s="348">
        <f>'Исходные данные и результаты'!$F29*'Ввод составов (база)'!M4+'Исходные данные и результаты'!$F30*'Ввод составов (база)'!M5+'Исходные данные и результаты'!$F31*'Ввод составов (база)'!M6+'Исходные данные и результаты'!$F32*'Ввод составов (база)'!M7+'Исходные данные и результаты'!$F33*'Ввод составов (база)'!M8</f>
        <v>2.9099676464514349E-2</v>
      </c>
      <c r="M4" s="348">
        <f>'Исходные данные и результаты'!$F29*'Ввод составов (база)'!N4+'Исходные данные и результаты'!$F30*'Ввод составов (база)'!N5+'Исходные данные и результаты'!$F31*'Ввод составов (база)'!N6+'Исходные данные и результаты'!$F32*'Ввод составов (база)'!N7+'Исходные данные и результаты'!$F33*'Ввод составов (база)'!N8</f>
        <v>0</v>
      </c>
      <c r="N4" s="348">
        <f>'Исходные данные и результаты'!$F29*'Ввод составов (база)'!O4+'Исходные данные и результаты'!$F30*'Ввод составов (база)'!O5+'Исходные данные и результаты'!$F31*'Ввод составов (база)'!O6+'Исходные данные и результаты'!$F32*'Ввод составов (база)'!O7+'Исходные данные и результаты'!$F33*'Ввод составов (база)'!O8</f>
        <v>0.15866251118606731</v>
      </c>
      <c r="O4" s="348">
        <f>'Исходные данные и результаты'!$F29*'Ввод составов (база)'!P4+'Исходные данные и результаты'!$F30*'Ввод составов (база)'!P5+'Исходные данные и результаты'!$F31*'Ввод составов (база)'!P6+'Исходные данные и результаты'!$F32*'Ввод составов (база)'!P7+'Исходные данные и результаты'!$F33*'Ввод составов (база)'!P8</f>
        <v>0.32</v>
      </c>
      <c r="P4" s="348">
        <f>'Исходные данные и результаты'!$F29*'Ввод составов (база)'!Q4+'Исходные данные и результаты'!$F30*'Ввод составов (база)'!Q5+'Исходные данные и результаты'!$F31*'Ввод составов (база)'!Q6+'Исходные данные и результаты'!$F32*'Ввод составов (база)'!Q7+'Исходные данные и результаты'!$F33*'Ввод составов (база)'!Q8</f>
        <v>3.7560198251531625E-2</v>
      </c>
      <c r="Q4" s="336">
        <f>G4/E4</f>
        <v>1.639319291951252</v>
      </c>
      <c r="R4" s="360"/>
      <c r="S4" s="360"/>
      <c r="T4" s="360"/>
    </row>
    <row r="5" spans="1:20" x14ac:dyDescent="0.2">
      <c r="Q5" s="336"/>
      <c r="R5" s="360"/>
      <c r="S5" s="360"/>
      <c r="T5" s="360"/>
    </row>
    <row r="6" spans="1:20" x14ac:dyDescent="0.2">
      <c r="A6" s="474" t="s">
        <v>658</v>
      </c>
      <c r="B6" s="488">
        <v>55.79844252614496</v>
      </c>
      <c r="C6" s="488">
        <v>11.402831770645509</v>
      </c>
      <c r="D6" s="488">
        <v>67.13484617742516</v>
      </c>
      <c r="E6" s="488">
        <v>5.9504247655968259</v>
      </c>
      <c r="F6" s="488">
        <v>2.0901415885322749</v>
      </c>
      <c r="G6" s="488">
        <v>10.330424765596826</v>
      </c>
      <c r="H6" s="488">
        <v>2.0499999999999998</v>
      </c>
      <c r="I6" s="488">
        <v>3.7999999999999999E-2</v>
      </c>
      <c r="J6" s="488">
        <v>4.5971682293544897E-2</v>
      </c>
      <c r="K6" s="488">
        <v>0</v>
      </c>
      <c r="L6" s="488">
        <v>3.9E-2</v>
      </c>
      <c r="M6" s="488">
        <v>0</v>
      </c>
      <c r="N6" s="488">
        <v>4.8964146231518214E-2</v>
      </c>
      <c r="O6" s="488">
        <v>0.32</v>
      </c>
      <c r="P6" s="488">
        <v>3.7943364587089787E-2</v>
      </c>
      <c r="Q6" s="336">
        <f>G6/E6</f>
        <v>1.7360819055008567</v>
      </c>
      <c r="R6" s="465">
        <f>SUM(C6:P6)</f>
        <v>99.488548260908729</v>
      </c>
      <c r="S6" s="360"/>
      <c r="T6" s="360"/>
    </row>
    <row r="7" spans="1:20" x14ac:dyDescent="0.2">
      <c r="A7" s="475" t="s">
        <v>502</v>
      </c>
      <c r="B7" s="348">
        <f>B6-B4</f>
        <v>0.53437561625303687</v>
      </c>
      <c r="C7" s="348">
        <f t="shared" ref="C7:Q7" si="0">C6-C4</f>
        <v>1.2787864756775189</v>
      </c>
      <c r="D7" s="348">
        <f t="shared" si="0"/>
        <v>-0.37255796658254781</v>
      </c>
      <c r="E7" s="348">
        <f t="shared" si="0"/>
        <v>-0.67692554761305868</v>
      </c>
      <c r="F7" s="348">
        <f t="shared" si="0"/>
        <v>0.49892158440203471</v>
      </c>
      <c r="G7" s="348">
        <f t="shared" si="0"/>
        <v>-0.53391845736731014</v>
      </c>
      <c r="H7" s="348">
        <f t="shared" si="0"/>
        <v>-3.0640324912232675E-2</v>
      </c>
      <c r="I7" s="348">
        <f t="shared" si="0"/>
        <v>1.1995250223721349E-2</v>
      </c>
      <c r="J7" s="348">
        <f t="shared" si="0"/>
        <v>6.6236407157931262E-3</v>
      </c>
      <c r="K7" s="348">
        <f t="shared" si="0"/>
        <v>-0.33753080470847391</v>
      </c>
      <c r="L7" s="348">
        <f t="shared" si="0"/>
        <v>9.9003235354856514E-3</v>
      </c>
      <c r="M7" s="348">
        <f t="shared" si="0"/>
        <v>0</v>
      </c>
      <c r="N7" s="348">
        <f t="shared" si="0"/>
        <v>-0.1096983649545491</v>
      </c>
      <c r="O7" s="348">
        <f t="shared" si="0"/>
        <v>0</v>
      </c>
      <c r="P7" s="348">
        <f t="shared" si="0"/>
        <v>3.8316633555816187E-4</v>
      </c>
      <c r="Q7" s="336">
        <f t="shared" si="0"/>
        <v>9.6762613549604692E-2</v>
      </c>
      <c r="R7" s="360"/>
      <c r="S7" s="360"/>
      <c r="T7" s="360"/>
    </row>
    <row r="8" spans="1:20" x14ac:dyDescent="0.2">
      <c r="R8" s="360"/>
      <c r="S8" s="360"/>
      <c r="T8" s="360"/>
    </row>
    <row r="9" spans="1:20" x14ac:dyDescent="0.2">
      <c r="A9" s="473" t="s">
        <v>657</v>
      </c>
      <c r="B9" s="479">
        <f>M20</f>
        <v>55.79844252614496</v>
      </c>
      <c r="C9" s="479">
        <f>C6*$R$6/$S$9</f>
        <v>11.402831770645509</v>
      </c>
      <c r="D9" s="479">
        <f>D6*$R$6/$S$9</f>
        <v>67.13484617742516</v>
      </c>
      <c r="E9" s="479">
        <f>E6*$R$6/$S$9</f>
        <v>5.950424765596825</v>
      </c>
      <c r="F9" s="479">
        <f>F6*$R$6/$S$9</f>
        <v>2.0901415885322749</v>
      </c>
      <c r="G9" s="479">
        <v>10.330424765596826</v>
      </c>
      <c r="H9" s="479">
        <f t="shared" ref="H9:P9" si="1">H6*$R$6/$S$9</f>
        <v>2.0499999999999998</v>
      </c>
      <c r="I9" s="479">
        <f t="shared" si="1"/>
        <v>3.7999999999999999E-2</v>
      </c>
      <c r="J9" s="479">
        <f t="shared" si="1"/>
        <v>4.5971682293544897E-2</v>
      </c>
      <c r="K9" s="479">
        <f t="shared" si="1"/>
        <v>0</v>
      </c>
      <c r="L9" s="479">
        <f t="shared" si="1"/>
        <v>3.9E-2</v>
      </c>
      <c r="M9" s="479">
        <f t="shared" si="1"/>
        <v>0</v>
      </c>
      <c r="N9" s="479">
        <f t="shared" si="1"/>
        <v>4.8964146231518214E-2</v>
      </c>
      <c r="O9" s="479">
        <f t="shared" si="1"/>
        <v>0.32</v>
      </c>
      <c r="P9" s="479">
        <f t="shared" si="1"/>
        <v>3.7943364587089787E-2</v>
      </c>
      <c r="Q9" s="336">
        <f>G9/E9</f>
        <v>1.7360819055008569</v>
      </c>
      <c r="R9" s="482">
        <f>SUM(C9:P9)</f>
        <v>99.488548260908729</v>
      </c>
      <c r="S9" s="482">
        <f>SUM(C6:F6,G9,H6:P6)</f>
        <v>99.488548260908729</v>
      </c>
      <c r="T9" s="360"/>
    </row>
    <row r="10" spans="1:20" x14ac:dyDescent="0.2">
      <c r="A10" s="475" t="s">
        <v>502</v>
      </c>
      <c r="B10" s="348">
        <f>B9-B4</f>
        <v>0.53437561625303687</v>
      </c>
      <c r="C10" s="348">
        <f t="shared" ref="C10:Q10" si="2">C9-C4</f>
        <v>1.2787864756775189</v>
      </c>
      <c r="D10" s="348">
        <f t="shared" si="2"/>
        <v>-0.37255796658254781</v>
      </c>
      <c r="E10" s="348">
        <f t="shared" si="2"/>
        <v>-0.67692554761305956</v>
      </c>
      <c r="F10" s="348">
        <f t="shared" si="2"/>
        <v>0.49892158440203471</v>
      </c>
      <c r="G10" s="348">
        <f t="shared" si="2"/>
        <v>-0.53391845736731014</v>
      </c>
      <c r="H10" s="348">
        <f t="shared" si="2"/>
        <v>-3.0640324912232675E-2</v>
      </c>
      <c r="I10" s="348">
        <f t="shared" si="2"/>
        <v>1.1995250223721349E-2</v>
      </c>
      <c r="J10" s="348">
        <f t="shared" si="2"/>
        <v>6.6236407157931262E-3</v>
      </c>
      <c r="K10" s="348">
        <f t="shared" si="2"/>
        <v>-0.33753080470847391</v>
      </c>
      <c r="L10" s="348">
        <f t="shared" si="2"/>
        <v>9.9003235354856514E-3</v>
      </c>
      <c r="M10" s="348">
        <f t="shared" si="2"/>
        <v>0</v>
      </c>
      <c r="N10" s="348">
        <f t="shared" si="2"/>
        <v>-0.1096983649545491</v>
      </c>
      <c r="O10" s="348">
        <f t="shared" si="2"/>
        <v>0</v>
      </c>
      <c r="P10" s="348">
        <f t="shared" si="2"/>
        <v>3.8316633555816187E-4</v>
      </c>
      <c r="Q10" s="336">
        <f t="shared" si="2"/>
        <v>9.6762613549604914E-2</v>
      </c>
      <c r="R10" s="360"/>
      <c r="S10" s="360"/>
      <c r="T10" s="360"/>
    </row>
    <row r="12" spans="1:20" x14ac:dyDescent="0.2">
      <c r="A12" s="573" t="s">
        <v>449</v>
      </c>
      <c r="B12" s="571" t="s">
        <v>520</v>
      </c>
      <c r="C12" s="476" t="s">
        <v>497</v>
      </c>
      <c r="D12" s="477"/>
      <c r="L12" s="402"/>
      <c r="P12" s="402"/>
    </row>
    <row r="13" spans="1:20" x14ac:dyDescent="0.2">
      <c r="A13" s="573"/>
      <c r="B13" s="572"/>
      <c r="C13" s="328" t="s">
        <v>438</v>
      </c>
      <c r="D13" s="329" t="s">
        <v>439</v>
      </c>
      <c r="E13" s="329" t="s">
        <v>496</v>
      </c>
      <c r="L13" s="402"/>
      <c r="P13" s="402"/>
    </row>
    <row r="14" spans="1:20" ht="20.100000000000001" customHeight="1" x14ac:dyDescent="0.2">
      <c r="A14" s="4" t="s">
        <v>667</v>
      </c>
      <c r="B14" s="12">
        <f>'Исходные данные и результаты'!H16</f>
        <v>2.6613050195154915</v>
      </c>
      <c r="C14" s="372">
        <v>1.95</v>
      </c>
      <c r="D14" s="372">
        <v>2</v>
      </c>
      <c r="E14" s="372" t="s">
        <v>21</v>
      </c>
      <c r="I14" s="134"/>
      <c r="J14" s="462" t="s">
        <v>622</v>
      </c>
      <c r="L14" s="402"/>
      <c r="M14" s="360" t="s">
        <v>650</v>
      </c>
      <c r="N14" s="360"/>
      <c r="P14" s="402"/>
    </row>
    <row r="15" spans="1:20" ht="20.100000000000001" customHeight="1" x14ac:dyDescent="0.3">
      <c r="A15" s="4" t="s">
        <v>494</v>
      </c>
      <c r="B15" s="361">
        <f>'Исходные данные и результаты'!C27</f>
        <v>1.0048077440464966</v>
      </c>
      <c r="C15" s="372">
        <v>1</v>
      </c>
      <c r="D15" s="372">
        <v>1.17</v>
      </c>
      <c r="E15" s="372">
        <v>1.008</v>
      </c>
      <c r="I15" s="340"/>
      <c r="J15" s="462" t="s">
        <v>64</v>
      </c>
      <c r="L15" s="402"/>
      <c r="M15" s="360" t="s">
        <v>651</v>
      </c>
      <c r="N15" s="360"/>
      <c r="P15" s="483"/>
    </row>
    <row r="16" spans="1:20" ht="20.100000000000001" customHeight="1" x14ac:dyDescent="0.2">
      <c r="A16" s="4" t="s">
        <v>493</v>
      </c>
      <c r="B16" s="12">
        <f>'Исходные данные и результаты'!H14</f>
        <v>5.0932027711492323</v>
      </c>
      <c r="C16" s="372">
        <v>2</v>
      </c>
      <c r="D16" s="372">
        <v>6.5</v>
      </c>
      <c r="E16" s="372" t="s">
        <v>21</v>
      </c>
      <c r="I16" s="473"/>
      <c r="J16" t="s">
        <v>655</v>
      </c>
      <c r="L16" s="483"/>
      <c r="M16" s="465">
        <f>C6*56/72+D6*112/(112+48)</f>
        <v>55.863261479144121</v>
      </c>
      <c r="N16" s="360"/>
      <c r="P16" s="483"/>
    </row>
    <row r="17" spans="1:19" ht="20.100000000000001" customHeight="1" x14ac:dyDescent="0.2">
      <c r="A17" s="4" t="s">
        <v>501</v>
      </c>
      <c r="B17" s="346">
        <f>'Исходные данные и результаты'!H23</f>
        <v>0.18193255584730716</v>
      </c>
      <c r="C17" s="372">
        <v>0.1</v>
      </c>
      <c r="D17" s="372">
        <v>0.35</v>
      </c>
      <c r="E17" s="372" t="s">
        <v>21</v>
      </c>
      <c r="L17" s="483"/>
      <c r="M17" s="481" t="s">
        <v>651</v>
      </c>
      <c r="N17" s="360"/>
      <c r="P17" s="483"/>
    </row>
    <row r="18" spans="1:19" ht="20.100000000000001" customHeight="1" x14ac:dyDescent="0.2">
      <c r="A18" s="4" t="s">
        <v>444</v>
      </c>
      <c r="B18" s="478">
        <f>'Исходные данные и результаты'!H21</f>
        <v>1.9069990455539643E-2</v>
      </c>
      <c r="C18" s="372">
        <v>0</v>
      </c>
      <c r="D18" s="372">
        <v>100</v>
      </c>
      <c r="E18" s="372" t="s">
        <v>21</v>
      </c>
      <c r="L18" s="483"/>
      <c r="M18" s="482">
        <f>C9*56/72+D9*112/(112+48)</f>
        <v>55.863261479144121</v>
      </c>
      <c r="N18" s="360"/>
      <c r="P18" s="483"/>
    </row>
    <row r="19" spans="1:19" x14ac:dyDescent="0.2">
      <c r="L19" s="483"/>
      <c r="M19" s="481" t="s">
        <v>652</v>
      </c>
      <c r="N19" s="360"/>
      <c r="O19" s="483"/>
      <c r="P19" s="483"/>
    </row>
    <row r="20" spans="1:19" s="387" customFormat="1" x14ac:dyDescent="0.2">
      <c r="A20" s="13" t="s">
        <v>451</v>
      </c>
      <c r="B20" t="s">
        <v>495</v>
      </c>
      <c r="C20"/>
      <c r="D20"/>
      <c r="E20"/>
      <c r="F20"/>
      <c r="G20"/>
      <c r="H20"/>
      <c r="I20"/>
      <c r="L20" s="356"/>
      <c r="M20" s="360">
        <f>B6/M16*M18</f>
        <v>55.79844252614496</v>
      </c>
      <c r="N20" s="360"/>
      <c r="O20" s="356"/>
      <c r="P20" s="356"/>
      <c r="R20" s="356"/>
      <c r="S20" s="356"/>
    </row>
    <row r="21" spans="1:19" x14ac:dyDescent="0.2">
      <c r="L21" s="483"/>
      <c r="O21" s="402"/>
      <c r="P21" s="483"/>
    </row>
    <row r="22" spans="1:19" x14ac:dyDescent="0.2">
      <c r="A22" s="13" t="s">
        <v>517</v>
      </c>
      <c r="B22" t="s">
        <v>8</v>
      </c>
      <c r="L22" s="483"/>
      <c r="O22" s="402"/>
      <c r="P22" s="483"/>
    </row>
    <row r="23" spans="1:19" x14ac:dyDescent="0.2">
      <c r="L23" s="483"/>
      <c r="O23" s="402"/>
      <c r="P23" s="483"/>
    </row>
    <row r="24" spans="1:19" x14ac:dyDescent="0.2">
      <c r="L24" s="483"/>
      <c r="O24" s="483"/>
      <c r="P24" s="483"/>
    </row>
    <row r="25" spans="1:19" x14ac:dyDescent="0.2">
      <c r="O25" s="483"/>
    </row>
    <row r="26" spans="1:19" x14ac:dyDescent="0.2">
      <c r="O26" s="483"/>
    </row>
    <row r="27" spans="1:19" x14ac:dyDescent="0.2">
      <c r="O27" s="483"/>
    </row>
    <row r="28" spans="1:19" hidden="1" x14ac:dyDescent="0.2">
      <c r="A28" t="s">
        <v>455</v>
      </c>
    </row>
    <row r="29" spans="1:19" hidden="1" x14ac:dyDescent="0.2">
      <c r="A29" t="s">
        <v>456</v>
      </c>
      <c r="B29" t="b">
        <f>$B$15=1.008</f>
        <v>0</v>
      </c>
    </row>
    <row r="30" spans="1:19" hidden="1" x14ac:dyDescent="0.2">
      <c r="A30" t="s">
        <v>457</v>
      </c>
      <c r="B30">
        <f>COUNT($G$9)</f>
        <v>1</v>
      </c>
    </row>
    <row r="31" spans="1:19" hidden="1" x14ac:dyDescent="0.2">
      <c r="A31" t="s">
        <v>458</v>
      </c>
      <c r="B31" t="b">
        <f>$G$9&gt;=0</f>
        <v>1</v>
      </c>
    </row>
    <row r="32" spans="1:19" hidden="1" x14ac:dyDescent="0.2">
      <c r="A32" t="s">
        <v>450</v>
      </c>
      <c r="B32">
        <f>{100;100;0.000001;0.05;FALSE;FALSE;FALSE;1;1;1;0.0001;TRUE}</f>
        <v>100</v>
      </c>
    </row>
    <row r="33" spans="2:2" hidden="1" x14ac:dyDescent="0.2">
      <c r="B33">
        <f>{100;100;1;100;0;FALSE;TRUE;0.075;0;0;TRUE;30}</f>
        <v>100</v>
      </c>
    </row>
    <row r="34" spans="2:2" hidden="1" x14ac:dyDescent="0.2"/>
    <row r="35" spans="2:2" hidden="1" x14ac:dyDescent="0.2"/>
    <row r="36" spans="2:2" hidden="1" x14ac:dyDescent="0.2"/>
    <row r="37" spans="2:2" hidden="1" x14ac:dyDescent="0.2"/>
    <row r="38" spans="2:2" hidden="1" x14ac:dyDescent="0.2"/>
    <row r="39" spans="2:2" hidden="1" x14ac:dyDescent="0.2"/>
    <row r="40" spans="2:2" hidden="1" x14ac:dyDescent="0.2"/>
    <row r="41" spans="2:2" hidden="1" x14ac:dyDescent="0.2"/>
    <row r="42" spans="2:2" hidden="1" x14ac:dyDescent="0.2"/>
    <row r="43" spans="2:2" hidden="1" x14ac:dyDescent="0.2"/>
    <row r="44" spans="2:2" hidden="1" x14ac:dyDescent="0.2"/>
  </sheetData>
  <mergeCells count="2">
    <mergeCell ref="B12:B13"/>
    <mergeCell ref="A12:A13"/>
  </mergeCells>
  <phoneticPr fontId="44" type="noConversion"/>
  <conditionalFormatting sqref="B14">
    <cfRule type="cellIs" dxfId="40" priority="1" stopIfTrue="1" operator="notBetween">
      <formula>$C$14</formula>
      <formula>$D$14</formula>
    </cfRule>
  </conditionalFormatting>
  <conditionalFormatting sqref="B15">
    <cfRule type="cellIs" dxfId="39" priority="2" stopIfTrue="1" operator="notBetween">
      <formula>$C$15</formula>
      <formula>$D$15</formula>
    </cfRule>
  </conditionalFormatting>
  <conditionalFormatting sqref="B16">
    <cfRule type="cellIs" dxfId="38" priority="3" stopIfTrue="1" operator="notBetween">
      <formula>$C$16</formula>
      <formula>$D$16</formula>
    </cfRule>
  </conditionalFormatting>
  <conditionalFormatting sqref="B17">
    <cfRule type="cellIs" dxfId="37" priority="4" stopIfTrue="1" operator="notBetween">
      <formula>$C$17</formula>
      <formula>$D$17</formula>
    </cfRule>
  </conditionalFormatting>
  <conditionalFormatting sqref="B18">
    <cfRule type="cellIs" dxfId="36" priority="5" stopIfTrue="1" operator="notBetween">
      <formula>$C$18</formula>
      <formula>$D$18</formula>
    </cfRule>
  </conditionalFormatting>
  <dataValidations count="2">
    <dataValidation operator="greaterThanOrEqual" allowBlank="1" showInputMessage="1" showErrorMessage="1" sqref="I17:I65536 I14:J16 I11:J12 F11:H65536 M28:M29 O19:O65536 S9:S10 L37:M65536 M10:Q10 A11:E11 P11:S65536 E16:E65536 A55:B65536 J23:K65536 J18:J19 K11:K13 A9:R9 K17:K19 A1:S3 A6:A7 Q4:Q5 A4 B6:S6 M14:N20 N28:N65536 M11:O11 T1:IV1048576 L10:L29 A10:K10 C14:D65536 E14 A14:B24"/>
    <dataValidation type="decimal" operator="greaterThanOrEqual" allowBlank="1" showInputMessage="1" showErrorMessage="1" sqref="E15">
      <formula1>0</formula1>
    </dataValidation>
  </dataValidations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oduleAglo.КнопкаПроектРавенБаза">
                <anchor moveWithCells="1" sizeWithCells="1">
                  <from>
                    <xdr:col>5</xdr:col>
                    <xdr:colOff>571500</xdr:colOff>
                    <xdr:row>13</xdr:row>
                    <xdr:rowOff>19050</xdr:rowOff>
                  </from>
                  <to>
                    <xdr:col>7</xdr:col>
                    <xdr:colOff>314325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5" name="Button 25">
              <controlPr defaultSize="0" print="0" autoFill="0" autoPict="0" macro="[0]!ModuleAglo.Оптимизация">
                <anchor moveWithCells="1" sizeWithCells="1">
                  <from>
                    <xdr:col>5</xdr:col>
                    <xdr:colOff>571500</xdr:colOff>
                    <xdr:row>16</xdr:row>
                    <xdr:rowOff>200025</xdr:rowOff>
                  </from>
                  <to>
                    <xdr:col>8</xdr:col>
                    <xdr:colOff>657225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33"/>
  <sheetViews>
    <sheetView zoomScale="75" workbookViewId="0">
      <selection activeCell="C4" sqref="C4"/>
    </sheetView>
  </sheetViews>
  <sheetFormatPr defaultRowHeight="12.75" x14ac:dyDescent="0.2"/>
  <cols>
    <col min="1" max="1" width="15.85546875" customWidth="1"/>
    <col min="2" max="2" width="12.140625" customWidth="1"/>
    <col min="3" max="3" width="12.140625" bestFit="1" customWidth="1"/>
    <col min="4" max="5" width="11" bestFit="1" customWidth="1"/>
    <col min="6" max="6" width="11" customWidth="1"/>
    <col min="7" max="7" width="7.7109375" customWidth="1"/>
    <col min="8" max="8" width="13.7109375" customWidth="1"/>
    <col min="9" max="12" width="13.28515625" bestFit="1" customWidth="1"/>
    <col min="13" max="13" width="9.28515625" customWidth="1"/>
    <col min="14" max="16" width="13.28515625" bestFit="1" customWidth="1"/>
  </cols>
  <sheetData>
    <row r="1" spans="1:18" ht="15.75" x14ac:dyDescent="0.25">
      <c r="A1" s="80" t="s">
        <v>649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</row>
    <row r="2" spans="1:18" s="11" customFormat="1" x14ac:dyDescent="0.2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72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94</v>
      </c>
      <c r="N2" s="1" t="s">
        <v>15</v>
      </c>
      <c r="O2" s="1" t="s">
        <v>16</v>
      </c>
      <c r="P2" s="1" t="s">
        <v>17</v>
      </c>
    </row>
    <row r="3" spans="1:18" x14ac:dyDescent="0.2">
      <c r="A3" s="346">
        <f>'Исходные данные и результаты'!$B$49*'Ввод составов (база)'!C4+'Исходные данные и результаты'!$B$50*'Ввод составов (база)'!C5+'Исходные данные и результаты'!$B$51*'Ввод составов (база)'!C6+'Исходные данные и результаты'!$B$52*'Ввод составов (база)'!C7+'Исходные данные и результаты'!$B$53*'Ввод составов (база)'!C8+'Исходные данные и результаты'!$B$55*'Ввод составов (база)'!C9+'Исходные данные и результаты'!$B$56*'Ввод составов (база)'!C10+'Исходные данные и результаты'!$B$57*'Ввод составов (база)'!C11+'Исходные данные и результаты'!$B$58*'Ввод составов (база)'!C12+'Исходные данные и результаты'!$B$59*'Ввод составов (база)'!C13+'Исходные данные и результаты'!$B$60*'Ввод составов (база)'!C14+'Исходные данные и результаты'!$B$61*'Ввод составов (база)'!C15+'Исходные данные и результаты'!$B$62*'Ввод составов (база)'!C16+'Исходные данные и результаты'!$B$63*'Ввод составов (база)'!C17+'Исходные данные и результаты'!$B$64*'Ввод составов (база)'!C18+'Исходные данные и результаты'!$B$65*'Ввод составов (база)'!C18</f>
        <v>58.267282326654183</v>
      </c>
      <c r="B3" s="346">
        <f>'Исходные данные и результаты'!$B$49*'Ввод составов (база)'!D4+'Исходные данные и результаты'!$B$50*'Ввод составов (база)'!D5+'Исходные данные и результаты'!$B$51*'Ввод составов (база)'!D6+'Исходные данные и результаты'!$B$52*'Ввод составов (база)'!D7+'Исходные данные и результаты'!$B$53*'Ввод составов (база)'!D8+'Исходные данные и результаты'!$B$55*'Ввод составов (база)'!D9+'Исходные данные и результаты'!$B$56*'Ввод составов (база)'!D10+'Исходные данные и результаты'!$B$57*'Ввод составов (база)'!D11+'Исходные данные и результаты'!$B$58*'Ввод составов (база)'!D12+'Исходные данные и результаты'!$B$59*'Ввод составов (база)'!D13+'Исходные данные и результаты'!$B$60*'Ввод составов (база)'!D14+'Исходные данные и результаты'!$B$61*'Ввод составов (база)'!D15+'Исходные данные и результаты'!$B$62*'Ввод составов (база)'!D16+'Исходные данные и результаты'!$B$63*'Ввод составов (база)'!D17+'Исходные данные и результаты'!$B$64*'Ввод составов (база)'!D18+'Исходные данные и результаты'!$B$65*'Ввод составов (база)'!D18</f>
        <v>6.4238321200326762</v>
      </c>
      <c r="C3" s="346">
        <f>'Исходные данные и результаты'!$B$49*'Ввод составов (база)'!E4+'Исходные данные и результаты'!$B$50*'Ввод составов (база)'!E5+'Исходные данные и результаты'!$B$51*'Ввод составов (база)'!E6+'Исходные данные и результаты'!$B$52*'Ввод составов (база)'!E7+'Исходные данные и результаты'!$B$53*'Ввод составов (база)'!E8+'Исходные данные и результаты'!$B$55*'Ввод составов (база)'!E9+'Исходные данные и результаты'!$B$56*'Ввод составов (база)'!E10+'Исходные данные и результаты'!$B$57*'Ввод составов (база)'!E11+'Исходные данные и результаты'!$B$58*'Ввод составов (база)'!E12+'Исходные данные и результаты'!$B$59*'Ввод составов (база)'!E13+'Исходные данные и результаты'!$B$60*'Ввод составов (база)'!E14+'Исходные данные и результаты'!$B$61*'Ввод составов (база)'!E15+'Исходные данные и результаты'!$B$62*'Ввод составов (база)'!E16+'Исходные данные и результаты'!$B$63*'Ввод составов (база)'!E17+'Исходные данные и результаты'!$B$64*'Ввод составов (база)'!E18+'Исходные данные и результаты'!$B$65*'Ввод составов (база)'!E18</f>
        <v>41.410913098841959</v>
      </c>
      <c r="D3" s="346">
        <f>'Исходные данные и результаты'!$B$49*'Ввод составов (база)'!F4+'Исходные данные и результаты'!$B$50*'Ввод составов (база)'!F5+'Исходные данные и результаты'!$B$51*'Ввод составов (база)'!F6+'Исходные данные и результаты'!$B$52*'Ввод составов (база)'!F7+'Исходные данные и результаты'!$B$53*'Ввод составов (база)'!F8+'Исходные данные и результаты'!$B$55*'Ввод составов (база)'!F9+'Исходные данные и результаты'!$B$56*'Ввод составов (база)'!F10+'Исходные данные и результаты'!$B$57*'Ввод составов (база)'!F11+'Исходные данные и результаты'!$B$58*'Ввод составов (база)'!F12+'Исходные данные и результаты'!$B$59*'Ввод составов (база)'!F13+'Исходные данные и результаты'!$B$60*'Ввод составов (база)'!F14+'Исходные данные и результаты'!$B$61*'Ввод составов (база)'!F15+'Исходные данные и результаты'!$B$62*'Ввод составов (база)'!F16+'Исходные данные и результаты'!$B$63*'Ввод составов (база)'!F17+'Исходные данные и результаты'!$B$64*'Ввод составов (база)'!F18+'Исходные данные и результаты'!$B$65*'Ввод составов (база)'!F18</f>
        <v>6.5190328792465531</v>
      </c>
      <c r="E3" s="346">
        <f>'Исходные данные и результаты'!$B$49*'Ввод составов (база)'!G4+'Исходные данные и результаты'!$B$50*'Ввод составов (база)'!G5+'Исходные данные и результаты'!$B$51*'Ввод составов (база)'!G6+'Исходные данные и результаты'!$B$52*'Ввод составов (база)'!G7+'Исходные данные и результаты'!$B$53*'Ввод составов (база)'!G8+'Исходные данные и результаты'!$B$55*'Ввод составов (база)'!G9+'Исходные данные и результаты'!$B$56*'Ввод составов (база)'!G10+'Исходные данные и результаты'!$B$57*'Ввод составов (база)'!G11+'Исходные данные и результаты'!$B$58*'Ввод составов (база)'!G12+'Исходные данные и результаты'!$B$59*'Ввод составов (база)'!G13+'Исходные данные и результаты'!$B$60*'Ввод составов (база)'!G14+'Исходные данные и результаты'!$B$61*'Ввод составов (база)'!G15+'Исходные данные и результаты'!$B$62*'Ввод составов (база)'!G16+'Исходные данные и результаты'!$B$63*'Ввод составов (база)'!G17+'Исходные данные и результаты'!$B$64*'Ввод составов (база)'!G18+'Исходные данные и результаты'!$B$65*'Ввод составов (база)'!G18</f>
        <v>1.4829939755417814</v>
      </c>
      <c r="F3" s="346">
        <f>'Исходные данные и результаты'!$B$49*'Ввод составов (база)'!H4+'Исходные данные и результаты'!$B$50*'Ввод составов (база)'!H5+'Исходные данные и результаты'!$B$51*'Ввод составов (база)'!H6+'Исходные данные и результаты'!$B$52*'Ввод составов (база)'!H7+'Исходные данные и результаты'!$B$53*'Ввод составов (база)'!H8+'Исходные данные и результаты'!$B$55*'Ввод составов (база)'!H9+'Исходные данные и результаты'!$B$56*'Ввод составов (база)'!H10+'Исходные данные и результаты'!$B$57*'Ввод составов (база)'!H11+'Исходные данные и результаты'!$B$58*'Ввод составов (база)'!H12+'Исходные данные и результаты'!$B$59*'Ввод составов (база)'!H13+'Исходные данные и результаты'!$B$60*'Ввод составов (база)'!H14+'Исходные данные и результаты'!$B$61*'Ввод составов (база)'!H15+'Исходные данные и результаты'!$B$62*'Ввод составов (база)'!H16+'Исходные данные и результаты'!$B$63*'Ввод составов (база)'!H17+'Исходные данные и результаты'!$B$64*'Ввод составов (база)'!H18+'Исходные данные и результаты'!$B$65*'Ввод составов (база)'!H18</f>
        <v>7.3530281942242102</v>
      </c>
      <c r="H3" s="346">
        <f>'Исходные данные и результаты'!$B$49*'Ввод составов (база)'!I4+'Исходные данные и результаты'!$B$50*'Ввод составов (база)'!I5+'Исходные данные и результаты'!$B$51*'Ввод составов (база)'!I6+'Исходные данные и результаты'!$B$52*'Ввод составов (база)'!I7+'Исходные данные и результаты'!$B$53*'Ввод составов (база)'!I8+'Исходные данные и результаты'!$B$55*'Ввод составов (база)'!I9+'Исходные данные и результаты'!$B$56*'Ввод составов (база)'!I10+'Исходные данные и результаты'!$B$57*'Ввод составов (база)'!I11+'Исходные данные и результаты'!$B$58*'Ввод составов (база)'!I12+'Исходные данные и результаты'!$B$59*'Ввод составов (база)'!I13+'Исходные данные и результаты'!$B$60*'Ввод составов (база)'!I14+'Исходные данные и результаты'!$B$61*'Ввод составов (база)'!I15+'Исходные данные и результаты'!$B$62*'Ввод составов (база)'!I16+'Исходные данные и результаты'!$B$63*'Ввод составов (база)'!I17+'Исходные данные и результаты'!$B$64*'Ввод составов (база)'!I18+'Исходные данные и результаты'!$B$65*'Ввод составов (база)'!I18</f>
        <v>1.6986921219547355</v>
      </c>
      <c r="I3" s="346">
        <f>'Исходные данные и результаты'!$B$49*'Ввод составов (база)'!J4+'Исходные данные и результаты'!$B$50*'Ввод составов (база)'!J5+'Исходные данные и результаты'!$B$51*'Ввод составов (база)'!J6+'Исходные данные и результаты'!$B$52*'Ввод составов (база)'!J7+'Исходные данные и результаты'!$B$53*'Ввод составов (база)'!J8+'Исходные данные и результаты'!$B$55*'Ввод составов (база)'!J9+'Исходные данные и результаты'!$B$56*'Ввод составов (база)'!J10+'Исходные данные и результаты'!$B$57*'Ввод составов (база)'!J11+'Исходные данные и результаты'!$B$58*'Ввод составов (база)'!J12+'Исходные данные и результаты'!$B$59*'Ввод составов (база)'!J13+'Исходные данные и результаты'!$B$60*'Ввод составов (база)'!J14+'Исходные данные и результаты'!$B$61*'Ввод составов (база)'!J15+'Исходные данные и результаты'!$B$62*'Ввод составов (база)'!J16+'Исходные данные и результаты'!$B$63*'Ввод составов (база)'!J17+'Исходные данные и результаты'!$B$64*'Ввод составов (база)'!J18+'Исходные данные и результаты'!$B$65*'Ввод составов (база)'!J18</f>
        <v>2.2673946470616501E-2</v>
      </c>
      <c r="J3" s="346">
        <f>'Исходные данные и результаты'!$B$49*'Ввод составов (база)'!K4+'Исходные данные и результаты'!$B$50*'Ввод составов (база)'!K5+'Исходные данные и результаты'!$B$51*'Ввод составов (база)'!K6+'Исходные данные и результаты'!$B$52*'Ввод составов (база)'!K7+'Исходные данные и результаты'!$B$53*'Ввод составов (база)'!K8+'Исходные данные и результаты'!$B$55*'Ввод составов (база)'!K9+'Исходные данные и результаты'!$B$56*'Ввод составов (база)'!K10+'Исходные данные и результаты'!$B$57*'Ввод составов (база)'!K11+'Исходные данные и результаты'!$B$58*'Ввод составов (база)'!K12+'Исходные данные и результаты'!$B$59*'Ввод составов (база)'!K13+'Исходные данные и результаты'!$B$60*'Ввод составов (база)'!K14+'Исходные данные и результаты'!$B$61*'Ввод составов (база)'!K15+'Исходные данные и результаты'!$B$62*'Ввод составов (база)'!K16+'Исходные данные и результаты'!$B$63*'Ввод составов (база)'!K17+'Исходные данные и результаты'!$B$64*'Ввод составов (база)'!K18+'Исходные данные и результаты'!$B$65*'Ввод составов (база)'!K18</f>
        <v>3.384537624333285E-2</v>
      </c>
      <c r="K3" s="346">
        <f>'Исходные данные и результаты'!$B$49*'Ввод составов (база)'!L4+'Исходные данные и результаты'!$B$50*'Ввод составов (база)'!L5+'Исходные данные и результаты'!$B$51*'Ввод составов (база)'!L6+'Исходные данные и результаты'!$B$52*'Ввод составов (база)'!L7+'Исходные данные и результаты'!$B$53*'Ввод составов (база)'!L8+'Исходные данные и результаты'!$B$55*'Ввод составов (база)'!L9+'Исходные данные и результаты'!$B$56*'Ввод составов (база)'!L10+'Исходные данные и результаты'!$B$57*'Ввод составов (база)'!L11+'Исходные данные и результаты'!$B$58*'Ввод составов (база)'!L12+'Исходные данные и результаты'!$B$59*'Ввод составов (база)'!L13+'Исходные данные и результаты'!$B$60*'Ввод составов (база)'!L14+'Исходные данные и результаты'!$B$61*'Ввод составов (база)'!L15+'Исходные данные и результаты'!$B$62*'Ввод составов (база)'!L16+'Исходные данные и результаты'!$B$63*'Ввод составов (база)'!L17+'Исходные данные и результаты'!$B$64*'Ввод составов (база)'!L18+'Исходные данные и результаты'!$B$65*'Ввод составов (база)'!L18</f>
        <v>0.29338210561722167</v>
      </c>
      <c r="L3" s="346">
        <f>'Исходные данные и результаты'!$B$49*'Ввод составов (база)'!M4+'Исходные данные и результаты'!$B$50*'Ввод составов (база)'!M5+'Исходные данные и результаты'!$B$51*'Ввод составов (база)'!M6+'Исходные данные и результаты'!$B$52*'Ввод составов (база)'!M7+'Исходные данные и результаты'!$B$53*'Ввод составов (база)'!M8+'Исходные данные и результаты'!$B$55*'Ввод составов (база)'!M9+'Исходные данные и результаты'!$B$56*'Ввод составов (база)'!M10+'Исходные данные и результаты'!$B$57*'Ввод составов (база)'!M11+'Исходные данные и результаты'!$B$58*'Ввод составов (база)'!M12+'Исходные данные и результаты'!$B$59*'Ввод составов (база)'!M13+'Исходные данные и результаты'!$B$60*'Ввод составов (база)'!M14+'Исходные данные и результаты'!$B$61*'Ввод составов (база)'!M15+'Исходные данные и результаты'!$B$62*'Ввод составов (база)'!M16+'Исходные данные и результаты'!$B$63*'Ввод составов (база)'!M17+'Исходные данные и результаты'!$B$64*'Ввод составов (база)'!M18+'Исходные данные и результаты'!$B$65*'Ввод составов (база)'!M18</f>
        <v>2.8175688337898235E-2</v>
      </c>
      <c r="M3" s="346">
        <f>'Исходные данные и результаты'!$B$49*'Ввод составов (база)'!N4+'Исходные данные и результаты'!$B$50*'Ввод составов (база)'!N5+'Исходные данные и результаты'!$B$51*'Ввод составов (база)'!N6+'Исходные данные и результаты'!$B$52*'Ввод составов (база)'!N7+'Исходные данные и результаты'!$B$53*'Ввод составов (база)'!N8+'Исходные данные и результаты'!$B$55*'Ввод составов (база)'!N9+'Исходные данные и результаты'!$B$56*'Ввод составов (база)'!N10+'Исходные данные и результаты'!$B$57*'Ввод составов (база)'!N11+'Исходные данные и результаты'!$B$58*'Ввод составов (база)'!N12+'Исходные данные и результаты'!$B$59*'Ввод составов (база)'!N13+'Исходные данные и результаты'!$B$60*'Ввод составов (база)'!N14+'Исходные данные и результаты'!$B$61*'Ввод составов (база)'!N15+'Исходные данные и результаты'!$B$62*'Ввод составов (база)'!N16+'Исходные данные и результаты'!$B$63*'Ввод составов (база)'!N17+'Исходные данные и результаты'!$B$64*'Ввод составов (база)'!N18+'Исходные данные и результаты'!$B$65*'Ввод составов (база)'!N18</f>
        <v>2.7048796309643942E-2</v>
      </c>
      <c r="N3" s="346">
        <f>'Исходные данные и результаты'!$B$49*'Ввод составов (база)'!O4+'Исходные данные и результаты'!$B$50*'Ввод составов (база)'!O5+'Исходные данные и результаты'!$B$51*'Ввод составов (база)'!O6+'Исходные данные и результаты'!$B$52*'Ввод составов (база)'!O7+'Исходные данные и результаты'!$B$53*'Ввод составов (база)'!O8+'Исходные данные и результаты'!$B$55*'Ввод составов (база)'!O9+'Исходные данные и результаты'!$B$56*'Ввод составов (база)'!O10+'Исходные данные и результаты'!$B$57*'Ввод составов (база)'!O11+'Исходные данные и результаты'!$B$58*'Ввод составов (база)'!O12+'Исходные данные и результаты'!$B$59*'Ввод составов (база)'!O13+'Исходные данные и результаты'!$B$60*'Ввод составов (база)'!O14+'Исходные данные и результаты'!$B$61*'Ввод составов (база)'!O15+'Исходные данные и результаты'!$B$62*'Ввод составов (база)'!O16+'Исходные данные и результаты'!$B$63*'Ввод составов (база)'!O17+'Исходные данные и результаты'!$B$64*'Ввод составов (база)'!O18+'Исходные данные и результаты'!$B$65*'Ввод составов (база)'!O18</f>
        <v>0.10956844997837684</v>
      </c>
      <c r="O3" s="346">
        <f>'Исходные данные и результаты'!$B$49*'Ввод составов (база)'!P4+'Исходные данные и результаты'!$B$50*'Ввод составов (база)'!P5+'Исходные данные и результаты'!$B$51*'Ввод составов (база)'!P6+'Исходные данные и результаты'!$B$52*'Ввод составов (база)'!P7+'Исходные данные и результаты'!$B$53*'Ввод составов (база)'!P8+'Исходные данные и результаты'!$B$55*'Ввод составов (база)'!P9+'Исходные данные и результаты'!$B$56*'Ввод составов (база)'!P10+'Исходные данные и результаты'!$B$57*'Ввод составов (база)'!P11+'Исходные данные и результаты'!$B$58*'Ввод составов (база)'!P12+'Исходные данные и результаты'!$B$59*'Ввод составов (база)'!P13+'Исходные данные и результаты'!$B$60*'Ввод составов (база)'!P14+'Исходные данные и результаты'!$B$61*'Ввод составов (база)'!P15+'Исходные данные и результаты'!$B$62*'Ввод составов (база)'!P16+'Исходные данные и результаты'!$B$63*'Ввод составов (база)'!P17+'Исходные данные и результаты'!$B$64*'Ввод составов (база)'!P18+'Исходные данные и результаты'!$B$65*'Ввод составов (база)'!P18</f>
        <v>0.3371555307289415</v>
      </c>
      <c r="P3" s="346">
        <f>'Исходные данные и результаты'!$B$49*'Ввод составов (база)'!Q4+'Исходные данные и результаты'!$B$50*'Ввод составов (база)'!Q5+'Исходные данные и результаты'!$B$51*'Ввод составов (база)'!Q6+'Исходные данные и результаты'!$B$52*'Ввод составов (база)'!Q7+'Исходные данные и результаты'!$B$53*'Ввод составов (база)'!Q8+'Исходные данные и результаты'!$B$55*'Ввод составов (база)'!Q9+'Исходные данные и результаты'!$B$56*'Ввод составов (база)'!Q10+'Исходные данные и результаты'!$B$57*'Ввод составов (база)'!Q11+'Исходные данные и результаты'!$B$58*'Ввод составов (база)'!Q12+'Исходные данные и результаты'!$B$59*'Ввод составов (база)'!Q13+'Исходные данные и результаты'!$B$60*'Ввод составов (база)'!Q14+'Исходные данные и результаты'!$B$61*'Ввод составов (база)'!Q15+'Исходные данные и результаты'!$B$62*'Ввод составов (база)'!Q16+'Исходные данные и результаты'!$B$63*'Ввод составов (база)'!Q17+'Исходные данные и результаты'!$B$64*'Ввод составов (база)'!Q18+'Исходные данные и результаты'!$B$65*'Ввод составов (база)'!Q18</f>
        <v>3.3808911152755756E-2</v>
      </c>
      <c r="Q3" s="11"/>
      <c r="R3" s="11"/>
    </row>
    <row r="4" spans="1:18" x14ac:dyDescent="0.2">
      <c r="A4" s="18">
        <f>A3*B72/(B72+'Исходные данные и результаты'!B69+'Исходные данные и результаты'!B70+'Исходные данные и результаты'!B71+'Исходные данные и результаты'!B72+'Исходные данные и результаты'!B73)</f>
        <v>58.022818605475209</v>
      </c>
    </row>
    <row r="5" spans="1:18" x14ac:dyDescent="0.2">
      <c r="A5" s="1"/>
      <c r="B5" s="1"/>
      <c r="C5" s="1"/>
      <c r="D5" s="1"/>
      <c r="E5" s="1"/>
      <c r="F5" s="1"/>
      <c r="H5" s="1"/>
      <c r="I5" s="1"/>
      <c r="J5" s="1"/>
      <c r="K5" s="1"/>
      <c r="L5" s="1"/>
      <c r="M5" s="1"/>
      <c r="N5" s="1"/>
      <c r="O5" s="1"/>
      <c r="P5" s="1"/>
    </row>
    <row r="6" spans="1:18" ht="20.25" x14ac:dyDescent="0.3">
      <c r="A6" s="2" t="s">
        <v>104</v>
      </c>
      <c r="H6" s="59" t="s">
        <v>105</v>
      </c>
      <c r="I6" s="60"/>
      <c r="J6" s="60"/>
      <c r="K6" s="60"/>
      <c r="L6" s="60"/>
      <c r="M6" s="60"/>
    </row>
    <row r="7" spans="1:18" x14ac:dyDescent="0.2">
      <c r="A7" s="13" t="s">
        <v>106</v>
      </c>
      <c r="B7">
        <f>(1.84*'Исходные данные и результаты'!B22-0.9*'Исходные данные и результаты'!B21)/('Исходные данные и результаты'!B22+0.9*'Исходные данные и результаты'!B24)</f>
        <v>0.77962966992319238</v>
      </c>
    </row>
    <row r="8" spans="1:18" x14ac:dyDescent="0.2">
      <c r="A8" s="13" t="s">
        <v>107</v>
      </c>
      <c r="B8">
        <f>('Исходные данные и результаты'!B21+База!B7*'Исходные данные и результаты'!B24)/('Исходные данные и результаты'!B22+0.6*'Исходные данные и результаты'!B23*(('Исходные данные и результаты'!B21+База!B7*'Исходные данные и результаты'!B24)/'Исходные данные и результаты'!B22-1.19))</f>
        <v>1.1806317827033046</v>
      </c>
    </row>
    <row r="10" spans="1:18" x14ac:dyDescent="0.2">
      <c r="A10" s="2" t="s">
        <v>108</v>
      </c>
    </row>
    <row r="11" spans="1:18" x14ac:dyDescent="0.2">
      <c r="A11" s="13" t="s">
        <v>109</v>
      </c>
      <c r="B11">
        <f>'Исходные данные и результаты'!B21/(SUM('Исходные данные и результаты'!B21:B23))*100</f>
        <v>43.448594888400606</v>
      </c>
    </row>
    <row r="12" spans="1:18" x14ac:dyDescent="0.2">
      <c r="A12" s="13" t="s">
        <v>110</v>
      </c>
      <c r="B12">
        <f>'Исходные данные и результаты'!B22/(SUM('Исходные данные и результаты'!B21:B23))*100</f>
        <v>43.772406615010986</v>
      </c>
    </row>
    <row r="13" spans="1:18" x14ac:dyDescent="0.2">
      <c r="A13" s="13" t="s">
        <v>111</v>
      </c>
      <c r="B13">
        <f>100-B12-B11</f>
        <v>12.778998496588407</v>
      </c>
    </row>
    <row r="15" spans="1:18" x14ac:dyDescent="0.2">
      <c r="A15" s="2" t="s">
        <v>112</v>
      </c>
    </row>
    <row r="16" spans="1:18" x14ac:dyDescent="0.2">
      <c r="A16" t="s">
        <v>113</v>
      </c>
    </row>
    <row r="17" spans="1:6" ht="15.75" x14ac:dyDescent="0.3">
      <c r="A17" s="14" t="s">
        <v>114</v>
      </c>
      <c r="B17" s="33">
        <f>103.17-2.3838*B11+0.0466*B12-0.2523*B13+18.7782*(B11/B12)+0.0036*(B12/B13)</f>
        <v>17.06450952525827</v>
      </c>
      <c r="C17" t="s">
        <v>115</v>
      </c>
    </row>
    <row r="18" spans="1:6" ht="15.75" x14ac:dyDescent="0.3">
      <c r="A18" s="14" t="s">
        <v>116</v>
      </c>
      <c r="B18" s="33">
        <f>24.4038-0.63*B11+0.1594*B12+0.1649*B13+0.0106*(B11/B12)+0.1057*(B12/B13)</f>
        <v>6.4883436430732786</v>
      </c>
      <c r="C18" t="s">
        <v>115</v>
      </c>
    </row>
    <row r="20" spans="1:6" x14ac:dyDescent="0.2">
      <c r="A20" t="s">
        <v>285</v>
      </c>
    </row>
    <row r="21" spans="1:6" ht="15.75" x14ac:dyDescent="0.3">
      <c r="A21" s="14" t="s">
        <v>118</v>
      </c>
      <c r="B21">
        <f>B17-(-0.0611*POWER('Исходные данные и результаты'!B24,2)+1.5534*'Исходные данные и результаты'!B24-5.17)-0.4*'Исходные данные и результаты'!B26</f>
        <v>12.778479635258272</v>
      </c>
      <c r="C21" t="s">
        <v>115</v>
      </c>
      <c r="D21" s="94" t="s">
        <v>286</v>
      </c>
    </row>
    <row r="22" spans="1:6" ht="15.75" x14ac:dyDescent="0.3">
      <c r="A22" s="14" t="s">
        <v>119</v>
      </c>
      <c r="B22">
        <f>B18-(-0.0278*POWER('Исходные данные и результаты'!B24,2)+0.7378*'Исходные данные и результаты'!B24-1.96)-0.1*'Исходные данные и результаты'!B26</f>
        <v>3.9525724230732782</v>
      </c>
      <c r="C22" t="s">
        <v>115</v>
      </c>
      <c r="D22" s="94" t="s">
        <v>286</v>
      </c>
      <c r="E22" s="130"/>
    </row>
    <row r="24" spans="1:6" x14ac:dyDescent="0.2">
      <c r="A24" s="2" t="s">
        <v>120</v>
      </c>
    </row>
    <row r="25" spans="1:6" x14ac:dyDescent="0.2">
      <c r="A25" t="s">
        <v>121</v>
      </c>
    </row>
    <row r="26" spans="1:6" x14ac:dyDescent="0.2">
      <c r="A26" s="13" t="s">
        <v>107</v>
      </c>
      <c r="B26">
        <f>-0.01*(LOG10(LOG10(B21)) -LOG10(LOG10(B22)))</f>
        <v>-2.6805634064901297E-3</v>
      </c>
    </row>
    <row r="27" spans="1:6" x14ac:dyDescent="0.2">
      <c r="A27" s="13" t="s">
        <v>122</v>
      </c>
      <c r="B27">
        <f>LOG10(LOG10(B22))-1500*B26</f>
        <v>3.7967320175816535</v>
      </c>
    </row>
    <row r="29" spans="1:6" x14ac:dyDescent="0.2">
      <c r="A29" s="2" t="s">
        <v>123</v>
      </c>
    </row>
    <row r="30" spans="1:6" ht="25.5" x14ac:dyDescent="0.2">
      <c r="A30" s="81" t="s">
        <v>124</v>
      </c>
      <c r="B30" s="83" t="s">
        <v>125</v>
      </c>
      <c r="C30" s="84"/>
      <c r="D30" s="84"/>
      <c r="E30" s="84"/>
      <c r="F30" s="85"/>
    </row>
    <row r="31" spans="1:6" x14ac:dyDescent="0.2">
      <c r="A31" s="82"/>
      <c r="B31" s="5">
        <v>1350</v>
      </c>
      <c r="C31" s="5">
        <v>1400</v>
      </c>
      <c r="D31" s="5">
        <v>1450</v>
      </c>
      <c r="E31" s="5">
        <v>1500</v>
      </c>
      <c r="F31" s="5">
        <v>1550</v>
      </c>
    </row>
    <row r="32" spans="1:6" x14ac:dyDescent="0.2">
      <c r="A32" s="4" t="s">
        <v>56</v>
      </c>
      <c r="B32" s="4">
        <f>POWER(10,POWER(10,$B$27+$B$26*B31))</f>
        <v>32.100213338024815</v>
      </c>
      <c r="C32" s="4">
        <f>POWER(10,POWER(10,$B$27+$B$26*C31))</f>
        <v>12.778479635258272</v>
      </c>
      <c r="D32" s="4">
        <f>POWER(10,POWER(10,$B$27+$B$26*D31))</f>
        <v>6.4963825487628695</v>
      </c>
      <c r="E32" s="4">
        <f>POWER(10,POWER(10,$B$27+$B$26*E31))</f>
        <v>3.9525724230732782</v>
      </c>
      <c r="F32" s="4">
        <f>POWER(10,POWER(10,$B$27+$B$26*F31))</f>
        <v>2.7440251061622156</v>
      </c>
    </row>
    <row r="33" spans="1:5" x14ac:dyDescent="0.2">
      <c r="A33" t="s">
        <v>237</v>
      </c>
      <c r="E33">
        <f>(B27-LOG10(LOG10(7)))/-B26</f>
        <v>1443.6610280282596</v>
      </c>
    </row>
    <row r="34" spans="1:5" x14ac:dyDescent="0.2">
      <c r="A34" s="2" t="s">
        <v>126</v>
      </c>
    </row>
    <row r="35" spans="1:5" x14ac:dyDescent="0.2">
      <c r="A35" s="15" t="s">
        <v>127</v>
      </c>
    </row>
    <row r="36" spans="1:5" x14ac:dyDescent="0.2">
      <c r="A36" t="s">
        <v>128</v>
      </c>
      <c r="B36">
        <f>(B27-LOG10(LOG10(25)))/-B26</f>
        <v>1362.1179317324463</v>
      </c>
    </row>
    <row r="37" spans="1:5" x14ac:dyDescent="0.2">
      <c r="A37" s="15" t="s">
        <v>129</v>
      </c>
    </row>
    <row r="38" spans="1:5" x14ac:dyDescent="0.2">
      <c r="A38" t="s">
        <v>130</v>
      </c>
      <c r="B38" s="56">
        <f>'Исходные данные и результаты'!B75+80*'Исходные данные и результаты'!B14-10*'Исходные данные и результаты'!B14*'Исходные данные и результаты'!B14</f>
        <v>1527.6</v>
      </c>
    </row>
    <row r="39" spans="1:5" x14ac:dyDescent="0.2">
      <c r="A39" t="s">
        <v>131</v>
      </c>
    </row>
    <row r="40" spans="1:5" ht="14.25" x14ac:dyDescent="0.2">
      <c r="A40" s="14" t="s">
        <v>132</v>
      </c>
      <c r="B40">
        <f>POWER(10,POWER(10,B27+B26*B38))</f>
        <v>3.1870478124753983</v>
      </c>
    </row>
    <row r="42" spans="1:5" x14ac:dyDescent="0.2">
      <c r="A42" s="2" t="s">
        <v>133</v>
      </c>
    </row>
    <row r="43" spans="1:5" x14ac:dyDescent="0.2">
      <c r="A43" s="16" t="s">
        <v>134</v>
      </c>
    </row>
    <row r="44" spans="1:5" x14ac:dyDescent="0.2">
      <c r="A44" t="s">
        <v>135</v>
      </c>
      <c r="B44">
        <f>'Исходные данные и результаты'!B17+0.63*'Исходные данные и результаты'!B14+0.4*'Исходные данные и результаты'!B18</f>
        <v>5.2021999999999995</v>
      </c>
      <c r="C44" t="s">
        <v>136</v>
      </c>
    </row>
    <row r="45" spans="1:5" x14ac:dyDescent="0.2">
      <c r="A45" s="16" t="s">
        <v>137</v>
      </c>
    </row>
    <row r="46" spans="1:5" x14ac:dyDescent="0.2">
      <c r="A46" t="s">
        <v>138</v>
      </c>
      <c r="B46">
        <f>POWER(10,0.11*B44+0.006*B44*B44)</f>
        <v>5.4277434139117906</v>
      </c>
    </row>
    <row r="48" spans="1:5" x14ac:dyDescent="0.2">
      <c r="A48" s="2" t="s">
        <v>139</v>
      </c>
    </row>
    <row r="49" spans="1:5" x14ac:dyDescent="0.2">
      <c r="A49" s="13" t="s">
        <v>140</v>
      </c>
      <c r="B49">
        <f>0.57-0.00214*'Исходные данные и результаты'!B12</f>
        <v>0.37311999999999995</v>
      </c>
    </row>
    <row r="50" spans="1:5" x14ac:dyDescent="0.2">
      <c r="A50" s="2" t="s">
        <v>141</v>
      </c>
    </row>
    <row r="51" spans="1:5" x14ac:dyDescent="0.2">
      <c r="A51" s="13" t="s">
        <v>142</v>
      </c>
      <c r="B51" s="55">
        <f>94.41*10*B49*0.214</f>
        <v>75.38419468799998</v>
      </c>
      <c r="C51" t="s">
        <v>143</v>
      </c>
    </row>
    <row r="52" spans="1:5" x14ac:dyDescent="0.2">
      <c r="A52" s="2" t="s">
        <v>144</v>
      </c>
    </row>
    <row r="53" spans="1:5" x14ac:dyDescent="0.2">
      <c r="A53" s="13" t="s">
        <v>145</v>
      </c>
      <c r="B53">
        <f>2.18*'Исходные данные и результаты'!B16+9.68*'Исходные данные и результаты'!B18+8.57*'Исходные данные и результаты'!B14</f>
        <v>8.1612600000000004</v>
      </c>
      <c r="C53" t="s">
        <v>143</v>
      </c>
    </row>
    <row r="54" spans="1:5" x14ac:dyDescent="0.2">
      <c r="A54" s="2" t="s">
        <v>146</v>
      </c>
    </row>
    <row r="55" spans="1:5" x14ac:dyDescent="0.2">
      <c r="A55" s="13" t="s">
        <v>147</v>
      </c>
      <c r="B55">
        <f>0.01*'Исходные данные и результаты'!B74*(100-('Ввод составов (база)'!A33+'Ввод составов (база)'!B33+'Ввод составов (база)'!C33))</f>
        <v>355.07708900000006</v>
      </c>
      <c r="C55" t="s">
        <v>143</v>
      </c>
    </row>
    <row r="56" spans="1:5" x14ac:dyDescent="0.2">
      <c r="A56" s="2" t="s">
        <v>148</v>
      </c>
    </row>
    <row r="57" spans="1:5" x14ac:dyDescent="0.2">
      <c r="A57" s="13" t="s">
        <v>149</v>
      </c>
      <c r="B57" s="56">
        <f>0.008*B55</f>
        <v>2.8406167120000005</v>
      </c>
      <c r="C57" t="s">
        <v>143</v>
      </c>
    </row>
    <row r="58" spans="1:5" x14ac:dyDescent="0.2">
      <c r="A58" s="2" t="s">
        <v>150</v>
      </c>
    </row>
    <row r="59" spans="1:5" x14ac:dyDescent="0.2">
      <c r="A59" s="13" t="s">
        <v>151</v>
      </c>
      <c r="B59" s="23">
        <f>B55-(10*'Исходные данные и результаты'!B17+База!B51+База!B53+База!B57)</f>
        <v>221.96101760000005</v>
      </c>
      <c r="C59" t="s">
        <v>143</v>
      </c>
    </row>
    <row r="60" spans="1:5" x14ac:dyDescent="0.2">
      <c r="A60" s="2" t="s">
        <v>152</v>
      </c>
    </row>
    <row r="61" spans="1:5" x14ac:dyDescent="0.2">
      <c r="A61" s="13" t="s">
        <v>153</v>
      </c>
      <c r="B61">
        <f>'Исходные данные и результаты'!B12/База!B59</f>
        <v>0.4144871968725376</v>
      </c>
      <c r="C61" t="s">
        <v>154</v>
      </c>
    </row>
    <row r="62" spans="1:5" x14ac:dyDescent="0.2">
      <c r="A62" s="2" t="s">
        <v>155</v>
      </c>
    </row>
    <row r="63" spans="1:5" x14ac:dyDescent="0.2">
      <c r="A63" s="13" t="s">
        <v>156</v>
      </c>
      <c r="B63" s="56">
        <f>1.8667+B61</f>
        <v>2.2811871968725375</v>
      </c>
      <c r="C63" t="s">
        <v>154</v>
      </c>
    </row>
    <row r="64" spans="1:5" x14ac:dyDescent="0.2">
      <c r="A64" s="34" t="s">
        <v>157</v>
      </c>
      <c r="B64" s="56">
        <f>(0.9333+0.5*B61)/(0.01*'Исходные данные и результаты'!B11+0.00062*'Исходные данные и результаты'!B10)*0.00124*'Исходные данные и результаты'!B10+2*B61</f>
        <v>0.8381877643218959</v>
      </c>
      <c r="C64" t="s">
        <v>154</v>
      </c>
      <c r="E64" s="94" t="s">
        <v>247</v>
      </c>
    </row>
    <row r="65" spans="1:10" x14ac:dyDescent="0.2">
      <c r="A65" s="34" t="s">
        <v>158</v>
      </c>
      <c r="B65" s="56">
        <f>(0.9333+0.5*B61)/(0.01*'Исходные данные и результаты'!B11+0.00062*'Исходные данные и результаты'!B10)*(1-0.01*'Исходные данные и результаты'!B11)</f>
        <v>3.2347322409416321</v>
      </c>
      <c r="C65" t="s">
        <v>154</v>
      </c>
    </row>
    <row r="66" spans="1:10" x14ac:dyDescent="0.2">
      <c r="A66" s="35" t="s">
        <v>159</v>
      </c>
    </row>
    <row r="67" spans="1:10" x14ac:dyDescent="0.2">
      <c r="A67" s="13" t="s">
        <v>160</v>
      </c>
      <c r="B67" s="23">
        <f>B63+B64+B65</f>
        <v>6.3541072021360652</v>
      </c>
      <c r="C67" t="s">
        <v>154</v>
      </c>
    </row>
    <row r="68" spans="1:10" x14ac:dyDescent="0.2">
      <c r="A68" s="35" t="s">
        <v>161</v>
      </c>
    </row>
    <row r="69" spans="1:10" x14ac:dyDescent="0.2">
      <c r="A69" s="13" t="s">
        <v>162</v>
      </c>
      <c r="B69" s="23">
        <f>('Исходные данные и результаты'!B8+1)*B63/База!B67</f>
        <v>1.2816652338029861</v>
      </c>
      <c r="C69" t="s">
        <v>163</v>
      </c>
    </row>
    <row r="71" spans="1:10" x14ac:dyDescent="0.2">
      <c r="A71" s="36" t="s">
        <v>164</v>
      </c>
    </row>
    <row r="72" spans="1:10" x14ac:dyDescent="0.2">
      <c r="A72" s="13" t="s">
        <v>165</v>
      </c>
      <c r="B72">
        <f>('Исходные данные и результаты'!B47-('Исходные данные и результаты'!B6+'Исходные данные и результаты'!B6))*0.99</f>
        <v>1599.7212</v>
      </c>
      <c r="C72" t="s">
        <v>143</v>
      </c>
    </row>
    <row r="73" spans="1:10" x14ac:dyDescent="0.2">
      <c r="A73" s="2" t="s">
        <v>166</v>
      </c>
    </row>
    <row r="74" spans="1:10" x14ac:dyDescent="0.2">
      <c r="A74" s="13" t="s">
        <v>167</v>
      </c>
      <c r="B74" s="55">
        <f>B80*База!J3/100+'Исходные данные и результаты'!B74*'Ввод составов (база)'!B33/100+'Исходные данные и результаты'!B69*'Ввод составов (база)'!J24/100+'Исходные данные и результаты'!B71*'Ввод составов (база)'!J26/100</f>
        <v>2.3801743142585519</v>
      </c>
      <c r="D74" s="126" t="s">
        <v>246</v>
      </c>
    </row>
    <row r="75" spans="1:10" x14ac:dyDescent="0.2">
      <c r="H75" s="75" t="s">
        <v>168</v>
      </c>
      <c r="I75" s="75"/>
      <c r="J75" s="75"/>
    </row>
    <row r="76" spans="1:10" x14ac:dyDescent="0.2">
      <c r="A76" s="2" t="s">
        <v>169</v>
      </c>
      <c r="H76" s="75" t="s">
        <v>170</v>
      </c>
      <c r="I76" s="75">
        <f>7.324*LOG10(B8)+0.0004194 *B38-0.525 *LOG10(B40)+1.153*LOG10(B46/B69)+0.0002683*'Исходные данные и результаты'!B4</f>
        <v>1.7157061965052074</v>
      </c>
    </row>
    <row r="77" spans="1:10" x14ac:dyDescent="0.2">
      <c r="A77" s="13" t="s">
        <v>171</v>
      </c>
      <c r="B77" s="37">
        <f>'Исходные данные и результаты'!B25/'Исходные данные и результаты'!B15</f>
        <v>37.89473684210526</v>
      </c>
      <c r="H77" s="75" t="s">
        <v>172</v>
      </c>
      <c r="I77" s="75">
        <f>10^I76</f>
        <v>51.964433428174992</v>
      </c>
    </row>
    <row r="79" spans="1:10" x14ac:dyDescent="0.2">
      <c r="A79" s="2" t="s">
        <v>173</v>
      </c>
      <c r="H79" s="75" t="s">
        <v>242</v>
      </c>
    </row>
    <row r="80" spans="1:10" x14ac:dyDescent="0.2">
      <c r="A80" s="13" t="s">
        <v>165</v>
      </c>
      <c r="B80" s="49">
        <f>94*1000/A3</f>
        <v>1613.2552651593294</v>
      </c>
      <c r="C80" t="s">
        <v>143</v>
      </c>
      <c r="H80">
        <f>B80/0.99+'Исходные данные и результаты'!B6+'Исходные данные и результаты'!B6</f>
        <v>1678.5507728882114</v>
      </c>
    </row>
    <row r="81" spans="1:12" x14ac:dyDescent="0.2">
      <c r="A81" s="2" t="s">
        <v>174</v>
      </c>
    </row>
    <row r="82" spans="1:12" x14ac:dyDescent="0.2">
      <c r="A82" s="13" t="s">
        <v>175</v>
      </c>
      <c r="B82" s="58">
        <f>(B80*F3+0.01*'Исходные данные и результаты'!B74*'Ввод составов (база)'!A33*'Ввод составов (база)'!B37+'Ввод составов (база)'!C24*'Исходные данные и результаты'!B69+'Ввод составов (база)'!C27*'Исходные данные и результаты'!B72+'Исходные данные и результаты'!B73*'Ввод составов (база)'!H18)/'Исходные данные и результаты'!B21</f>
        <v>324.5748217835428</v>
      </c>
    </row>
    <row r="83" spans="1:12" ht="18" x14ac:dyDescent="0.25">
      <c r="A83" s="47" t="s">
        <v>176</v>
      </c>
      <c r="B83" s="47"/>
      <c r="C83" s="47"/>
      <c r="D83" s="47"/>
      <c r="E83" s="47"/>
      <c r="F83" s="47"/>
      <c r="G83" s="47"/>
      <c r="H83" s="47"/>
      <c r="I83" s="48"/>
    </row>
    <row r="84" spans="1:12" x14ac:dyDescent="0.2">
      <c r="A84" s="48" t="s">
        <v>489</v>
      </c>
      <c r="B84" s="48"/>
      <c r="C84" s="48"/>
      <c r="D84" s="48"/>
      <c r="F84" s="48" t="s">
        <v>177</v>
      </c>
      <c r="G84" s="48"/>
      <c r="H84" s="48"/>
      <c r="I84" s="48"/>
    </row>
    <row r="85" spans="1:12" x14ac:dyDescent="0.2">
      <c r="A85" t="s">
        <v>178</v>
      </c>
      <c r="B85">
        <f>B80*F3/100+'Исходные данные и результаты'!B74*'Ввод составов (база)'!A33/100*'Ввод составов (база)'!B37/100+'Исходные данные и результаты'!B69*'Ввод составов (база)'!C24/100+'Исходные данные и результаты'!B70*'Ввод составов (база)'!C25/100+'Исходные данные и результаты'!B71*'Ввод составов (база)'!C26/100+'Исходные данные и результаты'!B72*'Ввод составов (база)'!C27/100+'Исходные данные и результаты'!B73*'Ввод составов (база)'!C28/100</f>
        <v>121.94276054407703</v>
      </c>
      <c r="F85" s="25">
        <f>B85/B$94*100</f>
        <v>38.256522694486861</v>
      </c>
    </row>
    <row r="86" spans="1:12" x14ac:dyDescent="0.2">
      <c r="A86" t="s">
        <v>6</v>
      </c>
      <c r="B86">
        <f>B80*D3/100+'Исходные данные и результаты'!B74*'Ввод составов (база)'!A33/100*'Ввод составов (база)'!C37/100+'Исходные данные и результаты'!B69*'Ввод составов (база)'!D24/100+'Исходные данные и результаты'!B70*'Ввод составов (база)'!D25/100+'Исходные данные и результаты'!B71*'Ввод составов (база)'!D26/100+'Исходные данные и результаты'!B72*'Ввод составов (база)'!D27/100+'Исходные данные и результаты'!B73*'Ввод составов (база)'!D28/100-'Исходные данные и результаты'!B14*10*2.14</f>
        <v>122.01144352028783</v>
      </c>
      <c r="F86" s="25">
        <f t="shared" ref="F86:F92" si="0">B86/B$94*100</f>
        <v>38.278070278176202</v>
      </c>
      <c r="I86" s="94" t="s">
        <v>278</v>
      </c>
    </row>
    <row r="87" spans="1:12" x14ac:dyDescent="0.2">
      <c r="A87" t="s">
        <v>179</v>
      </c>
      <c r="B87">
        <f>B80*E3/100+'Исходные данные и результаты'!B74*'Ввод составов (база)'!A33/100*'Ввод составов (база)'!D37/100+'Исходные данные и результаты'!B69*'Ввод составов (база)'!E24/100+'Исходные данные и результаты'!B70*'Ввод составов (база)'!E25/100+'Исходные данные и результаты'!B71*'Ввод составов (база)'!E26/100+'Исходные данные и результаты'!B72*'Ввод составов (база)'!E27/100+'Исходные данные и результаты'!B73*'Ввод составов (база)'!E28/100</f>
        <v>37.408445197673437</v>
      </c>
      <c r="F87" s="25">
        <f t="shared" si="0"/>
        <v>11.735973716561672</v>
      </c>
      <c r="I87" s="89" t="s">
        <v>279</v>
      </c>
      <c r="J87" s="89"/>
      <c r="K87" s="89"/>
      <c r="L87" s="89"/>
    </row>
    <row r="88" spans="1:12" x14ac:dyDescent="0.2">
      <c r="A88" t="s">
        <v>9</v>
      </c>
      <c r="B88">
        <f>B80*H3/100+'Исходные данные и результаты'!B74*'Ввод составов (база)'!A33/100*'Ввод составов (база)'!E37/100+'Исходные данные и результаты'!B69*'Ввод составов (база)'!F24/100+'Исходные данные и результаты'!B70*'Ввод составов (база)'!F25/100+'Исходные данные и результаты'!B71*'Ввод составов (база)'!F26/100+'Исходные данные и результаты'!B72*'Ввод составов (база)'!F27/100+'Исходные данные и результаты'!B73*'Ввод составов (база)'!F28/100</f>
        <v>28.514057757226507</v>
      </c>
      <c r="F88" s="25">
        <f t="shared" si="0"/>
        <v>8.9455798182209456</v>
      </c>
      <c r="I88" s="89">
        <f>('Исходные данные и результаты'!B19*10*1.67)/('Исходные данные и результаты'!B26/100*'Исходные данные и результаты'!B78+'Исходные данные и результаты'!B19*10*1.67)</f>
        <v>0.29889307552513933</v>
      </c>
      <c r="J88" s="89"/>
      <c r="K88" s="89"/>
      <c r="L88" s="89"/>
    </row>
    <row r="89" spans="1:12" x14ac:dyDescent="0.2">
      <c r="A89" t="s">
        <v>16</v>
      </c>
      <c r="B89">
        <f>(B80*O3/100+'Исходные данные и результаты'!B69*'Ввод составов (база)'!G24/100+'Исходные данные и результаты'!B70*'Ввод составов (база)'!G25/100+'Исходные данные и результаты'!B71*'Ввод составов (база)'!G26/100+'Исходные данные и результаты'!B72*'Ввод составов (база)'!G27/100+'Исходные данные и результаты'!B73*'Ввод составов (база)'!G28/100)*(1-I88)</f>
        <v>3.8134463066294377</v>
      </c>
      <c r="C89" s="89" t="s">
        <v>274</v>
      </c>
      <c r="F89" s="25">
        <f t="shared" si="0"/>
        <v>1.1963743851857735</v>
      </c>
      <c r="I89" s="89" t="s">
        <v>281</v>
      </c>
      <c r="J89" s="89"/>
      <c r="K89" s="89"/>
      <c r="L89" s="89"/>
    </row>
    <row r="90" spans="1:12" x14ac:dyDescent="0.2">
      <c r="A90" t="s">
        <v>12</v>
      </c>
      <c r="B90">
        <f>(B80*База!K3/100+'Исходные данные и результаты'!B69*'Ввод составов (база)'!H24/100+'Исходные данные и результаты'!B70*'Ввод составов (база)'!H25/100+'Исходные данные и результаты'!B71*'Ввод составов (база)'!H26/100+'Исходные данные и результаты'!B72*'Ввод составов (база)'!H27/100+'Исходные данные и результаты'!B73*'Ввод составов (база)'!H28/100)*(1-0.6)</f>
        <v>1.8932009063620534</v>
      </c>
      <c r="F90" s="25">
        <f t="shared" si="0"/>
        <v>0.59394492232512364</v>
      </c>
      <c r="I90" s="89">
        <f>(I88*'Исходные данные и результаты'!B26/100*'Исходные данные и результаты'!B78)/(1.67*(1-База!I88))</f>
        <v>0.86999999999999966</v>
      </c>
      <c r="J90" s="89"/>
      <c r="K90" s="89"/>
      <c r="L90" s="89"/>
    </row>
    <row r="91" spans="1:12" x14ac:dyDescent="0.2">
      <c r="A91" t="s">
        <v>4</v>
      </c>
      <c r="B91">
        <f>(B80*A3/100+ 'Исходные данные и результаты'!B74*'Ввод составов (база)'!A33/100*'Ввод составов (база)'!A37/100)*72/56*(1-0.999)</f>
        <v>1.2147357850302867</v>
      </c>
      <c r="F91" s="25">
        <f t="shared" si="0"/>
        <v>0.38109328442682755</v>
      </c>
      <c r="I91" s="89" t="s">
        <v>282</v>
      </c>
      <c r="J91" s="89"/>
      <c r="K91" s="89"/>
      <c r="L91" s="89"/>
    </row>
    <row r="92" spans="1:12" x14ac:dyDescent="0.2">
      <c r="A92" t="s">
        <v>11</v>
      </c>
      <c r="B92">
        <f>(B80*J3/100+'Исходные данные и результаты'!B74*'Ввод составов (база)'!B33/100+'Исходные данные и результаты'!B69*'Ввод составов (база)'!J24/100+'Исходные данные и результаты'!B70*'Ввод составов (база)'!J25/100+'Исходные данные и результаты'!B71*'Ввод составов (база)'!J26/100+'Исходные данные и результаты'!B72*'Ввод составов (база)'!J27/100+'Исходные данные и результаты'!B73*'Ввод составов (база)'!J28/100)*(1-0.1)-'Исходные данные и результаты'!B15/100*1000</f>
        <v>1.9521568828326967</v>
      </c>
      <c r="F92" s="25">
        <f t="shared" si="0"/>
        <v>0.61244090061659062</v>
      </c>
      <c r="I92" s="89">
        <f>I90/10</f>
        <v>8.6999999999999966E-2</v>
      </c>
      <c r="J92" s="89"/>
      <c r="K92" s="89"/>
      <c r="L92" s="89"/>
    </row>
    <row r="93" spans="1:12" x14ac:dyDescent="0.2">
      <c r="A93" t="s">
        <v>75</v>
      </c>
      <c r="F93" s="18">
        <f>F85/F86</f>
        <v>0.99943707758691203</v>
      </c>
    </row>
    <row r="94" spans="1:12" x14ac:dyDescent="0.2">
      <c r="A94" t="s">
        <v>180</v>
      </c>
      <c r="B94">
        <f>SUM(B85:B92)</f>
        <v>318.75024690011929</v>
      </c>
      <c r="F94" s="49">
        <f>SUM(F85:F92)</f>
        <v>100</v>
      </c>
    </row>
    <row r="96" spans="1:12" x14ac:dyDescent="0.2">
      <c r="A96" s="48" t="s">
        <v>181</v>
      </c>
      <c r="B96" s="48"/>
    </row>
    <row r="97" spans="1:3" x14ac:dyDescent="0.2">
      <c r="A97" t="s">
        <v>104</v>
      </c>
    </row>
    <row r="99" spans="1:3" x14ac:dyDescent="0.2">
      <c r="A99" s="13" t="s">
        <v>106</v>
      </c>
      <c r="B99">
        <f>(1.84*F86-0.9*F85)/(F86+0.9*F88)</f>
        <v>0.77706635817023162</v>
      </c>
    </row>
    <row r="100" spans="1:3" x14ac:dyDescent="0.2">
      <c r="A100" s="13" t="s">
        <v>107</v>
      </c>
      <c r="B100">
        <f>(F85+F88*B99)/(F86+0.6*F87*((F85+B99*F88)/F86-1.19))</f>
        <v>1.182987833368812</v>
      </c>
    </row>
    <row r="102" spans="1:3" x14ac:dyDescent="0.2">
      <c r="A102" s="2" t="s">
        <v>108</v>
      </c>
    </row>
    <row r="103" spans="1:3" x14ac:dyDescent="0.2">
      <c r="A103" s="13" t="s">
        <v>109</v>
      </c>
      <c r="B103">
        <f>F85/(SUM(F85:F87))*100</f>
        <v>43.34006694346607</v>
      </c>
    </row>
    <row r="104" spans="1:3" x14ac:dyDescent="0.2">
      <c r="A104" s="13" t="s">
        <v>110</v>
      </c>
      <c r="B104">
        <f>F86/(SUM(F85:F87))*100</f>
        <v>43.364477779940252</v>
      </c>
    </row>
    <row r="105" spans="1:3" x14ac:dyDescent="0.2">
      <c r="A105" s="13" t="s">
        <v>111</v>
      </c>
      <c r="B105">
        <f>F87/(SUM(F85:F87))*100</f>
        <v>13.295455276593678</v>
      </c>
    </row>
    <row r="106" spans="1:3" x14ac:dyDescent="0.2">
      <c r="A106" t="s">
        <v>182</v>
      </c>
      <c r="B106">
        <f>SUM(B103:B105)</f>
        <v>100</v>
      </c>
    </row>
    <row r="107" spans="1:3" x14ac:dyDescent="0.2">
      <c r="A107" s="2" t="s">
        <v>183</v>
      </c>
    </row>
    <row r="108" spans="1:3" x14ac:dyDescent="0.2">
      <c r="A108" t="s">
        <v>184</v>
      </c>
    </row>
    <row r="109" spans="1:3" ht="15.75" x14ac:dyDescent="0.3">
      <c r="A109" s="14" t="s">
        <v>114</v>
      </c>
      <c r="B109" s="33">
        <f>103.17-2.3838*B103+0.0466*B104-0.2523*B105+18.7782*(B103/B104)+0.0036*(B104/B105)</f>
        <v>17.301660814414255</v>
      </c>
      <c r="C109" t="s">
        <v>115</v>
      </c>
    </row>
    <row r="110" spans="1:3" ht="15.75" x14ac:dyDescent="0.3">
      <c r="A110" s="14" t="s">
        <v>116</v>
      </c>
      <c r="B110" s="33">
        <f>24.4038-0.63*B103+0.1594*B104+0.1649*B105+0.0106*(B103/B104)+0.1057*(B104/B105)</f>
        <v>6.5596214776292721</v>
      </c>
      <c r="C110" t="s">
        <v>115</v>
      </c>
    </row>
    <row r="112" spans="1:3" x14ac:dyDescent="0.2">
      <c r="A112" t="s">
        <v>117</v>
      </c>
    </row>
    <row r="113" spans="1:13" ht="15.75" x14ac:dyDescent="0.3">
      <c r="A113" s="14" t="s">
        <v>118</v>
      </c>
      <c r="B113">
        <f>B109-(-0.0611*POWER(F88,2) + 1.5534*F88 -5.17)</f>
        <v>13.46502675995213</v>
      </c>
      <c r="C113" t="s">
        <v>115</v>
      </c>
    </row>
    <row r="114" spans="1:13" ht="15.75" x14ac:dyDescent="0.3">
      <c r="A114" s="14" t="s">
        <v>119</v>
      </c>
      <c r="B114">
        <f>B110-(-0.0278*POWER(F88,2)+0.7378*F88-1.96)</f>
        <v>4.1442231600455584</v>
      </c>
      <c r="C114" t="s">
        <v>115</v>
      </c>
    </row>
    <row r="116" spans="1:13" x14ac:dyDescent="0.2">
      <c r="A116" s="2" t="s">
        <v>120</v>
      </c>
    </row>
    <row r="117" spans="1:13" x14ac:dyDescent="0.2">
      <c r="A117" t="s">
        <v>121</v>
      </c>
    </row>
    <row r="118" spans="1:13" x14ac:dyDescent="0.2">
      <c r="A118" s="13" t="s">
        <v>107</v>
      </c>
      <c r="B118">
        <f>-0.01*(LOG10(LOG10(B113)) -LOG10(LOG10(B114)))</f>
        <v>-2.6217668140156004E-3</v>
      </c>
    </row>
    <row r="119" spans="1:13" ht="18" x14ac:dyDescent="0.25">
      <c r="A119" s="13" t="s">
        <v>122</v>
      </c>
      <c r="B119">
        <f>LOG10(LOG10(B114))-1500*B118</f>
        <v>3.7232471862537446</v>
      </c>
      <c r="H119" s="50" t="s">
        <v>185</v>
      </c>
      <c r="I119" s="50"/>
      <c r="J119" s="50"/>
      <c r="K119" s="50"/>
    </row>
    <row r="121" spans="1:13" x14ac:dyDescent="0.2">
      <c r="A121" s="2" t="s">
        <v>123</v>
      </c>
      <c r="H121" s="4"/>
      <c r="I121" s="4"/>
      <c r="J121" s="4"/>
      <c r="K121" s="4" t="s">
        <v>186</v>
      </c>
      <c r="L121" s="4" t="s">
        <v>187</v>
      </c>
      <c r="M121" s="4" t="s">
        <v>188</v>
      </c>
    </row>
    <row r="122" spans="1:13" ht="25.5" x14ac:dyDescent="0.2">
      <c r="A122" s="81" t="s">
        <v>124</v>
      </c>
      <c r="B122" s="83" t="s">
        <v>125</v>
      </c>
      <c r="C122" s="84"/>
      <c r="D122" s="84"/>
      <c r="E122" s="84"/>
      <c r="F122" s="85"/>
      <c r="H122" s="4" t="s">
        <v>189</v>
      </c>
      <c r="I122" s="4"/>
      <c r="J122" s="4"/>
      <c r="K122" s="7">
        <f>'Исходные данные и результаты'!B4</f>
        <v>329.45</v>
      </c>
      <c r="L122" s="7">
        <f>B94</f>
        <v>318.75024690011929</v>
      </c>
      <c r="M122" s="7">
        <f>B82</f>
        <v>324.5748217835428</v>
      </c>
    </row>
    <row r="123" spans="1:13" x14ac:dyDescent="0.2">
      <c r="A123" s="82"/>
      <c r="B123" s="5">
        <v>1350</v>
      </c>
      <c r="C123" s="5">
        <v>1400</v>
      </c>
      <c r="D123" s="5">
        <v>1450</v>
      </c>
      <c r="E123" s="5">
        <v>1500</v>
      </c>
      <c r="F123" s="5">
        <v>1550</v>
      </c>
      <c r="H123" s="4" t="s">
        <v>190</v>
      </c>
      <c r="I123" s="4"/>
      <c r="J123" s="4"/>
      <c r="K123" s="4"/>
      <c r="L123" s="4"/>
      <c r="M123" s="4"/>
    </row>
    <row r="124" spans="1:13" x14ac:dyDescent="0.2">
      <c r="A124" s="4" t="s">
        <v>56</v>
      </c>
      <c r="B124" s="4">
        <f>POWER(10,POWER(10,$B$119+$B$118*B123))</f>
        <v>33.657410250390782</v>
      </c>
      <c r="C124" s="4">
        <f>POWER(10,POWER(10,$B$119+$B$118*C123))</f>
        <v>13.465026759952146</v>
      </c>
      <c r="D124" s="4">
        <f>POWER(10,POWER(10,$B$119+$B$118*D123))</f>
        <v>6.8390810620046096</v>
      </c>
      <c r="E124" s="4">
        <f>POWER(10,POWER(10,$B$119+$B$118*E123))</f>
        <v>4.1442231600455575</v>
      </c>
      <c r="F124" s="4">
        <f>POWER(10,POWER(10,$B$119+$B$118*F123))</f>
        <v>2.8613521948014378</v>
      </c>
      <c r="H124" s="4"/>
      <c r="I124" s="51" t="s">
        <v>8</v>
      </c>
      <c r="J124" s="4"/>
      <c r="K124" s="52">
        <v>40.9</v>
      </c>
      <c r="L124" s="17">
        <f>F85</f>
        <v>38.256522694486861</v>
      </c>
      <c r="M124" s="4"/>
    </row>
    <row r="125" spans="1:13" x14ac:dyDescent="0.2">
      <c r="H125" s="4"/>
      <c r="I125" s="51" t="s">
        <v>6</v>
      </c>
      <c r="J125" s="4"/>
      <c r="K125" s="52">
        <v>36.56</v>
      </c>
      <c r="L125" s="17">
        <f>F86</f>
        <v>38.278070278176202</v>
      </c>
      <c r="M125" s="4"/>
    </row>
    <row r="126" spans="1:13" x14ac:dyDescent="0.2">
      <c r="A126" s="2" t="s">
        <v>126</v>
      </c>
      <c r="H126" s="4"/>
      <c r="I126" s="51" t="s">
        <v>7</v>
      </c>
      <c r="J126" s="4"/>
      <c r="K126" s="52">
        <v>11.43</v>
      </c>
      <c r="L126" s="17">
        <f>F87</f>
        <v>11.735973716561672</v>
      </c>
      <c r="M126" s="4"/>
    </row>
    <row r="127" spans="1:13" x14ac:dyDescent="0.2">
      <c r="A127" s="15" t="s">
        <v>127</v>
      </c>
      <c r="H127" s="4"/>
      <c r="I127" s="51" t="s">
        <v>9</v>
      </c>
      <c r="J127" s="4"/>
      <c r="K127" s="52">
        <v>7.3920000000000003</v>
      </c>
      <c r="L127" s="17">
        <f>F88</f>
        <v>8.9455798182209456</v>
      </c>
      <c r="M127" s="4"/>
    </row>
    <row r="128" spans="1:13" x14ac:dyDescent="0.2">
      <c r="A128" t="s">
        <v>128</v>
      </c>
      <c r="B128">
        <f>(B119-LOG10(LOG10(25)))/-B118</f>
        <v>1364.6364858506515</v>
      </c>
      <c r="H128" s="4"/>
      <c r="I128" s="51" t="s">
        <v>11</v>
      </c>
      <c r="J128" s="4"/>
      <c r="K128" s="52">
        <v>1.18</v>
      </c>
      <c r="L128" s="17">
        <f>F92</f>
        <v>0.61244090061659062</v>
      </c>
      <c r="M128" s="4"/>
    </row>
    <row r="129" spans="1:13" x14ac:dyDescent="0.2">
      <c r="A129" s="15" t="s">
        <v>129</v>
      </c>
      <c r="H129" s="4"/>
      <c r="I129" s="51" t="s">
        <v>16</v>
      </c>
      <c r="J129" s="4"/>
      <c r="K129" s="52">
        <v>0</v>
      </c>
      <c r="L129" s="7">
        <f>F89</f>
        <v>1.1963743851857735</v>
      </c>
      <c r="M129" s="4"/>
    </row>
    <row r="130" spans="1:13" x14ac:dyDescent="0.2">
      <c r="A130" t="s">
        <v>130</v>
      </c>
      <c r="B130">
        <f>'Исходные данные и результаты'!B75+80*'Исходные данные и результаты'!B14-10*'Исходные данные и результаты'!B14^2</f>
        <v>1527.6</v>
      </c>
      <c r="H130" s="4" t="s">
        <v>191</v>
      </c>
      <c r="I130" s="51" t="s">
        <v>75</v>
      </c>
      <c r="J130" s="4"/>
      <c r="K130" s="52">
        <v>1.119</v>
      </c>
      <c r="L130" s="17">
        <f>F93</f>
        <v>0.99943707758691203</v>
      </c>
      <c r="M130" s="4"/>
    </row>
    <row r="131" spans="1:13" x14ac:dyDescent="0.2">
      <c r="A131" t="s">
        <v>131</v>
      </c>
      <c r="H131" s="4" t="s">
        <v>192</v>
      </c>
      <c r="I131" s="4"/>
      <c r="J131" s="4"/>
      <c r="K131" s="17">
        <f>B40</f>
        <v>3.1870478124753983</v>
      </c>
      <c r="L131" s="17">
        <f>B132</f>
        <v>3.3318111988340711</v>
      </c>
      <c r="M131" s="4"/>
    </row>
    <row r="132" spans="1:13" ht="14.25" x14ac:dyDescent="0.2">
      <c r="A132" s="14" t="s">
        <v>132</v>
      </c>
      <c r="B132">
        <f>POWER(10,POWER(10,B119+B118*B130))</f>
        <v>3.3318111988340711</v>
      </c>
      <c r="F132" t="s">
        <v>193</v>
      </c>
      <c r="H132" s="4"/>
      <c r="I132" s="4"/>
      <c r="J132" s="4"/>
      <c r="K132" s="7">
        <f>B72</f>
        <v>1599.7212</v>
      </c>
      <c r="L132" s="7">
        <f>B80</f>
        <v>1613.2552651593294</v>
      </c>
      <c r="M132" s="4"/>
    </row>
    <row r="133" spans="1:13" x14ac:dyDescent="0.2">
      <c r="H133" s="4" t="s">
        <v>194</v>
      </c>
      <c r="I133" s="4"/>
      <c r="J133" s="4"/>
      <c r="K133" s="7">
        <f>B36</f>
        <v>1362.1179317324463</v>
      </c>
      <c r="L133" s="7">
        <f>B128</f>
        <v>1364.6364858506515</v>
      </c>
      <c r="M133" s="4"/>
    </row>
  </sheetData>
  <phoneticPr fontId="0" type="noConversion"/>
  <pageMargins left="0.75" right="0.75" top="1" bottom="1" header="0.5" footer="0.5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P132"/>
  <sheetViews>
    <sheetView topLeftCell="A52" zoomScale="85" workbookViewId="0">
      <selection activeCell="E39" sqref="E39"/>
    </sheetView>
  </sheetViews>
  <sheetFormatPr defaultRowHeight="12.75" x14ac:dyDescent="0.2"/>
  <cols>
    <col min="1" max="1" width="26.140625" customWidth="1"/>
    <col min="2" max="2" width="17.42578125" customWidth="1"/>
    <col min="4" max="4" width="14" customWidth="1"/>
    <col min="5" max="5" width="9.7109375" bestFit="1" customWidth="1"/>
    <col min="6" max="6" width="11" bestFit="1" customWidth="1"/>
    <col min="7" max="7" width="11.5703125" customWidth="1"/>
    <col min="8" max="8" width="9.85546875" bestFit="1" customWidth="1"/>
    <col min="9" max="9" width="10.42578125" bestFit="1" customWidth="1"/>
    <col min="10" max="10" width="13.28515625" customWidth="1"/>
    <col min="11" max="11" width="12" customWidth="1"/>
    <col min="12" max="12" width="9.85546875" bestFit="1" customWidth="1"/>
    <col min="13" max="13" width="11" bestFit="1" customWidth="1"/>
    <col min="14" max="14" width="9.85546875" bestFit="1" customWidth="1"/>
    <col min="17" max="17" width="12.85546875" customWidth="1"/>
  </cols>
  <sheetData>
    <row r="1" spans="1:16" x14ac:dyDescent="0.2">
      <c r="A1" s="78" t="s">
        <v>198</v>
      </c>
      <c r="B1" s="78"/>
      <c r="C1" s="78"/>
      <c r="D1" s="78"/>
      <c r="E1" s="39"/>
      <c r="F1" s="39"/>
      <c r="G1" s="39"/>
      <c r="H1" s="39"/>
      <c r="I1" s="39"/>
      <c r="J1" s="40"/>
    </row>
    <row r="2" spans="1:16" ht="20.25" x14ac:dyDescent="0.3">
      <c r="A2" s="1" t="s">
        <v>100</v>
      </c>
      <c r="B2" s="19" t="s">
        <v>101</v>
      </c>
      <c r="C2" s="19" t="s">
        <v>102</v>
      </c>
      <c r="D2" s="19" t="s">
        <v>103</v>
      </c>
      <c r="E2" s="39"/>
      <c r="F2" s="39"/>
      <c r="G2" s="62" t="s">
        <v>199</v>
      </c>
      <c r="H2" s="62"/>
      <c r="I2" s="62"/>
      <c r="J2" s="61"/>
    </row>
    <row r="3" spans="1:16" x14ac:dyDescent="0.2">
      <c r="A3" s="162">
        <f>'Ввод составов (проект)'!A28</f>
        <v>13.07</v>
      </c>
      <c r="B3" s="162">
        <f>'Ввод составов (проект)'!B28</f>
        <v>0.44</v>
      </c>
      <c r="C3" s="162">
        <f>'Ввод составов (проект)'!C28</f>
        <v>1.31</v>
      </c>
      <c r="D3" s="156">
        <f>100-SUM(A3:C3)</f>
        <v>85.18</v>
      </c>
      <c r="E3" s="39"/>
      <c r="F3" s="39"/>
      <c r="G3" s="39"/>
      <c r="H3" s="39"/>
      <c r="I3" s="39"/>
      <c r="J3" s="40"/>
    </row>
    <row r="4" spans="1:16" x14ac:dyDescent="0.2">
      <c r="A4" s="38"/>
      <c r="B4" s="39"/>
      <c r="C4" s="39"/>
      <c r="D4" s="39"/>
      <c r="E4" s="39"/>
      <c r="F4" s="39"/>
      <c r="G4" s="39"/>
      <c r="H4" s="39"/>
      <c r="I4" s="39"/>
      <c r="J4" s="40"/>
    </row>
    <row r="5" spans="1:16" x14ac:dyDescent="0.2">
      <c r="A5" s="86" t="s">
        <v>200</v>
      </c>
      <c r="B5" s="86"/>
      <c r="C5" s="86"/>
      <c r="D5" s="86"/>
      <c r="E5" s="86"/>
      <c r="F5" s="86"/>
      <c r="G5" s="39"/>
      <c r="H5" s="39"/>
      <c r="I5" s="39"/>
      <c r="J5" s="40"/>
    </row>
    <row r="6" spans="1:16" x14ac:dyDescent="0.2">
      <c r="A6" s="1" t="s">
        <v>3</v>
      </c>
      <c r="B6" s="19" t="s">
        <v>8</v>
      </c>
      <c r="C6" s="19" t="s">
        <v>6</v>
      </c>
      <c r="D6" s="19" t="s">
        <v>202</v>
      </c>
      <c r="E6" s="19" t="s">
        <v>203</v>
      </c>
      <c r="F6" s="19" t="s">
        <v>10</v>
      </c>
      <c r="G6" s="39"/>
      <c r="H6" s="39"/>
      <c r="I6" s="39"/>
      <c r="J6" s="40"/>
    </row>
    <row r="7" spans="1:16" x14ac:dyDescent="0.2">
      <c r="A7" s="162">
        <f>'Ввод составов (проект)'!A32</f>
        <v>8.8000000000000007</v>
      </c>
      <c r="B7" s="162">
        <f>'Ввод составов (проект)'!B32</f>
        <v>6.093</v>
      </c>
      <c r="C7" s="162">
        <f>'Ввод составов (проект)'!C32</f>
        <v>50.274999999999999</v>
      </c>
      <c r="D7" s="162">
        <f>'Ввод составов (проект)'!D32</f>
        <v>24.65</v>
      </c>
      <c r="E7" s="162">
        <f>'Ввод составов (проект)'!E32</f>
        <v>2.0369999999999999</v>
      </c>
      <c r="F7" s="162">
        <f>'Ввод составов (проект)'!F32</f>
        <v>0</v>
      </c>
      <c r="G7" s="39"/>
      <c r="H7" s="39"/>
      <c r="I7" s="39"/>
      <c r="J7" s="40"/>
    </row>
    <row r="9" spans="1:16" s="10" customFormat="1" ht="27" x14ac:dyDescent="0.5">
      <c r="A9" s="21" t="s">
        <v>197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spans="1:16" x14ac:dyDescent="0.2">
      <c r="A10" s="2" t="s">
        <v>204</v>
      </c>
      <c r="I10" s="57"/>
    </row>
    <row r="11" spans="1:16" x14ac:dyDescent="0.2">
      <c r="A11" s="1" t="s">
        <v>3</v>
      </c>
      <c r="B11" s="1" t="s">
        <v>72</v>
      </c>
      <c r="C11" s="1" t="s">
        <v>11</v>
      </c>
      <c r="D11" s="1" t="s">
        <v>10</v>
      </c>
      <c r="E11" s="1" t="s">
        <v>5</v>
      </c>
      <c r="F11" s="1" t="s">
        <v>4</v>
      </c>
      <c r="G11" s="1" t="s">
        <v>8</v>
      </c>
      <c r="H11" s="63" t="s">
        <v>6</v>
      </c>
      <c r="I11" s="64" t="s">
        <v>7</v>
      </c>
      <c r="J11" s="1" t="s">
        <v>9</v>
      </c>
      <c r="K11" s="1" t="s">
        <v>12</v>
      </c>
      <c r="L11" s="1" t="s">
        <v>16</v>
      </c>
      <c r="M11" s="1" t="s">
        <v>195</v>
      </c>
      <c r="N11" s="1" t="s">
        <v>17</v>
      </c>
      <c r="O11" s="1" t="s">
        <v>13</v>
      </c>
    </row>
    <row r="12" spans="1:16" s="37" customFormat="1" x14ac:dyDescent="0.2">
      <c r="A12" s="141">
        <f>'Исходные данные и результаты'!$C$54*'Ввод составов (проект)'!C4+'Исходные данные и результаты'!$C$55*'Ввод составов (проект)'!C5+'Исходные данные и результаты'!$C$56*'Ввод составов (проект)'!C6+'Исходные данные и результаты'!$C$57*'Ввод составов (проект)'!C7+'Исходные данные и результаты'!$C$58*'Ввод составов (проект)'!C8+'Исходные данные и результаты'!$C$59*'Ввод составов (проект)'!C9+'Исходные данные и результаты'!$C$60*'Ввод составов (проект)'!C10+'Исходные данные и результаты'!$C$61*'Ввод составов (проект)'!C11+'Исходные данные и результаты'!$C$62*'Ввод составов (проект)'!C12+'Исходные данные и результаты'!$C$63*'Ввод составов (проект)'!C13+'Исходные данные и результаты'!$C$64*'Ввод составов (проект)'!C14</f>
        <v>58.587338694969354</v>
      </c>
      <c r="B12" s="144"/>
      <c r="C12" s="148">
        <f>'Исходные данные и результаты'!$C$54*'Ввод составов (проект)'!K4+'Исходные данные и результаты'!$C$55*'Ввод составов (проект)'!K5+'Исходные данные и результаты'!$C$56*'Ввод составов (проект)'!K6+'Исходные данные и результаты'!$C$57*'Ввод составов (проект)'!K7+'Исходные данные и результаты'!$C$58*'Ввод составов (проект)'!K8+'Исходные данные и результаты'!$C$59*'Ввод составов (проект)'!K9+'Исходные данные и результаты'!$C$60*'Ввод составов (проект)'!K10+'Исходные данные и результаты'!$C$61*'Ввод составов (проект)'!K11+'Исходные данные и результаты'!$C$62*'Ввод составов (проект)'!K12+'Исходные данные и результаты'!$C$63*'Ввод составов (проект)'!K13+'Исходные данные и результаты'!$C$64*'Ввод составов (проект)'!K14</f>
        <v>3.7889003544897229E-2</v>
      </c>
      <c r="D12" s="141">
        <f>'Исходные данные и результаты'!$C$54*'Ввод составов (проект)'!J4+'Исходные данные и результаты'!$C$55*'Ввод составов (проект)'!J5+'Исходные данные и результаты'!$C$56*'Ввод составов (проект)'!J6+'Исходные данные и результаты'!$C$57*'Ввод составов (проект)'!J7+'Исходные данные и результаты'!$C$58*'Ввод составов (проект)'!J8+'Исходные данные и результаты'!$C$59*'Ввод составов (проект)'!J9+'Исходные данные и результаты'!$C$60*'Ввод составов (проект)'!J10+'Исходные данные и результаты'!$C$61*'Ввод составов (проект)'!J11+'Исходные данные и результаты'!$C$62*'Ввод составов (проект)'!J12+'Исходные данные и результаты'!$C$63*'Ввод составов (проект)'!J13+'Исходные данные и результаты'!$C$64*'Ввод составов (проект)'!J14</f>
        <v>2.9998400000000001E-2</v>
      </c>
      <c r="E12" s="146">
        <f>'Исходные данные и результаты'!$C$54*'Ввод составов (проект)'!E4+'Исходные данные и результаты'!$C$55*'Ввод составов (проект)'!E5+'Исходные данные и результаты'!$C$56*'Ввод составов (проект)'!E6+'Исходные данные и результаты'!$C$57*'Ввод составов (проект)'!E7+'Исходные данные и результаты'!$C$58*'Ввод составов (проект)'!E8+'Исходные данные и результаты'!$C$59*'Ввод составов (проект)'!E9+'Исходные данные и результаты'!$C$60*'Ввод составов (проект)'!E10+'Исходные данные и результаты'!$C$61*'Ввод составов (проект)'!E11+'Исходные данные и результаты'!$C$62*'Ввод составов (проект)'!E12+'Исходные данные и результаты'!$C$63*'Ввод составов (проект)'!E13+'Исходные данные и результаты'!$C$64*'Ввод составов (проект)'!E14</f>
        <v>41.183984045171286</v>
      </c>
      <c r="F12" s="141">
        <f>'Исходные данные и результаты'!$C$54*'Ввод составов (проект)'!D4+'Исходные данные и результаты'!$C$55*'Ввод составов (проект)'!D5+'Исходные данные и результаты'!$C$56*'Ввод составов (проект)'!D6+'Исходные данные и результаты'!$C$57*'Ввод составов (проект)'!D7+'Исходные данные и результаты'!$C$58*'Ввод составов (проект)'!D8+'Исходные данные и результаты'!$C$59*'Ввод составов (проект)'!D9+'Исходные данные и результаты'!$C$60*'Ввод составов (проект)'!D10+'Исходные данные и результаты'!$C$61*'Ввод составов (проект)'!D11+'Исходные данные и результаты'!$C$62*'Ввод составов (проект)'!D12+'Исходные данные и результаты'!$C$63*'Ввод составов (проект)'!D13+'Исходные данные и результаты'!$C$64*'Ввод составов (проект)'!D14</f>
        <v>7.2048546455102773</v>
      </c>
      <c r="G12" s="141">
        <f>'Исходные данные и результаты'!$C$54*'Ввод составов (проект)'!H4+'Исходные данные и результаты'!$C$55*'Ввод составов (проект)'!H5+'Исходные данные и результаты'!$C$56*'Ввод составов (проект)'!H6+'Исходные данные и результаты'!$C$57*'Ввод составов (проект)'!H7+'Исходные данные и результаты'!$C$58*'Ввод составов (проект)'!H8+'Исходные данные и результаты'!$C$59*'Ввод составов (проект)'!H9+'Исходные данные и результаты'!$C$60*'Ввод составов (проект)'!H10+'Исходные данные и результаты'!$C$61*'Ввод составов (проект)'!H11+'Исходные данные и результаты'!$C$62*'Ввод составов (проект)'!H12+'Исходные данные и результаты'!$C$63*'Ввод составов (проект)'!H13+'Исходные данные и результаты'!$C$64*'Ввод составов (проект)'!H14</f>
        <v>7.0267564468265409</v>
      </c>
      <c r="H12" s="141">
        <f>'Исходные данные и результаты'!$C$54*'Ввод составов (проект)'!F4+'Исходные данные и результаты'!$C$55*'Ввод составов (проект)'!F5+'Исходные данные и результаты'!$C$56*'Ввод составов (проект)'!F6+'Исходные данные и результаты'!$C$57*'Ввод составов (проект)'!F7+'Исходные данные и результаты'!$C$58*'Ввод составов (проект)'!F8+'Исходные данные и результаты'!$C$59*'Ввод составов (проект)'!F9+'Исходные данные и результаты'!$C$60*'Ввод составов (проект)'!F10+'Исходные данные и результаты'!$C$61*'Ввод составов (проект)'!F11+'Исходные данные и результаты'!$C$62*'Ввод составов (проект)'!F12+'Исходные данные и результаты'!$C$63*'Ввод составов (проект)'!F13+'Исходные данные и результаты'!$C$64*'Ввод составов (проект)'!F14</f>
        <v>6.1050294468265411</v>
      </c>
      <c r="I12" s="141">
        <f>'Исходные данные и результаты'!$C$54*'Ввод составов (проект)'!G4+'Исходные данные и результаты'!$C$55*'Ввод составов (проект)'!G5+'Исходные данные и результаты'!$C$56*'Ввод составов (проект)'!G6+'Исходные данные и результаты'!$C$57*'Ввод составов (проект)'!G7+'Исходные данные и результаты'!$C$58*'Ввод составов (проект)'!G8+'Исходные данные и результаты'!$C$59*'Ввод составов (проект)'!G9+'Исходные данные и результаты'!$C$60*'Ввод составов (проект)'!G10+'Исходные данные и результаты'!$C$61*'Ввод составов (проект)'!G11+'Исходные данные и результаты'!$C$62*'Ввод составов (проект)'!G12+'Исходные данные и результаты'!$C$63*'Ввод составов (проект)'!G13+'Исходные данные и результаты'!$C$64*'Ввод составов (проект)'!G14</f>
        <v>1.7875594822755136</v>
      </c>
      <c r="J12" s="148">
        <f>'Исходные данные и результаты'!$C$54*'Ввод составов (проект)'!I4+'Исходные данные и результаты'!$C$55*'Ввод составов (проект)'!I5+'Исходные данные и результаты'!$C$56*'Ввод составов (проект)'!I6+'Исходные данные и результаты'!$C$57*'Ввод составов (проект)'!I7+'Исходные данные и результаты'!$C$58*'Ввод составов (проект)'!I8+'Исходные данные и результаты'!$C$59*'Ввод составов (проект)'!I9+'Исходные данные и результаты'!$C$60*'Ввод составов (проект)'!I10+'Исходные данные и результаты'!$C$61*'Ввод составов (проект)'!I11+'Исходные данные и результаты'!$C$62*'Ввод составов (проект)'!I12+'Исходные данные и результаты'!$C$63*'Ввод составов (проект)'!I13+'Исходные данные и результаты'!$C$64*'Ввод составов (проект)'!I14</f>
        <v>1.6797689999999998</v>
      </c>
      <c r="K12" s="148">
        <f>'Исходные данные и результаты'!$C$54*'Ввод составов (проект)'!L4+'Исходные данные и результаты'!$C$55*'Ввод составов (проект)'!L5+'Исходные данные и результаты'!$C$56*'Ввод составов (проект)'!L6+'Исходные данные и результаты'!$C$57*'Ввод составов (проект)'!L7+'Исходные данные и результаты'!$C$58*'Ввод составов (проект)'!L8+'Исходные данные и результаты'!$C$59*'Ввод составов (проект)'!L9+'Исходные данные и результаты'!$C$60*'Ввод составов (проект)'!L10+'Исходные данные и результаты'!$C$61*'Ввод составов (проект)'!L11+'Исходные данные и результаты'!$C$62*'Ввод составов (проект)'!L12+'Исходные данные и результаты'!$C$63*'Ввод составов (проект)'!L13+'Исходные данные и результаты'!$C$64*'Ввод составов (проект)'!L14</f>
        <v>8.7181000000000008E-2</v>
      </c>
      <c r="L12" s="148">
        <f>'Исходные данные и результаты'!$C$54*'Ввод составов (проект)'!P4+'Исходные данные и результаты'!$C$55*'Ввод составов (проект)'!P5+'Исходные данные и результаты'!$C$56*'Ввод составов (проект)'!P6+'Исходные данные и результаты'!$C$57*'Ввод составов (проект)'!P7+'Исходные данные и результаты'!$C$58*'Ввод составов (проект)'!P8+'Исходные данные и результаты'!$C$59*'Ввод составов (проект)'!P9+'Исходные данные и результаты'!$C$60*'Ввод составов (проект)'!P10+'Исходные данные и результаты'!$C$61*'Ввод составов (проект)'!P11+'Исходные данные и результаты'!$C$62*'Ввод составов (проект)'!P12+'Исходные данные и результаты'!$C$63*'Ввод составов (проект)'!P13+'Исходные данные и результаты'!$C$64*'Ввод составов (проект)'!P14</f>
        <v>0.33701200000000003</v>
      </c>
      <c r="M12" s="148">
        <f>'Исходные данные и результаты'!$C$54*'Ввод составов (проект)'!N4+'Исходные данные и результаты'!$C$55*'Ввод составов (проект)'!N5+'Исходные данные и результаты'!$C$56*'Ввод составов (проект)'!N6+'Исходные данные и результаты'!$C$57*'Ввод составов (проект)'!N7+'Исходные данные и результаты'!$C$58*'Ввод составов (проект)'!N8+'Исходные данные и результаты'!$C$59*'Ввод составов (проект)'!N9+'Исходные данные и результаты'!$C$60*'Ввод составов (проект)'!N10+'Исходные данные и результаты'!$C$61*'Ввод составов (проект)'!N11+'Исходные данные и результаты'!$C$62*'Ввод составов (проект)'!N12+'Исходные данные и результаты'!$C$63*'Ввод составов (проект)'!N13+'Исходные данные и результаты'!$C$64*'Ввод составов (проект)'!N14</f>
        <v>2.7040000000000002E-2</v>
      </c>
      <c r="N12" s="148">
        <f>'Исходные данные и результаты'!$C$54*'Ввод составов (проект)'!Q4+'Исходные данные и результаты'!$C$55*'Ввод составов (проект)'!Q5+'Исходные данные и результаты'!$C$56*'Ввод составов (проект)'!Q6+'Исходные данные и результаты'!$C$57*'Ввод составов (проект)'!Q7+'Исходные данные и результаты'!$C$58*'Ввод составов (проект)'!Q8+'Исходные данные и результаты'!$C$59*'Ввод составов (проект)'!Q9+'Исходные данные и результаты'!$C$60*'Ввод составов (проект)'!Q10+'Исходные данные и результаты'!$C$61*'Ввод составов (проект)'!Q11+'Исходные данные и результаты'!$C$62*'Ввод составов (проект)'!Q12+'Исходные данные и результаты'!$C$63*'Ввод составов (проект)'!Q13+'Исходные данные и результаты'!$C$64*'Ввод составов (проект)'!Q14</f>
        <v>3.4035707089794441E-2</v>
      </c>
      <c r="O12" s="141">
        <f>'Исходные данные и результаты'!$C$54*'Ввод составов (проект)'!M4+'Исходные данные и результаты'!$C$55*'Ввод составов (проект)'!M5+'Исходные данные и результаты'!$C$56*'Ввод составов (проект)'!M6+'Исходные данные и результаты'!$C$57*'Ввод составов (проект)'!M7+'Исходные данные и результаты'!$C$58*'Ввод составов (проект)'!M8+'Исходные данные и результаты'!$C$59*'Ввод составов (проект)'!M9+'Исходные данные и результаты'!$C$60*'Ввод составов (проект)'!M10+'Исходные данные и результаты'!$C$61*'Ввод составов (проект)'!M11+'Исходные данные и результаты'!$C$62*'Ввод составов (проект)'!M12+'Исходные данные и результаты'!$C$63*'Ввод составов (проект)'!M13+'Исходные данные и результаты'!$C$64*'Ввод составов (проект)'!M14</f>
        <v>3.4215200000000001E-2</v>
      </c>
      <c r="P12" s="57"/>
    </row>
    <row r="13" spans="1:16" x14ac:dyDescent="0.2">
      <c r="A13" s="152">
        <f>A12</f>
        <v>58.587338694969354</v>
      </c>
      <c r="B13" s="152">
        <f t="shared" ref="B13:O13" si="0">B12</f>
        <v>0</v>
      </c>
      <c r="C13" s="153">
        <f t="shared" si="0"/>
        <v>3.7889003544897229E-2</v>
      </c>
      <c r="D13" s="152">
        <f t="shared" si="0"/>
        <v>2.9998400000000001E-2</v>
      </c>
      <c r="E13" s="154">
        <f t="shared" si="0"/>
        <v>41.183984045171286</v>
      </c>
      <c r="F13" s="152">
        <f t="shared" si="0"/>
        <v>7.2048546455102773</v>
      </c>
      <c r="G13" s="152">
        <f t="shared" si="0"/>
        <v>7.0267564468265409</v>
      </c>
      <c r="H13" s="152">
        <f t="shared" si="0"/>
        <v>6.1050294468265411</v>
      </c>
      <c r="I13" s="152">
        <f t="shared" si="0"/>
        <v>1.7875594822755136</v>
      </c>
      <c r="J13" s="153">
        <f t="shared" si="0"/>
        <v>1.6797689999999998</v>
      </c>
      <c r="K13" s="153">
        <f t="shared" si="0"/>
        <v>8.7181000000000008E-2</v>
      </c>
      <c r="L13" s="153">
        <f t="shared" si="0"/>
        <v>0.33701200000000003</v>
      </c>
      <c r="M13" s="153">
        <f t="shared" si="0"/>
        <v>2.7040000000000002E-2</v>
      </c>
      <c r="N13" s="155">
        <f t="shared" si="0"/>
        <v>3.4035707089794441E-2</v>
      </c>
      <c r="O13" s="152">
        <f t="shared" si="0"/>
        <v>3.4215200000000001E-2</v>
      </c>
    </row>
    <row r="14" spans="1:16" x14ac:dyDescent="0.2">
      <c r="A14" s="2" t="s">
        <v>205</v>
      </c>
    </row>
    <row r="15" spans="1:16" x14ac:dyDescent="0.2">
      <c r="A15" t="s">
        <v>165</v>
      </c>
      <c r="B15" s="49">
        <f>94*1000/A13</f>
        <v>1604.4422241024472</v>
      </c>
      <c r="C15" t="s">
        <v>143</v>
      </c>
    </row>
    <row r="16" spans="1:16" ht="38.25" x14ac:dyDescent="0.2">
      <c r="A16" s="41" t="s">
        <v>206</v>
      </c>
      <c r="B16" s="20">
        <f>B15/0.99+'Исходные данные и результаты'!C6+'Исходные данные и результаты'!C6</f>
        <v>1669.648711214593</v>
      </c>
      <c r="C16" t="s">
        <v>143</v>
      </c>
    </row>
    <row r="18" spans="1:6" x14ac:dyDescent="0.2">
      <c r="A18" s="16" t="s">
        <v>207</v>
      </c>
      <c r="B18" s="18">
        <f>B16*'Исходные данные и результаты'!C54</f>
        <v>1019.8214328098735</v>
      </c>
    </row>
    <row r="19" spans="1:6" x14ac:dyDescent="0.2">
      <c r="A19" s="344" t="s">
        <v>80</v>
      </c>
      <c r="B19" s="18">
        <f>$B$16*'Исходные данные и результаты'!C55</f>
        <v>367.15575159608903</v>
      </c>
      <c r="F19" t="s">
        <v>248</v>
      </c>
    </row>
    <row r="20" spans="1:6" x14ac:dyDescent="0.2">
      <c r="A20" s="344" t="s">
        <v>81</v>
      </c>
      <c r="B20" s="18">
        <f>$B$16*'Исходные данные и результаты'!C56</f>
        <v>0</v>
      </c>
    </row>
    <row r="21" spans="1:6" x14ac:dyDescent="0.2">
      <c r="A21" s="344" t="s">
        <v>82</v>
      </c>
      <c r="B21" s="18">
        <f>$B$16*'Исходные данные и результаты'!C57</f>
        <v>36.732271646721045</v>
      </c>
    </row>
    <row r="22" spans="1:6" x14ac:dyDescent="0.2">
      <c r="A22" s="344" t="s">
        <v>83</v>
      </c>
      <c r="B22" s="18">
        <f>$B$16*'Исходные данные и результаты'!C58</f>
        <v>207.37036993285247</v>
      </c>
    </row>
    <row r="23" spans="1:6" x14ac:dyDescent="0.2">
      <c r="A23" s="344" t="s">
        <v>240</v>
      </c>
      <c r="B23" s="18">
        <f>$B$16*'Исходные данные и результаты'!C59</f>
        <v>0</v>
      </c>
    </row>
    <row r="24" spans="1:6" x14ac:dyDescent="0.2">
      <c r="A24" s="344" t="s">
        <v>84</v>
      </c>
      <c r="B24" s="18">
        <f>$B$16*'Исходные данные и результаты'!C60</f>
        <v>38.401920357935637</v>
      </c>
    </row>
    <row r="25" spans="1:6" x14ac:dyDescent="0.2">
      <c r="A25" s="344" t="s">
        <v>85</v>
      </c>
      <c r="B25" s="18">
        <f>$B$16*'Исходные данные и результаты'!C61</f>
        <v>0</v>
      </c>
    </row>
    <row r="26" spans="1:6" x14ac:dyDescent="0.2">
      <c r="A26" s="344" t="s">
        <v>461</v>
      </c>
      <c r="B26" s="18">
        <f>$B$16*'Исходные данные и результаты'!C62</f>
        <v>0</v>
      </c>
    </row>
    <row r="27" spans="1:6" x14ac:dyDescent="0.2">
      <c r="A27" s="344" t="s">
        <v>462</v>
      </c>
      <c r="B27" s="18">
        <f>$B$16*'Исходные данные и результаты'!C63</f>
        <v>0</v>
      </c>
    </row>
    <row r="28" spans="1:6" x14ac:dyDescent="0.2">
      <c r="A28" s="345" t="s">
        <v>481</v>
      </c>
      <c r="B28" s="18">
        <f>$B$16*'Исходные данные и результаты'!C64</f>
        <v>0</v>
      </c>
    </row>
    <row r="29" spans="1:6" x14ac:dyDescent="0.2">
      <c r="A29" s="2" t="s">
        <v>208</v>
      </c>
      <c r="B29" s="49">
        <f>'Исходные данные и результаты'!B74-'Исходные данные и результаты'!H74*('Исходные данные и результаты'!C12-'Исходные данные и результаты'!B12)-'Исходные данные и результаты'!H75/100*'Исходные данные и результаты'!B74*('Исходные данные и результаты'!C9-'Исходные данные и результаты'!B9)-'Исходные данные и результаты'!H76/100*'Исходные данные и результаты'!B74*(Проект!A13-База!A3)+'Исходные данные и результаты'!H77/100*'Исходные данные и результаты'!B74*('Исходные данные и результаты'!C14-'Исходные данные и результаты'!B14)+'Исходные данные и результаты'!H78/100*'Исходные данные и результаты'!B74*(Проект!A3-'Ввод составов (база)'!A33)+'Исходные данные и результаты'!H79/100*'Исходные данные и результаты'!B74*('Исходные данные и результаты'!B86-'Исходные данные и результаты'!B92)+'Исходные данные и результаты'!H80/100*'Исходные данные и результаты'!B74*('Исходные данные и результаты'!B93-'Исходные данные и результаты'!B87)+'Исходные данные и результаты'!H81/100*'Исходные данные и результаты'!B74*('Исходные данные и результаты'!C10-'Исходные данные и результаты'!B10)+'Исходные данные и результаты'!H82/100*'Исходные данные и результаты'!B74*('Исходные данные и результаты'!C69-'Исходные данные и результаты'!B69)+'Исходные данные и результаты'!H83/100*'Исходные данные и результаты'!B74*('Исходные данные и результаты'!C71-'Исходные данные и результаты'!B71)</f>
        <v>415.65424612327382</v>
      </c>
      <c r="C29" s="94" t="s">
        <v>274</v>
      </c>
    </row>
    <row r="30" spans="1:6" ht="25.5" x14ac:dyDescent="0.2">
      <c r="A30" s="54" t="s">
        <v>209</v>
      </c>
      <c r="B30" s="49">
        <f>'Исходные данные и результаты'!B3-'Исходные данные и результаты'!H86/100*'Исходные данные и результаты'!B3*('Исходные данные и результаты'!C9-'Исходные данные и результаты'!B9)+'Исходные данные и результаты'!H87/100*'Исходные данные и результаты'!B3*(Проект!A13-База!A3)-'Исходные данные и результаты'!H88/100*'Исходные данные и результаты'!B3*('Исходные данные и результаты'!C14-'Исходные данные и результаты'!B14)-'Исходные данные и результаты'!H89/100*'Исходные данные и результаты'!B3*(Проект!A3-'Ввод составов (база)'!A33)+'Исходные данные и результаты'!H93/100*'Исходные данные и результаты'!B3*('Исходные данные и результаты'!C11-'Исходные данные и результаты'!B11)+'Исходные данные и результаты'!H90/100*'Исходные данные и результаты'!B3*('Исходные данные и результаты'!B92-'Исходные данные и результаты'!B86)+'Исходные данные и результаты'!H91/100*'Исходные данные и результаты'!B3*('Исходные данные и результаты'!B87-'Исходные данные и результаты'!B93)+'Исходные данные и результаты'!H92/100*'Исходные данные и результаты'!B3*('Исходные данные и результаты'!B10-'Исходные данные и результаты'!C10)+'Исходные данные и результаты'!H93/100*'Исходные данные и результаты'!B3*('Исходные данные и результаты'!B11-'Исходные данные и результаты'!C11)-'Исходные данные и результаты'!H94/100*'Исходные данные и результаты'!B3*('Исходные данные и результаты'!B69-'Исходные данные и результаты'!C69)-'Исходные данные и результаты'!H95/100*'Исходные данные и результаты'!B3*('Исходные данные и результаты'!B71-'Исходные данные и результаты'!C71)</f>
        <v>3536.397264854344</v>
      </c>
      <c r="C30" t="s">
        <v>270</v>
      </c>
    </row>
    <row r="33" spans="1:11" x14ac:dyDescent="0.2">
      <c r="A33" t="s">
        <v>210</v>
      </c>
    </row>
    <row r="34" spans="1:11" x14ac:dyDescent="0.2">
      <c r="A34" s="65" t="s">
        <v>167</v>
      </c>
      <c r="B34" s="66">
        <f>B15*C12/100+'Исходные данные и результаты'!C74*B3/100 + 'Исходные данные и результаты'!C69*'Ввод составов (проект)'!J18/100 + 'Исходные данные и результаты'!C70*'Ввод составов (проект)'!J19/100 + 'Исходные данные и результаты'!C71*'Ввод составов (проект)'!J20/100 + 'Исходные данные и результаты'!C72*'Ввод составов (проект)'!J21/100 + 'Исходные данные и результаты'!C73*'Ввод составов (проект)'!J23/100</f>
        <v>2.4361988188797872</v>
      </c>
      <c r="C34" t="s">
        <v>143</v>
      </c>
    </row>
    <row r="35" spans="1:11" x14ac:dyDescent="0.2">
      <c r="A35" s="35" t="s">
        <v>486</v>
      </c>
      <c r="E35" s="94" t="s">
        <v>278</v>
      </c>
    </row>
    <row r="36" spans="1:11" x14ac:dyDescent="0.2">
      <c r="A36" s="43" t="s">
        <v>211</v>
      </c>
      <c r="B36" s="93">
        <f>B15*G13/100+'Исходные данные и результаты'!C74*Проект!A3/100*Проект!B7/100+'Исходные данные и результаты'!C69*'Ввод составов (проект)'!C18/100+'Исходные данные и результаты'!C70*'Ввод составов (проект)'!C19/100+'Исходные данные и результаты'!C71*'Ввод составов (проект)'!C20/100+'Исходные данные и результаты'!C72*'Ввод составов (проект)'!C21/100+'Исходные данные и результаты'!C73*'Ввод составов (проект)'!C23/100</f>
        <v>116.04926873123556</v>
      </c>
      <c r="E36" s="89"/>
      <c r="F36" s="89"/>
      <c r="G36" s="89"/>
      <c r="H36" s="89"/>
    </row>
    <row r="37" spans="1:11" x14ac:dyDescent="0.2">
      <c r="A37" s="44" t="s">
        <v>212</v>
      </c>
      <c r="B37" s="93">
        <f>B15*H13/100+'Исходные данные и результаты'!C74*Проект!A3/100*Проект!C7/100+'Исходные данные и результаты'!C69*'Ввод составов (проект)'!D18/100+'Исходные данные и результаты'!C70*'Ввод составов (проект)'!D19/100+'Исходные данные и результаты'!C71*'Ввод составов (проект)'!D20/100+'Исходные данные и результаты'!C72*'Ввод составов (проект)'!D21/100+'Исходные данные и результаты'!C73*'Ввод составов (проект)'!D23/100-'Исходные данные и результаты'!C14*10*2.14</f>
        <v>114.70680498958563</v>
      </c>
      <c r="E37" s="89"/>
      <c r="F37" s="89"/>
      <c r="G37" s="89"/>
      <c r="H37" s="89"/>
    </row>
    <row r="38" spans="1:11" x14ac:dyDescent="0.2">
      <c r="A38" s="44" t="s">
        <v>213</v>
      </c>
      <c r="B38" s="93">
        <f>B15*I13/100+'Исходные данные и результаты'!C74*Проект!A3/100*Проект!D7/100+'Исходные данные и результаты'!C69*'Ввод составов (проект)'!E18/100+'Исходные данные и результаты'!C70*'Ввод составов (проект)'!E19/100+'Исходные данные и результаты'!C71*'Ввод составов (проект)'!E20/100+'Исходные данные и результаты'!C72*'Ввод составов (проект)'!E21/100+'Исходные данные и результаты'!C73*'Ввод составов (проект)'!E23/100</f>
        <v>42.121342199757528</v>
      </c>
      <c r="E38" s="89" t="s">
        <v>490</v>
      </c>
      <c r="F38" s="89"/>
      <c r="G38" s="89"/>
      <c r="H38" s="89"/>
    </row>
    <row r="39" spans="1:11" x14ac:dyDescent="0.2">
      <c r="A39" s="44" t="s">
        <v>214</v>
      </c>
      <c r="B39" s="93">
        <f>$B$15*J13/100+'Исходные данные и результаты'!C74*Проект!A3/100*Проект!E7/100+'Исходные данные и результаты'!C69*'Ввод составов (проект)'!F18/100+'Исходные данные и результаты'!C70*'Ввод составов (проект)'!F19/100+'Исходные данные и результаты'!C71*'Ввод составов (проект)'!F20/100+'Исходные данные и результаты'!C72*'Ввод составов (проект)'!F21/100+'Исходные данные и результаты'!C73*'Ввод составов (проект)'!F23/100</f>
        <v>28.057188722227895</v>
      </c>
      <c r="E39" s="139">
        <f>(База!I88*'Исходные данные и результаты'!C26/100*'Исходные данные и результаты'!C78)/(1.67*(1-База!I88))</f>
        <v>0.8683419706419685</v>
      </c>
      <c r="F39" s="89"/>
      <c r="G39" s="89"/>
      <c r="H39" s="89"/>
    </row>
    <row r="40" spans="1:11" x14ac:dyDescent="0.2">
      <c r="A40" s="44" t="s">
        <v>215</v>
      </c>
      <c r="B40" s="93">
        <f>B15*L13/100*(1-База!I88)</f>
        <v>3.7909993006786915</v>
      </c>
      <c r="D40" s="89" t="s">
        <v>274</v>
      </c>
      <c r="E40" s="89"/>
      <c r="F40" s="89" t="s">
        <v>284</v>
      </c>
      <c r="G40" s="89"/>
      <c r="H40" s="89"/>
    </row>
    <row r="41" spans="1:11" x14ac:dyDescent="0.2">
      <c r="A41" s="44" t="s">
        <v>216</v>
      </c>
      <c r="B41" s="93">
        <f>B15*K13*0.4/100</f>
        <v>0.5595075101579019</v>
      </c>
      <c r="E41" s="138">
        <f>E39/10</f>
        <v>8.6834197064196844E-2</v>
      </c>
      <c r="F41" s="89"/>
      <c r="G41" s="89"/>
      <c r="H41" s="89"/>
    </row>
    <row r="42" spans="1:11" x14ac:dyDescent="0.2">
      <c r="A42" s="44" t="s">
        <v>217</v>
      </c>
      <c r="B42" s="93">
        <f>(B15*A13/100+'Исходные данные и результаты'!C74*Проект!A3/100*Проект!A7/100)*(1-0.999)*72/56</f>
        <v>1.2147160556148744</v>
      </c>
    </row>
    <row r="43" spans="1:11" x14ac:dyDescent="0.2">
      <c r="A43" s="44" t="s">
        <v>167</v>
      </c>
      <c r="B43" s="93">
        <f>(B15*C13/100+'Исходные данные и результаты'!C74*Проект!B3/100)*0.9-'Исходные данные и результаты'!B15/100*1000</f>
        <v>2.0025789369918088</v>
      </c>
    </row>
    <row r="44" spans="1:11" x14ac:dyDescent="0.2">
      <c r="A44" s="38"/>
    </row>
    <row r="45" spans="1:11" x14ac:dyDescent="0.2">
      <c r="A45" s="46" t="s">
        <v>488</v>
      </c>
      <c r="D45" t="s">
        <v>218</v>
      </c>
    </row>
    <row r="46" spans="1:11" x14ac:dyDescent="0.2">
      <c r="A46" s="67" t="s">
        <v>219</v>
      </c>
      <c r="B46" s="18">
        <f>SUM(B36:B43)</f>
        <v>308.50240644624989</v>
      </c>
      <c r="D46">
        <f>(B15*G13+0.01*B29*A3*B7+'Исходные данные и результаты'!C69*'Ввод составов (проект)'!C18)/G48</f>
        <v>314.24022295337301</v>
      </c>
    </row>
    <row r="47" spans="1:11" x14ac:dyDescent="0.2">
      <c r="A47" s="46" t="s">
        <v>487</v>
      </c>
      <c r="G47" s="89" t="s">
        <v>243</v>
      </c>
      <c r="H47" s="89"/>
      <c r="I47" s="89"/>
      <c r="J47" s="89"/>
      <c r="K47" s="89"/>
    </row>
    <row r="48" spans="1:11" x14ac:dyDescent="0.2">
      <c r="A48" s="43" t="s">
        <v>211</v>
      </c>
      <c r="B48" s="18">
        <f>B36/$B$46*100</f>
        <v>37.616973581518792</v>
      </c>
      <c r="G48" s="93">
        <f>'Исходные данные и результаты'!C21</f>
        <v>36.930450887031938</v>
      </c>
    </row>
    <row r="49" spans="1:7" x14ac:dyDescent="0.2">
      <c r="A49" s="44" t="s">
        <v>212</v>
      </c>
      <c r="B49" s="18">
        <f t="shared" ref="B49:B55" si="1">B37/$B$46*100</f>
        <v>37.18181855076417</v>
      </c>
      <c r="G49" s="93">
        <f>'Исходные данные и результаты'!C22</f>
        <v>36.75374827258797</v>
      </c>
    </row>
    <row r="50" spans="1:7" x14ac:dyDescent="0.2">
      <c r="A50" s="44" t="s">
        <v>213</v>
      </c>
      <c r="B50" s="18">
        <f t="shared" si="1"/>
        <v>13.653489022976647</v>
      </c>
      <c r="G50" s="93">
        <f>'Исходные данные и результаты'!C23</f>
        <v>12.967515306414976</v>
      </c>
    </row>
    <row r="51" spans="1:7" x14ac:dyDescent="0.2">
      <c r="A51" s="44" t="s">
        <v>214</v>
      </c>
      <c r="B51" s="18">
        <f t="shared" si="1"/>
        <v>9.0946417713329168</v>
      </c>
      <c r="G51" s="93">
        <f>'Исходные данные и результаты'!C24</f>
        <v>9.1590619531119692</v>
      </c>
    </row>
    <row r="52" spans="1:7" x14ac:dyDescent="0.2">
      <c r="A52" s="44" t="s">
        <v>215</v>
      </c>
      <c r="B52" s="18">
        <f t="shared" si="1"/>
        <v>1.2288394584497979</v>
      </c>
      <c r="G52" s="93">
        <f>'Исходные данные и результаты'!C26</f>
        <v>1.0824650732640242</v>
      </c>
    </row>
    <row r="53" spans="1:7" x14ac:dyDescent="0.2">
      <c r="A53" s="44" t="s">
        <v>216</v>
      </c>
      <c r="B53" s="18">
        <f t="shared" si="1"/>
        <v>0.18136244595401055</v>
      </c>
      <c r="G53" s="94"/>
    </row>
    <row r="54" spans="1:7" x14ac:dyDescent="0.2">
      <c r="A54" s="44" t="s">
        <v>217</v>
      </c>
      <c r="B54" s="18">
        <f t="shared" si="1"/>
        <v>0.39374605521157041</v>
      </c>
      <c r="G54" s="94"/>
    </row>
    <row r="55" spans="1:7" x14ac:dyDescent="0.2">
      <c r="A55" s="44" t="s">
        <v>167</v>
      </c>
      <c r="B55" s="18">
        <f t="shared" si="1"/>
        <v>0.64912911379208849</v>
      </c>
      <c r="G55" s="93">
        <f>'Исходные данные и результаты'!C25</f>
        <v>0.75668821317549784</v>
      </c>
    </row>
    <row r="56" spans="1:7" x14ac:dyDescent="0.2">
      <c r="A56" t="s">
        <v>180</v>
      </c>
      <c r="B56" s="18">
        <f>SUM(B48:B55)</f>
        <v>99.999999999999972</v>
      </c>
    </row>
    <row r="57" spans="1:7" x14ac:dyDescent="0.2">
      <c r="A57" s="2" t="s">
        <v>104</v>
      </c>
    </row>
    <row r="58" spans="1:7" x14ac:dyDescent="0.2">
      <c r="A58" s="45" t="s">
        <v>220</v>
      </c>
      <c r="B58">
        <f>(1.84*B49-0.9*B48)/(B49+0.9*B51)</f>
        <v>0.7617711739082289</v>
      </c>
      <c r="G58" s="94">
        <f>(1.84*G49-0.9*G48)/(G49+0.9*G51)</f>
        <v>0.76426349243957148</v>
      </c>
    </row>
    <row r="59" spans="1:7" x14ac:dyDescent="0.2">
      <c r="A59" s="45" t="s">
        <v>107</v>
      </c>
      <c r="B59">
        <f>(B48+B58*B51)/(B49+0.6*B50*((B48+B58*B51)/B49-1.19))</f>
        <v>1.1959156663272787</v>
      </c>
      <c r="G59" s="127">
        <f>(G48+G58*G51)/(G49+0.6*G50*((G48+G58*G51)/G49-1.19))</f>
        <v>1.1939326321594093</v>
      </c>
    </row>
    <row r="61" spans="1:7" x14ac:dyDescent="0.2">
      <c r="A61" s="2" t="s">
        <v>108</v>
      </c>
    </row>
    <row r="62" spans="1:7" x14ac:dyDescent="0.2">
      <c r="A62" s="13" t="s">
        <v>109</v>
      </c>
      <c r="B62" s="18">
        <f>B48/SUM($B$48:$B$50)*100</f>
        <v>42.527985813604978</v>
      </c>
      <c r="G62" s="96">
        <f>G48/SUM($G$48:$G$50)*100</f>
        <v>42.619411646503167</v>
      </c>
    </row>
    <row r="63" spans="1:7" x14ac:dyDescent="0.2">
      <c r="A63" s="13" t="s">
        <v>110</v>
      </c>
      <c r="B63" s="18">
        <f>B49/SUM($B$48:$B$50)*100</f>
        <v>42.036019947862293</v>
      </c>
      <c r="G63" s="96">
        <f>G49/SUM($G$48:$G$50)*100</f>
        <v>42.415488832589041</v>
      </c>
    </row>
    <row r="64" spans="1:7" x14ac:dyDescent="0.2">
      <c r="A64" s="13" t="s">
        <v>111</v>
      </c>
      <c r="B64" s="18">
        <f>100-B63-B62</f>
        <v>15.435994238532729</v>
      </c>
      <c r="G64" s="96">
        <f>100-G63-G62</f>
        <v>14.965099520907792</v>
      </c>
    </row>
    <row r="66" spans="1:13" x14ac:dyDescent="0.2">
      <c r="A66" s="2" t="s">
        <v>183</v>
      </c>
    </row>
    <row r="67" spans="1:13" ht="15.75" x14ac:dyDescent="0.3">
      <c r="A67" s="14" t="s">
        <v>114</v>
      </c>
      <c r="B67" s="20">
        <f>103.17-2.3838*B62+0.0466*B63-0.2523*B64+18.7782*(B62/B63)+0.0036*(B63/B64)</f>
        <v>18.863937749109343</v>
      </c>
      <c r="G67" s="96">
        <f>103.17-2.3838*G62+0.0466*G63-0.2523*G64+18.7782*(G62/G63)+0.0036*(G63/G64)</f>
        <v>18.653397924483905</v>
      </c>
    </row>
    <row r="68" spans="1:13" ht="15.75" x14ac:dyDescent="0.3">
      <c r="A68" s="14" t="s">
        <v>116</v>
      </c>
      <c r="B68" s="20">
        <f>24.4038-0.63*B62+0.1594*B63+0.1649*B64+0.0106*(B62/B63)+0.1057*(B63/B64)</f>
        <v>7.1556771967633317</v>
      </c>
      <c r="G68" s="96">
        <f>24.4038-0.63*G62+0.1594*G63+0.1649*G64+0.0106*(G62/G63)+0.1057*(G63/G64)</f>
        <v>7.0925803106737479</v>
      </c>
    </row>
    <row r="70" spans="1:13" x14ac:dyDescent="0.2">
      <c r="A70" s="2" t="s">
        <v>287</v>
      </c>
    </row>
    <row r="71" spans="1:13" ht="15.75" x14ac:dyDescent="0.3">
      <c r="A71" s="14" t="s">
        <v>118</v>
      </c>
      <c r="B71" s="57">
        <f>B67-((-0.0611*POWER(B51,2)+1.5534*B51-5.17))</f>
        <v>14.960055518296963</v>
      </c>
      <c r="C71" t="s">
        <v>115</v>
      </c>
      <c r="G71" s="91">
        <f>G67-((-0.0611*POWER(G51,2)+1.5534*G51-5.17))-0.4*'Исходные данные и результаты'!C26</f>
        <v>14.288307266317794</v>
      </c>
      <c r="H71" s="94" t="s">
        <v>274</v>
      </c>
    </row>
    <row r="72" spans="1:13" ht="15.75" x14ac:dyDescent="0.3">
      <c r="A72" s="14" t="s">
        <v>119</v>
      </c>
      <c r="B72" s="57">
        <f>B68-((-0.0278*POWER(B51,2)+0.7378*B51-1.96))</f>
        <v>4.7050582466525892</v>
      </c>
      <c r="C72" t="s">
        <v>115</v>
      </c>
      <c r="E72" s="33"/>
      <c r="G72" s="91">
        <f>G68-((-0.0278*POWER(G51,2)+0.7378*G51-1.96))-0.1*'Исходные данные и результаты'!C26</f>
        <v>4.5188758552755566</v>
      </c>
      <c r="H72" s="94" t="s">
        <v>274</v>
      </c>
    </row>
    <row r="74" spans="1:13" x14ac:dyDescent="0.2">
      <c r="A74" s="2" t="s">
        <v>120</v>
      </c>
    </row>
    <row r="75" spans="1:13" x14ac:dyDescent="0.2">
      <c r="A75" t="s">
        <v>221</v>
      </c>
    </row>
    <row r="76" spans="1:13" x14ac:dyDescent="0.2">
      <c r="A76" s="13" t="s">
        <v>107</v>
      </c>
      <c r="B76" s="24">
        <f>-0.01*(LOG10(LOG10(B71)) -LOG10(LOG10(B72)))</f>
        <v>-2.4227891197666795E-3</v>
      </c>
      <c r="G76" s="102">
        <f>-0.01*(LOG10(LOG10(G71)) -LOG10(LOG10(G72)))</f>
        <v>-2.4631329464219996E-3</v>
      </c>
    </row>
    <row r="77" spans="1:13" x14ac:dyDescent="0.2">
      <c r="A77" s="13" t="s">
        <v>122</v>
      </c>
      <c r="B77">
        <f>LOG10(LOG10(B72))-1500*B76</f>
        <v>3.4619179454138149</v>
      </c>
      <c r="G77" s="89">
        <f>LOG10(LOG10(G72))-1500*G76</f>
        <v>3.5109608825867786</v>
      </c>
    </row>
    <row r="79" spans="1:13" x14ac:dyDescent="0.2">
      <c r="A79" s="2" t="s">
        <v>222</v>
      </c>
      <c r="G79" s="103" t="s">
        <v>222</v>
      </c>
      <c r="H79" s="89"/>
      <c r="I79" s="89"/>
      <c r="J79" s="89"/>
      <c r="K79" s="89"/>
      <c r="L79" s="89"/>
      <c r="M79" s="89"/>
    </row>
    <row r="80" spans="1:13" x14ac:dyDescent="0.2">
      <c r="A80" s="81" t="s">
        <v>124</v>
      </c>
      <c r="B80" s="83" t="s">
        <v>125</v>
      </c>
      <c r="C80" s="84"/>
      <c r="D80" s="84"/>
      <c r="E80" s="84"/>
      <c r="F80" s="85"/>
      <c r="G80" s="575" t="s">
        <v>124</v>
      </c>
      <c r="H80" s="577" t="s">
        <v>125</v>
      </c>
      <c r="I80" s="578"/>
      <c r="J80" s="578"/>
      <c r="K80" s="578"/>
      <c r="L80" s="579"/>
      <c r="M80" s="89"/>
    </row>
    <row r="81" spans="1:13" x14ac:dyDescent="0.2">
      <c r="A81" s="82"/>
      <c r="B81" s="5">
        <v>1350</v>
      </c>
      <c r="C81" s="5">
        <v>1400</v>
      </c>
      <c r="D81" s="5">
        <v>1450</v>
      </c>
      <c r="E81" s="5">
        <v>1500</v>
      </c>
      <c r="F81" s="5">
        <v>1550</v>
      </c>
      <c r="G81" s="576"/>
      <c r="H81" s="104">
        <v>1350</v>
      </c>
      <c r="I81" s="104">
        <v>1400</v>
      </c>
      <c r="J81" s="104">
        <v>1450</v>
      </c>
      <c r="K81" s="104">
        <v>1500</v>
      </c>
      <c r="L81" s="104">
        <v>1550</v>
      </c>
      <c r="M81" s="89"/>
    </row>
    <row r="82" spans="1:13" x14ac:dyDescent="0.2">
      <c r="A82" s="4" t="s">
        <v>57</v>
      </c>
      <c r="B82" s="12">
        <f>POWER(10,POWER(10,$B$77+$B$76*B81))</f>
        <v>35.721747439745769</v>
      </c>
      <c r="C82" s="68">
        <f>POWER(10,POWER(10,$B$77+$B$76*C81))</f>
        <v>14.960055518296942</v>
      </c>
      <c r="D82" s="68">
        <f>POWER(10,POWER(10,$B$77+$B$76*D81))</f>
        <v>7.7435945523209249</v>
      </c>
      <c r="E82" s="68">
        <f>POWER(10,POWER(10,$B$77+$B$76*E81))</f>
        <v>4.7050582466525883</v>
      </c>
      <c r="F82" s="68">
        <f>POWER(10,POWER(10,$B$77+$B$76*F81))</f>
        <v>3.22742303694538</v>
      </c>
      <c r="G82" s="105" t="s">
        <v>57</v>
      </c>
      <c r="H82" s="106">
        <f>POWER(10,POWER(10,$G$77+$G$76*H81))</f>
        <v>34.171824902368677</v>
      </c>
      <c r="I82" s="107">
        <f>POWER(10,POWER(10,$G$77+$G$76*I81))</f>
        <v>14.288307266317776</v>
      </c>
      <c r="J82" s="107">
        <f>POWER(10,POWER(10,$G$77+$G$76*J81))</f>
        <v>7.4096451550740881</v>
      </c>
      <c r="K82" s="107">
        <f>POWER(10,POWER(10,$G$77+$G$76*K81))</f>
        <v>4.5188758552755566</v>
      </c>
      <c r="L82" s="107">
        <f>POWER(10,POWER(10,$G$77+$G$76*L81))</f>
        <v>3.1138152716076801</v>
      </c>
      <c r="M82" s="89"/>
    </row>
    <row r="83" spans="1:13" x14ac:dyDescent="0.2">
      <c r="A83" t="s">
        <v>238</v>
      </c>
      <c r="C83">
        <f>(B77-LOG10(LOG10(7)))/-B76</f>
        <v>1459.0666691127726</v>
      </c>
      <c r="G83" s="94">
        <f>(G77-LOG10(LOG10(7)))/-G76</f>
        <v>1455.0793099982172</v>
      </c>
    </row>
    <row r="84" spans="1:13" x14ac:dyDescent="0.2">
      <c r="A84" s="2" t="s">
        <v>126</v>
      </c>
    </row>
    <row r="85" spans="1:13" x14ac:dyDescent="0.2">
      <c r="A85" s="15" t="s">
        <v>223</v>
      </c>
    </row>
    <row r="86" spans="1:13" x14ac:dyDescent="0.2">
      <c r="A86" t="s">
        <v>128</v>
      </c>
      <c r="B86">
        <f>(B77-LOG10(LOG10(25)))/-B76</f>
        <v>1368.8477399459175</v>
      </c>
      <c r="G86" s="89">
        <f>(G77-LOG10(LOG10(25)))/-G76</f>
        <v>1366.3380829767634</v>
      </c>
    </row>
    <row r="87" spans="1:13" x14ac:dyDescent="0.2">
      <c r="A87" s="15" t="s">
        <v>224</v>
      </c>
      <c r="G87" s="89"/>
    </row>
    <row r="88" spans="1:13" x14ac:dyDescent="0.2">
      <c r="A88" t="s">
        <v>130</v>
      </c>
      <c r="B88">
        <f>'Исходные данные и результаты'!C75+80*'Исходные данные и результаты'!C14-10*'Исходные данные и результаты'!C14*'Исходные данные и результаты'!C14</f>
        <v>1527.6</v>
      </c>
      <c r="G88" s="23">
        <f>'Исходные данные и результаты'!C75+80*'Исходные данные и результаты'!C14-10*'Исходные данные и результаты'!C14*'Исходные данные и результаты'!C14</f>
        <v>1527.6</v>
      </c>
    </row>
    <row r="89" spans="1:13" x14ac:dyDescent="0.2">
      <c r="A89" t="s">
        <v>225</v>
      </c>
    </row>
    <row r="90" spans="1:13" ht="14.25" x14ac:dyDescent="0.2">
      <c r="A90" s="14" t="s">
        <v>132</v>
      </c>
      <c r="B90" s="18">
        <f>POWER(10,POWER(10,B77+B76*B88))</f>
        <v>3.7721380970140133</v>
      </c>
      <c r="C90" t="s">
        <v>115</v>
      </c>
      <c r="G90" s="102">
        <f>POWER(10,POWER(10,G77+G76*G88))</f>
        <v>3.6317614045584721</v>
      </c>
    </row>
    <row r="92" spans="1:13" x14ac:dyDescent="0.2">
      <c r="A92" s="2" t="s">
        <v>133</v>
      </c>
    </row>
    <row r="94" spans="1:13" x14ac:dyDescent="0.2">
      <c r="A94" t="s">
        <v>135</v>
      </c>
      <c r="B94" s="56">
        <f>'Исходные данные и результаты'!C17+0.63*'Исходные данные и результаты'!C14+0.4*'Исходные данные и результаты'!C18</f>
        <v>5.2021999999999995</v>
      </c>
      <c r="C94" t="s">
        <v>136</v>
      </c>
    </row>
    <row r="95" spans="1:13" x14ac:dyDescent="0.2">
      <c r="A95" s="16" t="s">
        <v>137</v>
      </c>
    </row>
    <row r="96" spans="1:13" x14ac:dyDescent="0.2">
      <c r="A96" t="s">
        <v>138</v>
      </c>
      <c r="B96" s="128">
        <f>POWER(10,0.11*B94+0.006*B94*B94)</f>
        <v>5.4277434139117906</v>
      </c>
    </row>
    <row r="98" spans="1:3" x14ac:dyDescent="0.2">
      <c r="A98" s="2" t="s">
        <v>139</v>
      </c>
    </row>
    <row r="99" spans="1:3" x14ac:dyDescent="0.2">
      <c r="A99" s="13" t="s">
        <v>140</v>
      </c>
      <c r="B99" s="24">
        <f>0.57-0.00214*'Исходные данные и результаты'!C12</f>
        <v>0.37311999999999995</v>
      </c>
    </row>
    <row r="100" spans="1:3" x14ac:dyDescent="0.2">
      <c r="A100" s="2" t="s">
        <v>141</v>
      </c>
    </row>
    <row r="101" spans="1:3" x14ac:dyDescent="0.2">
      <c r="A101" s="13" t="s">
        <v>142</v>
      </c>
      <c r="B101" s="129">
        <f>94.41*10*B99*0.214</f>
        <v>75.38419468799998</v>
      </c>
      <c r="C101" t="s">
        <v>143</v>
      </c>
    </row>
    <row r="102" spans="1:3" x14ac:dyDescent="0.2">
      <c r="A102" s="2" t="s">
        <v>144</v>
      </c>
    </row>
    <row r="103" spans="1:3" x14ac:dyDescent="0.2">
      <c r="A103" s="13" t="s">
        <v>145</v>
      </c>
      <c r="B103" s="23">
        <f>2.18*'Исходные данные и результаты'!C16+9.68*'Исходные данные и результаты'!C18+8.57*'Исходные данные и результаты'!C14</f>
        <v>8.1612600000000004</v>
      </c>
      <c r="C103" t="s">
        <v>143</v>
      </c>
    </row>
    <row r="104" spans="1:3" x14ac:dyDescent="0.2">
      <c r="A104" s="2" t="s">
        <v>146</v>
      </c>
    </row>
    <row r="105" spans="1:3" x14ac:dyDescent="0.2">
      <c r="A105" s="13" t="s">
        <v>147</v>
      </c>
      <c r="B105" s="57">
        <f>0.01*'Исходные данные и результаты'!C74*(100-(A3+Проект!B3+Проект!C3))</f>
        <v>353.94064216422743</v>
      </c>
      <c r="C105" t="s">
        <v>143</v>
      </c>
    </row>
    <row r="106" spans="1:3" x14ac:dyDescent="0.2">
      <c r="A106" s="2" t="s">
        <v>148</v>
      </c>
    </row>
    <row r="107" spans="1:3" x14ac:dyDescent="0.2">
      <c r="A107" s="13" t="s">
        <v>149</v>
      </c>
      <c r="B107" s="56">
        <f>0.008*B105</f>
        <v>2.8315251373138195</v>
      </c>
      <c r="C107" t="s">
        <v>143</v>
      </c>
    </row>
    <row r="108" spans="1:3" x14ac:dyDescent="0.2">
      <c r="A108" s="2" t="s">
        <v>492</v>
      </c>
    </row>
    <row r="109" spans="1:3" x14ac:dyDescent="0.2">
      <c r="A109" s="13" t="s">
        <v>151</v>
      </c>
      <c r="B109" s="23">
        <f>B105-(10*'Исходные данные и результаты'!C17+Проект!B101+Проект!B103+Проект!B107)</f>
        <v>220.8336623389136</v>
      </c>
      <c r="C109" t="s">
        <v>143</v>
      </c>
    </row>
    <row r="112" spans="1:3" x14ac:dyDescent="0.2">
      <c r="A112" s="2" t="s">
        <v>491</v>
      </c>
    </row>
    <row r="113" spans="1:14" x14ac:dyDescent="0.2">
      <c r="A113" s="13" t="s">
        <v>153</v>
      </c>
      <c r="B113">
        <f>'Исходные данные и результаты'!C12/Проект!B109</f>
        <v>0.41660315291428501</v>
      </c>
      <c r="C113" t="s">
        <v>154</v>
      </c>
    </row>
    <row r="114" spans="1:14" x14ac:dyDescent="0.2">
      <c r="A114" s="2" t="s">
        <v>155</v>
      </c>
    </row>
    <row r="115" spans="1:14" x14ac:dyDescent="0.2">
      <c r="A115" s="13" t="s">
        <v>156</v>
      </c>
      <c r="B115" s="56">
        <f>1.8667+B113</f>
        <v>2.2833031529142849</v>
      </c>
      <c r="C115" t="s">
        <v>154</v>
      </c>
    </row>
    <row r="116" spans="1:14" x14ac:dyDescent="0.2">
      <c r="A116" s="34" t="s">
        <v>157</v>
      </c>
      <c r="B116" s="56">
        <f>(0.9333+0.5*B113)/(0.01*'Исходные данные и результаты'!C11+0.00062*'Исходные данные и результаты'!C10)*0.00124*'Исходные данные и результаты'!C10+2*B113</f>
        <v>0.84242822280693275</v>
      </c>
      <c r="C116" t="s">
        <v>154</v>
      </c>
    </row>
    <row r="117" spans="1:14" x14ac:dyDescent="0.2">
      <c r="A117" s="34" t="s">
        <v>158</v>
      </c>
      <c r="B117" s="56">
        <f>(0.9333+0.5*B113)/(0.01*'Исходные данные и результаты'!C11+0.00062*'Исходные данные и результаты'!C10)*(1-0.01*'Исходные данные и результаты'!C11)</f>
        <v>3.2377328063027631</v>
      </c>
      <c r="C117" t="s">
        <v>154</v>
      </c>
    </row>
    <row r="118" spans="1:14" x14ac:dyDescent="0.2">
      <c r="A118" s="35" t="s">
        <v>159</v>
      </c>
    </row>
    <row r="119" spans="1:14" x14ac:dyDescent="0.2">
      <c r="A119" s="13" t="s">
        <v>160</v>
      </c>
      <c r="B119" s="23">
        <f>B115+B116+B117</f>
        <v>6.3634641820239803</v>
      </c>
      <c r="C119" t="s">
        <v>154</v>
      </c>
    </row>
    <row r="120" spans="1:14" x14ac:dyDescent="0.2">
      <c r="A120" s="35" t="s">
        <v>161</v>
      </c>
    </row>
    <row r="121" spans="1:14" x14ac:dyDescent="0.2">
      <c r="A121" s="13" t="s">
        <v>162</v>
      </c>
      <c r="B121" s="23">
        <f>('Исходные данные и результаты'!C8+1)*Проект!B115/Проект!B119</f>
        <v>1.2809677280703013</v>
      </c>
      <c r="C121" t="s">
        <v>163</v>
      </c>
      <c r="H121" s="75" t="s">
        <v>226</v>
      </c>
      <c r="I121" s="75"/>
      <c r="J121" s="75"/>
    </row>
    <row r="122" spans="1:14" x14ac:dyDescent="0.2">
      <c r="A122" s="31" t="s">
        <v>227</v>
      </c>
      <c r="H122" s="75" t="s">
        <v>170</v>
      </c>
      <c r="I122" s="75">
        <f>7.324*LOG10(B59)+0.0004194 *B88-0.525 *LOG10(B90)+1.153*LOG10(B96/B121)+0.0002683*B46</f>
        <v>1.7128415518245415</v>
      </c>
    </row>
    <row r="123" spans="1:14" x14ac:dyDescent="0.2">
      <c r="A123" s="11" t="s">
        <v>228</v>
      </c>
      <c r="B123">
        <f>7.324*LOG10($B$59/База!$B$8)+0.0004194*(Проект!$B$88-База!$B$38)-0.184*LOG10($B$90/База!$B$40)+1.153*LOG10(($B$96/База!$B$46)/(Проект!$B$121/База!$B$69))+0.0002683*($B$46-'Исходные данные и результаты'!$B$4)</f>
        <v>2.2096215992220676E-2</v>
      </c>
      <c r="D123" s="11" t="s">
        <v>229</v>
      </c>
      <c r="E123">
        <f>10^B123</f>
        <v>1.0521949570707432</v>
      </c>
      <c r="H123" s="75" t="s">
        <v>172</v>
      </c>
      <c r="I123" s="75">
        <f>10^I122</f>
        <v>51.622799407934636</v>
      </c>
    </row>
    <row r="124" spans="1:14" x14ac:dyDescent="0.2">
      <c r="A124" t="s">
        <v>230</v>
      </c>
    </row>
    <row r="125" spans="1:14" x14ac:dyDescent="0.2">
      <c r="B125" s="49">
        <f>E123*База!$B$77</f>
        <v>39.872651004786057</v>
      </c>
      <c r="D125" t="s">
        <v>231</v>
      </c>
    </row>
    <row r="126" spans="1:14" ht="15.75" x14ac:dyDescent="0.25">
      <c r="C126" s="69" t="s">
        <v>167</v>
      </c>
      <c r="D126" s="23">
        <f>(($B$34-База!$B$74)/База!$B$74-(0.001*((Проект!$B$125-База!$B$77)*'Исходные данные и результаты'!$B$4+(Проект!$B$46-'Исходные данные и результаты'!$B$4)*База!$B$77)/(1+0.001*База!$B$77*'Исходные данные и результаты'!$B$4)))*'Исходные данные и результаты'!$B$15+'Исходные данные и результаты'!$B$15</f>
        <v>1.964755767767231E-2</v>
      </c>
    </row>
    <row r="128" spans="1:14" x14ac:dyDescent="0.2">
      <c r="A128" s="31" t="s">
        <v>232</v>
      </c>
      <c r="H128" s="108" t="s">
        <v>232</v>
      </c>
      <c r="I128" s="94"/>
      <c r="J128" s="94"/>
      <c r="K128" s="94"/>
      <c r="L128" s="94"/>
      <c r="M128" s="94"/>
      <c r="N128" s="94"/>
    </row>
    <row r="129" spans="1:14" x14ac:dyDescent="0.2">
      <c r="A129" s="11" t="s">
        <v>228</v>
      </c>
      <c r="B129">
        <f>7.324*LOG10($B$59/База!$B$8)+0.0004194*(Проект!$B$88-База!$B$38)-0.525*LOG10($B$90/База!$B$40)+1.153*LOG10(($B$96/База!$B$46)/(Проект!$B$121/База!$B$69))+0.0002683*($B$46-База!B94)</f>
        <v>6.0990760317276502E-6</v>
      </c>
      <c r="D129" s="11" t="s">
        <v>229</v>
      </c>
      <c r="E129">
        <f>10^B129</f>
        <v>1.0000140437401641</v>
      </c>
      <c r="H129" s="109" t="s">
        <v>228</v>
      </c>
      <c r="I129" s="112">
        <f>7.324*LOG10($G$59/База!$B$8)+0.0004194*(Проект!$G$88-База!$B$38)-0.184*LOG10($G$90/База!$B$40)+1.153*LOG10(($B$96/База!$B$46)/(Проект!$B$121/База!$B$69))+0.0002683*($D$46-База!B82)</f>
        <v>2.2695566215072543E-2</v>
      </c>
      <c r="J129" s="33" t="s">
        <v>247</v>
      </c>
      <c r="K129" s="109" t="s">
        <v>229</v>
      </c>
      <c r="L129" s="94">
        <f>10^I129</f>
        <v>1.0536480463058591</v>
      </c>
      <c r="M129" s="94"/>
      <c r="N129" s="94"/>
    </row>
    <row r="130" spans="1:14" x14ac:dyDescent="0.2">
      <c r="A130" t="s">
        <v>230</v>
      </c>
      <c r="H130" s="94" t="s">
        <v>230</v>
      </c>
      <c r="I130" s="94"/>
      <c r="J130" s="94"/>
      <c r="K130" s="94"/>
      <c r="L130" s="94"/>
      <c r="M130" s="94"/>
      <c r="N130" s="94"/>
    </row>
    <row r="131" spans="1:14" x14ac:dyDescent="0.2">
      <c r="B131" s="49">
        <f>E129*База!$B$77</f>
        <v>37.895269025943058</v>
      </c>
      <c r="D131" t="s">
        <v>231</v>
      </c>
      <c r="H131" s="94"/>
      <c r="I131" s="91">
        <f>L129*База!$B$77</f>
        <v>39.92771543895887</v>
      </c>
      <c r="J131" s="94"/>
      <c r="K131" s="94" t="s">
        <v>231</v>
      </c>
      <c r="L131" s="94"/>
      <c r="M131" s="94"/>
      <c r="N131" s="94"/>
    </row>
    <row r="132" spans="1:14" ht="15.75" x14ac:dyDescent="0.25">
      <c r="C132" s="69" t="s">
        <v>167</v>
      </c>
      <c r="D132" s="23">
        <f>(($B$34-База!$B$74)/База!$B$74-(0.001*((Проект!$B$131-База!$B$77)*База!$B$94+(Проект!$B$46-База!$B$94)*База!$B$77)/(1+0.001*База!$B$77*База!$B$94)))*'Исходные данные и результаты'!$B$15+'Исходные данные и результаты'!$B$15</f>
        <v>2.001112157038271E-2</v>
      </c>
      <c r="H132" s="94"/>
      <c r="I132" s="94"/>
      <c r="J132" s="110" t="s">
        <v>167</v>
      </c>
      <c r="K132" s="111">
        <f>(($B$34-База!$B$74)/База!$B$74-(0.001*((Проект!$I$131-База!$B$77)*База!$B$94+(Проект!$B$46-База!$B$94)*База!$B$77)/(1+0.001*База!$B$77*База!$B$94)))*'Исходные данные и результаты'!$B$15+'Исходные данные и результаты'!$B$15</f>
        <v>1.9069990455539643E-2</v>
      </c>
      <c r="L132" s="94"/>
      <c r="M132" s="94"/>
      <c r="N132" s="94"/>
    </row>
  </sheetData>
  <mergeCells count="2">
    <mergeCell ref="G80:G81"/>
    <mergeCell ref="H80:L80"/>
  </mergeCells>
  <phoneticPr fontId="0" type="noConversion"/>
  <pageMargins left="0.78740157480314965" right="0.78740157480314965" top="0.98425196850393704" bottom="0.98425196850393704" header="0.51181102362204722" footer="0.51181102362204722"/>
  <pageSetup paperSize="9" orientation="landscape" horizontalDpi="4294967293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V98"/>
  <sheetViews>
    <sheetView zoomScale="85" zoomScaleNormal="75" workbookViewId="0">
      <selection activeCell="D45" sqref="D45"/>
    </sheetView>
  </sheetViews>
  <sheetFormatPr defaultRowHeight="12.75" x14ac:dyDescent="0.2"/>
  <cols>
    <col min="1" max="1" width="41.85546875" customWidth="1"/>
    <col min="2" max="2" width="16.140625" bestFit="1" customWidth="1"/>
    <col min="3" max="3" width="16" bestFit="1" customWidth="1"/>
    <col min="4" max="4" width="12.140625" bestFit="1" customWidth="1"/>
    <col min="5" max="5" width="13" customWidth="1"/>
    <col min="6" max="6" width="42.7109375" customWidth="1"/>
    <col min="7" max="7" width="17.42578125" customWidth="1"/>
    <col min="8" max="8" width="12.42578125" customWidth="1"/>
    <col min="9" max="9" width="13.28515625" customWidth="1"/>
    <col min="11" max="11" width="9.85546875" bestFit="1" customWidth="1"/>
    <col min="12" max="12" width="14.7109375" customWidth="1"/>
    <col min="20" max="20" width="10.28515625" bestFit="1" customWidth="1"/>
  </cols>
  <sheetData>
    <row r="1" spans="1:12" x14ac:dyDescent="0.2">
      <c r="A1" s="581" t="s">
        <v>50</v>
      </c>
      <c r="B1" s="581" t="s">
        <v>51</v>
      </c>
      <c r="C1" s="581"/>
      <c r="F1" s="87" t="s">
        <v>52</v>
      </c>
      <c r="G1" s="31"/>
      <c r="I1" s="2"/>
    </row>
    <row r="2" spans="1:12" x14ac:dyDescent="0.2">
      <c r="A2" s="581"/>
      <c r="B2" s="158" t="s">
        <v>733</v>
      </c>
      <c r="C2" s="118" t="s">
        <v>57</v>
      </c>
      <c r="E2" s="343"/>
      <c r="F2" s="580" t="s">
        <v>53</v>
      </c>
      <c r="G2" s="581" t="s">
        <v>54</v>
      </c>
      <c r="H2" s="581"/>
      <c r="I2" s="3"/>
    </row>
    <row r="3" spans="1:12" x14ac:dyDescent="0.2">
      <c r="A3" s="3" t="s">
        <v>55</v>
      </c>
      <c r="B3" s="369">
        <v>3517.26</v>
      </c>
      <c r="C3" s="498">
        <f>U95</f>
        <v>3536.397264854344</v>
      </c>
      <c r="D3" s="504">
        <f>Проект!B30</f>
        <v>3536.397264854344</v>
      </c>
      <c r="E3" s="43"/>
      <c r="F3" s="580"/>
      <c r="G3" s="1" t="s">
        <v>56</v>
      </c>
      <c r="H3" s="118" t="s">
        <v>57</v>
      </c>
      <c r="I3" s="1" t="s">
        <v>58</v>
      </c>
    </row>
    <row r="4" spans="1:12" x14ac:dyDescent="0.2">
      <c r="A4" s="3" t="s">
        <v>460</v>
      </c>
      <c r="B4" s="369">
        <v>329.45</v>
      </c>
      <c r="C4" s="5" t="s">
        <v>59</v>
      </c>
      <c r="E4" s="49"/>
      <c r="F4" s="72" t="s">
        <v>60</v>
      </c>
      <c r="G4" s="70"/>
      <c r="H4" s="90"/>
      <c r="I4" s="88"/>
    </row>
    <row r="5" spans="1:12" ht="14.25" x14ac:dyDescent="0.25">
      <c r="A5" s="3" t="s">
        <v>701</v>
      </c>
      <c r="B5" s="503">
        <f>База!B94</f>
        <v>318.75024690011929</v>
      </c>
      <c r="C5" s="338">
        <f>Проект!B46</f>
        <v>308.50240644624989</v>
      </c>
      <c r="F5" s="71" t="s">
        <v>664</v>
      </c>
      <c r="G5" s="141">
        <f>B27</f>
        <v>0.99260237780713334</v>
      </c>
      <c r="H5" s="141">
        <f>C27</f>
        <v>1.0048077440464966</v>
      </c>
      <c r="I5" s="141">
        <f t="shared" ref="I5:I10" si="0">H5-G5</f>
        <v>1.2205366239363302E-2</v>
      </c>
    </row>
    <row r="6" spans="1:12" ht="14.25" x14ac:dyDescent="0.25">
      <c r="A6" s="30" t="s">
        <v>635</v>
      </c>
      <c r="B6" s="162">
        <v>24.5</v>
      </c>
      <c r="C6" s="134">
        <v>24.5</v>
      </c>
      <c r="D6" s="339" t="s">
        <v>61</v>
      </c>
      <c r="E6" s="134"/>
      <c r="F6" s="71" t="s">
        <v>626</v>
      </c>
      <c r="G6" s="140">
        <f>(B21+B24)/B22</f>
        <v>1.2306472919418758</v>
      </c>
      <c r="H6" s="141">
        <f>(C21+C24)/C22</f>
        <v>1.2540085027060717</v>
      </c>
      <c r="I6" s="141">
        <f t="shared" si="0"/>
        <v>2.3361210764195839E-2</v>
      </c>
    </row>
    <row r="7" spans="1:12" ht="14.25" x14ac:dyDescent="0.25">
      <c r="A7" s="159" t="s">
        <v>63</v>
      </c>
      <c r="B7" s="463"/>
      <c r="C7" s="161"/>
      <c r="D7" s="339" t="s">
        <v>64</v>
      </c>
      <c r="E7" s="340"/>
      <c r="F7" s="71" t="s">
        <v>627</v>
      </c>
      <c r="G7" s="140">
        <f>(B21+B24)/(B22+B23)</f>
        <v>0.95255623721881377</v>
      </c>
      <c r="H7" s="141">
        <f>(C21+C24)/(C22+C23)</f>
        <v>0.92695779476544304</v>
      </c>
      <c r="I7" s="141">
        <f t="shared" si="0"/>
        <v>-2.5598442453370729E-2</v>
      </c>
    </row>
    <row r="8" spans="1:12" x14ac:dyDescent="0.2">
      <c r="A8" s="101" t="s">
        <v>66</v>
      </c>
      <c r="B8" s="369">
        <v>2.57</v>
      </c>
      <c r="C8" s="369">
        <v>2.57</v>
      </c>
      <c r="D8" s="339" t="s">
        <v>244</v>
      </c>
      <c r="E8" s="341"/>
      <c r="F8" s="71" t="s">
        <v>623</v>
      </c>
      <c r="G8" s="140">
        <f>База!B8</f>
        <v>1.1806317827033046</v>
      </c>
      <c r="H8" s="141">
        <f>Проект!G59</f>
        <v>1.1939326321594093</v>
      </c>
      <c r="I8" s="141">
        <f t="shared" si="0"/>
        <v>1.3300849456104658E-2</v>
      </c>
      <c r="K8" s="113"/>
      <c r="L8" s="113"/>
    </row>
    <row r="9" spans="1:12" x14ac:dyDescent="0.2">
      <c r="A9" s="101" t="s">
        <v>636</v>
      </c>
      <c r="B9" s="367">
        <v>1204</v>
      </c>
      <c r="C9" s="367">
        <v>1204</v>
      </c>
      <c r="D9" s="352" t="s">
        <v>523</v>
      </c>
      <c r="E9" s="364"/>
      <c r="F9" s="3" t="s">
        <v>632</v>
      </c>
      <c r="G9" s="145">
        <f>'ВВОД данных и р-т'!C20</f>
        <v>1527.6</v>
      </c>
      <c r="H9" s="146">
        <f>'ВВОД данных и р-т (про)'!C20</f>
        <v>1527.6</v>
      </c>
      <c r="I9" s="484">
        <f t="shared" si="0"/>
        <v>0</v>
      </c>
      <c r="K9" s="114"/>
      <c r="L9" s="114"/>
    </row>
    <row r="10" spans="1:12" ht="14.25" x14ac:dyDescent="0.2">
      <c r="A10" s="101" t="s">
        <v>637</v>
      </c>
      <c r="B10" s="500">
        <v>1.7</v>
      </c>
      <c r="C10" s="501">
        <v>1.7</v>
      </c>
      <c r="F10" s="74" t="s">
        <v>634</v>
      </c>
      <c r="G10" s="145">
        <f>'ВВОД данных и р-т'!C16</f>
        <v>1321.3345150315538</v>
      </c>
      <c r="H10" s="146">
        <f>'ВВОД данных и р-т (про)'!C16</f>
        <v>1315.9860354649315</v>
      </c>
      <c r="I10" s="484">
        <f t="shared" si="0"/>
        <v>-5.3484795666222453</v>
      </c>
      <c r="K10" s="114"/>
      <c r="L10" s="114"/>
    </row>
    <row r="11" spans="1:12" x14ac:dyDescent="0.2">
      <c r="A11" s="101" t="s">
        <v>67</v>
      </c>
      <c r="B11" s="501">
        <v>25.99</v>
      </c>
      <c r="C11" s="501">
        <v>25.99</v>
      </c>
      <c r="F11" s="73" t="s">
        <v>68</v>
      </c>
      <c r="G11" s="142"/>
      <c r="H11" s="143"/>
      <c r="I11" s="144"/>
      <c r="K11" s="38"/>
      <c r="L11" s="95"/>
    </row>
    <row r="12" spans="1:12" ht="14.25" x14ac:dyDescent="0.2">
      <c r="A12" s="30" t="s">
        <v>638</v>
      </c>
      <c r="B12" s="369">
        <v>92</v>
      </c>
      <c r="C12" s="369">
        <v>92</v>
      </c>
      <c r="F12" s="71" t="s">
        <v>69</v>
      </c>
      <c r="G12" s="140">
        <f>'ВВОД данных и р-т'!C21</f>
        <v>2.6747251112974917</v>
      </c>
      <c r="H12" s="146">
        <f>'ВВОД данных и р-т (про)'!C21</f>
        <v>2.9950355868012957</v>
      </c>
      <c r="I12" s="146">
        <f t="shared" ref="I12:I17" si="1">H12-G12</f>
        <v>0.32031047550380398</v>
      </c>
      <c r="K12" s="115"/>
      <c r="L12" s="115"/>
    </row>
    <row r="13" spans="1:12" x14ac:dyDescent="0.2">
      <c r="A13" s="159" t="s">
        <v>70</v>
      </c>
      <c r="B13" s="160"/>
      <c r="C13" s="161"/>
      <c r="F13" s="71" t="s">
        <v>628</v>
      </c>
      <c r="G13" s="140">
        <f>'ВВОД данных и р-т'!C12</f>
        <v>7.7541650886555962</v>
      </c>
      <c r="H13" s="146">
        <f>'ВВОД данных и р-т (про)'!C12</f>
        <v>8.1612113920771989</v>
      </c>
      <c r="I13" s="146">
        <f t="shared" si="1"/>
        <v>0.40704630342160275</v>
      </c>
      <c r="K13" s="115"/>
      <c r="L13" s="115"/>
    </row>
    <row r="14" spans="1:12" x14ac:dyDescent="0.2">
      <c r="A14" s="342" t="s">
        <v>71</v>
      </c>
      <c r="B14" s="368">
        <v>0.8</v>
      </c>
      <c r="C14" s="368">
        <v>0.8</v>
      </c>
      <c r="F14" s="71" t="s">
        <v>665</v>
      </c>
      <c r="G14" s="140">
        <f>'ВВОД данных и р-т'!C13</f>
        <v>4.6492989115507202</v>
      </c>
      <c r="H14" s="146">
        <f>'ВВОД данных и р-т (про)'!C13</f>
        <v>5.0932027711492323</v>
      </c>
      <c r="I14" s="146">
        <f t="shared" si="1"/>
        <v>0.44390385959851208</v>
      </c>
      <c r="K14" s="115"/>
      <c r="L14" s="115"/>
    </row>
    <row r="15" spans="1:12" x14ac:dyDescent="0.2">
      <c r="A15" s="8" t="s">
        <v>11</v>
      </c>
      <c r="B15" s="368">
        <v>1.9E-2</v>
      </c>
      <c r="C15" s="149">
        <f>Проект!K132</f>
        <v>1.9069990455539643E-2</v>
      </c>
      <c r="E15" s="11"/>
      <c r="F15" s="71" t="s">
        <v>629</v>
      </c>
      <c r="G15" s="140">
        <f>'ВВОД данных и р-т'!C14</f>
        <v>3.1675086091472906</v>
      </c>
      <c r="H15" s="146">
        <f>'ВВОД данных и р-т (про)'!C14</f>
        <v>3.5335686630809051</v>
      </c>
      <c r="I15" s="146">
        <f t="shared" si="1"/>
        <v>0.36606005393361452</v>
      </c>
      <c r="K15" s="38"/>
      <c r="L15" s="95"/>
    </row>
    <row r="16" spans="1:12" x14ac:dyDescent="0.2">
      <c r="A16" s="8" t="s">
        <v>72</v>
      </c>
      <c r="B16" s="368">
        <v>0.31900000000000001</v>
      </c>
      <c r="C16" s="368">
        <v>0.31900000000000001</v>
      </c>
      <c r="F16" s="71" t="s">
        <v>666</v>
      </c>
      <c r="G16" s="140">
        <f>'ВВОД данных и р-т'!C15</f>
        <v>2.3750420427765384</v>
      </c>
      <c r="H16" s="146">
        <f>'ВВОД данных и р-т (про)'!C15</f>
        <v>2.6613050195154915</v>
      </c>
      <c r="I16" s="146">
        <f t="shared" si="1"/>
        <v>0.28626297673895307</v>
      </c>
      <c r="K16" s="113"/>
      <c r="L16" s="113"/>
    </row>
    <row r="17" spans="1:12" x14ac:dyDescent="0.2">
      <c r="A17" s="8" t="s">
        <v>18</v>
      </c>
      <c r="B17" s="368">
        <v>4.673</v>
      </c>
      <c r="C17" s="368">
        <v>4.673</v>
      </c>
      <c r="D17" s="360" t="s">
        <v>283</v>
      </c>
      <c r="E17" s="360"/>
      <c r="F17" s="28" t="s">
        <v>633</v>
      </c>
      <c r="G17" s="145">
        <f>База!B74</f>
        <v>2.3801743142585519</v>
      </c>
      <c r="H17" s="146">
        <f>Проект!B34</f>
        <v>2.4361988188797872</v>
      </c>
      <c r="I17" s="146">
        <f t="shared" si="1"/>
        <v>5.6024504621235316E-2</v>
      </c>
      <c r="K17" s="38"/>
      <c r="L17" s="95"/>
    </row>
    <row r="18" spans="1:12" x14ac:dyDescent="0.2">
      <c r="A18" s="8" t="s">
        <v>10</v>
      </c>
      <c r="B18" s="368">
        <v>6.3E-2</v>
      </c>
      <c r="C18" s="368">
        <v>6.3E-2</v>
      </c>
      <c r="D18" s="360"/>
      <c r="E18" s="360"/>
      <c r="F18" s="28" t="s">
        <v>480</v>
      </c>
      <c r="G18" s="140">
        <f>База!B46</f>
        <v>5.4277434139117906</v>
      </c>
      <c r="H18" s="146">
        <f>Проект!B96</f>
        <v>5.4277434139117906</v>
      </c>
      <c r="I18" s="146">
        <f t="shared" ref="I18:I23" si="2">H18-G18</f>
        <v>0</v>
      </c>
      <c r="K18" s="115"/>
      <c r="L18" s="115"/>
    </row>
    <row r="19" spans="1:12" x14ac:dyDescent="0.2">
      <c r="A19" s="8" t="s">
        <v>559</v>
      </c>
      <c r="B19" s="368">
        <v>8.6999999999999994E-2</v>
      </c>
      <c r="C19" s="149">
        <f>B19+(E19-D19)</f>
        <v>8.6834197064196872E-2</v>
      </c>
      <c r="D19" s="465">
        <f>База!I92</f>
        <v>8.6999999999999966E-2</v>
      </c>
      <c r="E19" s="465">
        <f>Проект!E41</f>
        <v>8.6834197064196844E-2</v>
      </c>
      <c r="F19" s="28" t="s">
        <v>73</v>
      </c>
      <c r="G19" s="140">
        <f>База!B69</f>
        <v>1.2816652338029861</v>
      </c>
      <c r="H19" s="146">
        <f>Проект!B121</f>
        <v>1.2809677280703013</v>
      </c>
      <c r="I19" s="146">
        <f t="shared" si="2"/>
        <v>-6.9750573268478888E-4</v>
      </c>
      <c r="K19" s="115"/>
      <c r="L19" s="115"/>
    </row>
    <row r="20" spans="1:12" x14ac:dyDescent="0.2">
      <c r="A20" s="585" t="s">
        <v>74</v>
      </c>
      <c r="B20" s="585"/>
      <c r="C20" s="585"/>
      <c r="D20" s="360" t="s">
        <v>239</v>
      </c>
      <c r="E20" s="466" t="s">
        <v>484</v>
      </c>
      <c r="F20" s="27" t="s">
        <v>230</v>
      </c>
      <c r="G20" s="140">
        <f>База!B77</f>
        <v>37.89473684210526</v>
      </c>
      <c r="H20" s="141">
        <f>Проект!I131</f>
        <v>39.92771543895887</v>
      </c>
      <c r="I20" s="143">
        <f t="shared" si="2"/>
        <v>2.03297859685361</v>
      </c>
      <c r="K20" s="114"/>
      <c r="L20" s="114"/>
    </row>
    <row r="21" spans="1:12" x14ac:dyDescent="0.2">
      <c r="A21" s="32" t="s">
        <v>8</v>
      </c>
      <c r="B21" s="368">
        <v>37.57</v>
      </c>
      <c r="C21" s="150">
        <f t="shared" ref="C21:C26" si="3">B21+E21-D21</f>
        <v>36.930450887031938</v>
      </c>
      <c r="D21" s="465">
        <f>База!F85</f>
        <v>38.256522694486861</v>
      </c>
      <c r="E21" s="465">
        <f>Проект!B48</f>
        <v>37.616973581518792</v>
      </c>
      <c r="F21" s="27" t="s">
        <v>444</v>
      </c>
      <c r="G21" s="147">
        <f>B15</f>
        <v>1.9E-2</v>
      </c>
      <c r="H21" s="148">
        <f>Проект!K132</f>
        <v>1.9069990455539643E-2</v>
      </c>
      <c r="I21" s="148">
        <f t="shared" si="2"/>
        <v>6.9990455539643143E-5</v>
      </c>
      <c r="K21" s="116"/>
      <c r="L21" s="116"/>
    </row>
    <row r="22" spans="1:12" ht="15.75" x14ac:dyDescent="0.3">
      <c r="A22" s="8" t="s">
        <v>639</v>
      </c>
      <c r="B22" s="368">
        <v>37.85</v>
      </c>
      <c r="C22" s="150">
        <f t="shared" si="3"/>
        <v>36.75374827258797</v>
      </c>
      <c r="D22" s="465">
        <f>База!F86</f>
        <v>38.278070278176202</v>
      </c>
      <c r="E22" s="467">
        <f>Проект!B49</f>
        <v>37.18181855076417</v>
      </c>
      <c r="F22" s="27" t="s">
        <v>631</v>
      </c>
      <c r="G22" s="485">
        <f>'ВВОД данных и р-т'!C17</f>
        <v>1408.9177243795398</v>
      </c>
      <c r="H22" s="484">
        <f>'ВВОД данных и р-т (про)'!C17</f>
        <v>1414.9237979570228</v>
      </c>
      <c r="I22" s="484">
        <f t="shared" si="2"/>
        <v>6.0060735774829936</v>
      </c>
      <c r="K22" s="95"/>
      <c r="L22" s="116"/>
    </row>
    <row r="23" spans="1:12" ht="15.75" x14ac:dyDescent="0.3">
      <c r="A23" s="8" t="s">
        <v>640</v>
      </c>
      <c r="B23" s="368">
        <v>11.05</v>
      </c>
      <c r="C23" s="150">
        <f t="shared" si="3"/>
        <v>12.967515306414976</v>
      </c>
      <c r="D23" s="465">
        <f>База!F87</f>
        <v>11.735973716561672</v>
      </c>
      <c r="E23" s="467">
        <f>Проект!B50</f>
        <v>13.653489022976647</v>
      </c>
      <c r="F23" s="27" t="s">
        <v>630</v>
      </c>
      <c r="G23" s="140">
        <f>(25-7)/(G22-G10)</f>
        <v>0.20551884469638834</v>
      </c>
      <c r="H23" s="141">
        <f>(25-7)/(H22-H10)</f>
        <v>0.18193255584730716</v>
      </c>
      <c r="I23" s="141">
        <f t="shared" si="2"/>
        <v>-2.3586288849081177E-2</v>
      </c>
      <c r="K23" s="95"/>
      <c r="L23" s="116"/>
    </row>
    <row r="24" spans="1:12" x14ac:dyDescent="0.2">
      <c r="A24" s="8" t="s">
        <v>9</v>
      </c>
      <c r="B24" s="368">
        <v>9.01</v>
      </c>
      <c r="C24" s="150">
        <f t="shared" si="3"/>
        <v>9.1590619531119692</v>
      </c>
      <c r="D24" s="465">
        <f>База!F88</f>
        <v>8.9455798182209456</v>
      </c>
      <c r="E24" s="468">
        <f>Проект!B51</f>
        <v>9.0946417713329168</v>
      </c>
      <c r="K24" s="116"/>
      <c r="L24" s="116"/>
    </row>
    <row r="25" spans="1:12" x14ac:dyDescent="0.2">
      <c r="A25" s="8" t="s">
        <v>11</v>
      </c>
      <c r="B25" s="368">
        <v>0.72</v>
      </c>
      <c r="C25" s="150">
        <f t="shared" si="3"/>
        <v>0.75668821317549784</v>
      </c>
      <c r="D25" s="465">
        <f>База!F92</f>
        <v>0.61244090061659062</v>
      </c>
      <c r="E25" s="468">
        <f>Проект!B55</f>
        <v>0.64912911379208849</v>
      </c>
      <c r="F25" s="20"/>
      <c r="G25" s="96"/>
      <c r="I25" s="38"/>
    </row>
    <row r="26" spans="1:12" ht="15.75" x14ac:dyDescent="0.3">
      <c r="A26" s="8" t="s">
        <v>641</v>
      </c>
      <c r="B26" s="368">
        <v>1.05</v>
      </c>
      <c r="C26" s="150">
        <f t="shared" si="3"/>
        <v>1.0824650732640242</v>
      </c>
      <c r="D26" s="465">
        <f>База!F89</f>
        <v>1.1963743851857735</v>
      </c>
      <c r="E26" s="467">
        <f>Проект!B52</f>
        <v>1.2288394584497979</v>
      </c>
      <c r="F26" s="33"/>
      <c r="G26" s="89"/>
      <c r="I26" s="38"/>
    </row>
    <row r="27" spans="1:12" ht="15.75" x14ac:dyDescent="0.3">
      <c r="A27" s="9" t="s">
        <v>642</v>
      </c>
      <c r="B27" s="151">
        <f>B21/B22</f>
        <v>0.99260237780713334</v>
      </c>
      <c r="C27" s="151">
        <f>C21/C22</f>
        <v>1.0048077440464966</v>
      </c>
      <c r="D27" s="465">
        <f>D21/D22</f>
        <v>0.99943707758691203</v>
      </c>
      <c r="E27" s="468">
        <f>E21/E22</f>
        <v>1.011703435918835</v>
      </c>
      <c r="F27" s="33"/>
      <c r="G27" s="89"/>
      <c r="I27" s="38"/>
    </row>
    <row r="28" spans="1:12" x14ac:dyDescent="0.2">
      <c r="A28" s="586" t="s">
        <v>76</v>
      </c>
      <c r="B28" s="587"/>
      <c r="C28" s="588"/>
      <c r="D28" s="360"/>
      <c r="E28" s="466"/>
      <c r="F28" s="486"/>
      <c r="G28" s="96"/>
      <c r="I28" s="38"/>
    </row>
    <row r="29" spans="1:12" x14ac:dyDescent="0.2">
      <c r="A29" s="92" t="s">
        <v>471</v>
      </c>
      <c r="B29" s="157">
        <v>86.87</v>
      </c>
      <c r="C29" s="7" t="s">
        <v>77</v>
      </c>
      <c r="D29" s="360"/>
      <c r="E29" s="360"/>
      <c r="F29" s="480">
        <f>B29/B$34</f>
        <v>8.5427135678391955E-2</v>
      </c>
      <c r="G29" s="96"/>
      <c r="I29" s="38"/>
    </row>
    <row r="30" spans="1:12" x14ac:dyDescent="0.2">
      <c r="A30" s="92" t="s">
        <v>470</v>
      </c>
      <c r="B30" s="157">
        <v>0</v>
      </c>
      <c r="C30" s="7" t="s">
        <v>77</v>
      </c>
      <c r="D30" s="360"/>
      <c r="E30" s="466"/>
      <c r="F30" s="480">
        <f>B30/B$34</f>
        <v>0</v>
      </c>
      <c r="G30" s="96"/>
      <c r="I30" s="38"/>
    </row>
    <row r="31" spans="1:12" x14ac:dyDescent="0.2">
      <c r="A31" s="92" t="s">
        <v>78</v>
      </c>
      <c r="B31" s="157">
        <v>836.71</v>
      </c>
      <c r="C31" s="7" t="s">
        <v>77</v>
      </c>
      <c r="D31" s="360"/>
      <c r="E31" s="469"/>
      <c r="F31" s="480">
        <f>B31/B$34</f>
        <v>0.8228126936050113</v>
      </c>
      <c r="I31" s="38"/>
    </row>
    <row r="32" spans="1:12" ht="14.25" customHeight="1" x14ac:dyDescent="0.25">
      <c r="A32" s="92" t="s">
        <v>476</v>
      </c>
      <c r="B32" s="337">
        <v>4.83</v>
      </c>
      <c r="C32" s="7" t="s">
        <v>77</v>
      </c>
      <c r="D32" s="360" t="s">
        <v>239</v>
      </c>
      <c r="E32" s="466" t="s">
        <v>484</v>
      </c>
      <c r="F32" s="480">
        <f>B32/B$34</f>
        <v>4.749776278653541E-3</v>
      </c>
      <c r="G32" s="120"/>
      <c r="I32" s="38"/>
    </row>
    <row r="33" spans="1:14" ht="13.5" customHeight="1" x14ac:dyDescent="0.25">
      <c r="A33" s="92" t="s">
        <v>730</v>
      </c>
      <c r="B33" s="337">
        <v>88.48</v>
      </c>
      <c r="C33" s="7" t="s">
        <v>77</v>
      </c>
      <c r="D33" s="360"/>
      <c r="E33" s="466"/>
      <c r="F33" s="480">
        <f>B33/B$34</f>
        <v>8.7010394437943131E-2</v>
      </c>
      <c r="G33" s="120"/>
      <c r="I33" s="38"/>
    </row>
    <row r="34" spans="1:14" x14ac:dyDescent="0.2">
      <c r="A34" s="92" t="s">
        <v>79</v>
      </c>
      <c r="B34" s="338">
        <f>B29+B30+B31+B32+B33</f>
        <v>1016.8900000000001</v>
      </c>
      <c r="C34" s="142">
        <f>$C$47*C54</f>
        <v>1011.4713247297539</v>
      </c>
      <c r="D34" s="470">
        <f t="shared" ref="D34:D46" si="4">D$47*B54</f>
        <v>1025.2399544965965</v>
      </c>
      <c r="E34" s="471">
        <f t="shared" ref="E34:E46" si="5">E$47*C54</f>
        <v>1019.8214328098735</v>
      </c>
      <c r="F34" s="480">
        <f>SUM(F29:F33)</f>
        <v>1</v>
      </c>
      <c r="G34" s="96"/>
      <c r="I34" s="38"/>
    </row>
    <row r="35" spans="1:14" x14ac:dyDescent="0.2">
      <c r="A35" s="92" t="s">
        <v>80</v>
      </c>
      <c r="B35" s="157">
        <v>366.15</v>
      </c>
      <c r="C35" s="142">
        <f t="shared" ref="C35:C46" si="6">$C$47*C55</f>
        <v>364.14954863797129</v>
      </c>
      <c r="D35" s="470">
        <f t="shared" si="4"/>
        <v>369.15655512290294</v>
      </c>
      <c r="E35" s="471">
        <f t="shared" si="5"/>
        <v>367.15575159608903</v>
      </c>
      <c r="F35" s="487"/>
      <c r="G35" s="96"/>
      <c r="I35" s="38"/>
    </row>
    <row r="36" spans="1:14" x14ac:dyDescent="0.2">
      <c r="A36" s="92" t="s">
        <v>81</v>
      </c>
      <c r="B36" s="157">
        <v>0</v>
      </c>
      <c r="C36" s="145">
        <f t="shared" si="6"/>
        <v>0</v>
      </c>
      <c r="D36" s="470">
        <f t="shared" si="4"/>
        <v>0</v>
      </c>
      <c r="E36" s="471">
        <f t="shared" si="5"/>
        <v>0</v>
      </c>
      <c r="F36" s="121"/>
      <c r="G36" s="93"/>
      <c r="H36" s="117"/>
      <c r="I36" s="123"/>
      <c r="J36" s="117"/>
    </row>
    <row r="37" spans="1:14" x14ac:dyDescent="0.2">
      <c r="A37" s="92" t="s">
        <v>729</v>
      </c>
      <c r="B37" s="157">
        <v>36.71</v>
      </c>
      <c r="C37" s="145">
        <f t="shared" si="6"/>
        <v>36.431514643180392</v>
      </c>
      <c r="D37" s="470">
        <f t="shared" si="4"/>
        <v>37.011435582580276</v>
      </c>
      <c r="E37" s="471">
        <f t="shared" si="5"/>
        <v>36.732271646721045</v>
      </c>
      <c r="F37" s="33"/>
      <c r="G37" s="96"/>
      <c r="I37" s="38"/>
    </row>
    <row r="38" spans="1:14" x14ac:dyDescent="0.2">
      <c r="A38" s="92" t="s">
        <v>83</v>
      </c>
      <c r="B38" s="133">
        <v>206.81</v>
      </c>
      <c r="C38" s="145">
        <f t="shared" si="6"/>
        <v>205.67245994013658</v>
      </c>
      <c r="D38" s="470">
        <f t="shared" si="4"/>
        <v>208.50817196495305</v>
      </c>
      <c r="E38" s="471">
        <f t="shared" si="5"/>
        <v>207.37036993285247</v>
      </c>
      <c r="F38" s="121"/>
      <c r="I38" s="38"/>
    </row>
    <row r="39" spans="1:14" x14ac:dyDescent="0.2">
      <c r="A39" s="92" t="s">
        <v>240</v>
      </c>
      <c r="B39" s="157">
        <v>0</v>
      </c>
      <c r="C39" s="142">
        <f t="shared" si="6"/>
        <v>0</v>
      </c>
      <c r="D39" s="470">
        <f t="shared" si="4"/>
        <v>0</v>
      </c>
      <c r="E39" s="471">
        <f t="shared" si="5"/>
        <v>0</v>
      </c>
      <c r="F39" s="121"/>
      <c r="G39" s="117"/>
      <c r="H39" s="117"/>
      <c r="I39" s="123"/>
      <c r="J39" s="117"/>
      <c r="K39" s="117"/>
      <c r="L39" s="117"/>
    </row>
    <row r="40" spans="1:14" x14ac:dyDescent="0.2">
      <c r="A40" s="92" t="s">
        <v>84</v>
      </c>
      <c r="B40" s="133">
        <v>38.32</v>
      </c>
      <c r="C40" s="142">
        <f t="shared" si="6"/>
        <v>38.087492581506773</v>
      </c>
      <c r="D40" s="470">
        <f t="shared" si="4"/>
        <v>38.634655721178866</v>
      </c>
      <c r="E40" s="471">
        <f t="shared" si="5"/>
        <v>38.401920357935637</v>
      </c>
      <c r="F40" s="33"/>
      <c r="I40" s="38"/>
    </row>
    <row r="41" spans="1:14" x14ac:dyDescent="0.2">
      <c r="A41" s="92" t="s">
        <v>85</v>
      </c>
      <c r="B41" s="157">
        <v>0</v>
      </c>
      <c r="C41" s="145">
        <f t="shared" si="6"/>
        <v>0</v>
      </c>
      <c r="D41" s="470">
        <f t="shared" si="4"/>
        <v>0</v>
      </c>
      <c r="E41" s="471">
        <f t="shared" si="5"/>
        <v>0</v>
      </c>
      <c r="F41" s="121"/>
      <c r="G41" s="53"/>
      <c r="H41" s="38"/>
      <c r="I41" s="38"/>
    </row>
    <row r="42" spans="1:14" x14ac:dyDescent="0.2">
      <c r="A42" s="92" t="s">
        <v>461</v>
      </c>
      <c r="B42" s="157">
        <v>0</v>
      </c>
      <c r="C42" s="145">
        <f t="shared" si="6"/>
        <v>0</v>
      </c>
      <c r="D42" s="470">
        <f t="shared" si="4"/>
        <v>0</v>
      </c>
      <c r="E42" s="471">
        <f t="shared" si="5"/>
        <v>0</v>
      </c>
      <c r="F42" s="122"/>
      <c r="G42" s="124"/>
      <c r="H42" s="123"/>
      <c r="I42" s="123"/>
      <c r="J42" s="117"/>
      <c r="K42" s="117"/>
      <c r="L42" s="117"/>
    </row>
    <row r="43" spans="1:14" x14ac:dyDescent="0.2">
      <c r="A43" s="92" t="s">
        <v>462</v>
      </c>
      <c r="B43" s="133">
        <v>0</v>
      </c>
      <c r="C43" s="145">
        <f t="shared" si="6"/>
        <v>0</v>
      </c>
      <c r="D43" s="470">
        <f t="shared" si="4"/>
        <v>0</v>
      </c>
      <c r="E43" s="471">
        <f t="shared" si="5"/>
        <v>0</v>
      </c>
      <c r="F43" s="97"/>
      <c r="G43" s="53"/>
      <c r="H43" s="38"/>
    </row>
    <row r="44" spans="1:14" x14ac:dyDescent="0.2">
      <c r="A44" s="370" t="s">
        <v>728</v>
      </c>
      <c r="B44" s="157">
        <v>0</v>
      </c>
      <c r="C44" s="145">
        <f t="shared" si="6"/>
        <v>0</v>
      </c>
      <c r="D44" s="470">
        <f t="shared" si="4"/>
        <v>0</v>
      </c>
      <c r="E44" s="471">
        <f t="shared" si="5"/>
        <v>0</v>
      </c>
      <c r="F44" s="97"/>
      <c r="G44" s="53"/>
      <c r="H44" s="38"/>
    </row>
    <row r="45" spans="1:14" x14ac:dyDescent="0.2">
      <c r="A45" s="370" t="s">
        <v>732</v>
      </c>
      <c r="B45" s="157">
        <v>0</v>
      </c>
      <c r="C45" s="145">
        <f t="shared" si="6"/>
        <v>0</v>
      </c>
      <c r="D45" s="470">
        <f t="shared" si="4"/>
        <v>0</v>
      </c>
      <c r="E45" s="471">
        <f t="shared" si="5"/>
        <v>0</v>
      </c>
      <c r="F45" s="97"/>
      <c r="G45" s="53"/>
      <c r="H45" s="38"/>
    </row>
    <row r="46" spans="1:14" x14ac:dyDescent="0.2">
      <c r="A46" s="370" t="s">
        <v>732</v>
      </c>
      <c r="B46" s="157">
        <v>0</v>
      </c>
      <c r="C46" s="145">
        <f t="shared" si="6"/>
        <v>0</v>
      </c>
      <c r="D46" s="470">
        <f t="shared" si="4"/>
        <v>0</v>
      </c>
      <c r="E46" s="471">
        <f t="shared" si="5"/>
        <v>0</v>
      </c>
      <c r="F46" s="97"/>
      <c r="G46" s="53"/>
      <c r="H46" s="38"/>
    </row>
    <row r="47" spans="1:14" x14ac:dyDescent="0.2">
      <c r="A47" s="99" t="s">
        <v>560</v>
      </c>
      <c r="B47" s="145">
        <f>SUM(B34:B46)</f>
        <v>1664.8799999999999</v>
      </c>
      <c r="C47" s="142">
        <f>B47-(D47-E47)</f>
        <v>1655.9779383263815</v>
      </c>
      <c r="D47" s="465">
        <f>База!H80</f>
        <v>1678.5507728882114</v>
      </c>
      <c r="E47" s="472">
        <f>Проект!B16</f>
        <v>1669.648711214593</v>
      </c>
      <c r="F47" s="121"/>
      <c r="G47" s="53"/>
      <c r="H47" s="38"/>
    </row>
    <row r="48" spans="1:14" x14ac:dyDescent="0.2">
      <c r="A48" s="582" t="s">
        <v>86</v>
      </c>
      <c r="B48" s="583"/>
      <c r="C48" s="584"/>
      <c r="D48" s="33"/>
      <c r="E48" s="33"/>
      <c r="F48" s="122"/>
      <c r="G48" s="124"/>
      <c r="H48" s="123"/>
      <c r="I48" s="117"/>
      <c r="J48" s="117"/>
      <c r="K48" s="117"/>
      <c r="L48" s="117"/>
      <c r="M48" s="117"/>
      <c r="N48" s="117"/>
    </row>
    <row r="49" spans="1:14" x14ac:dyDescent="0.2">
      <c r="A49" s="92" t="s">
        <v>471</v>
      </c>
      <c r="B49" s="140">
        <f>B29/(SUM(B$34:B$46))</f>
        <v>5.2177934746047767E-2</v>
      </c>
      <c r="C49" s="7" t="s">
        <v>77</v>
      </c>
      <c r="D49" s="33"/>
      <c r="E49" s="37"/>
      <c r="F49" s="98"/>
      <c r="G49" s="53"/>
      <c r="H49" s="38"/>
    </row>
    <row r="50" spans="1:14" x14ac:dyDescent="0.2">
      <c r="A50" s="92" t="s">
        <v>470</v>
      </c>
      <c r="B50" s="140">
        <f t="shared" ref="B50:B66" si="7">B30/(SUM(B$34:B$46))</f>
        <v>0</v>
      </c>
      <c r="C50" s="7" t="s">
        <v>77</v>
      </c>
      <c r="D50" s="33"/>
      <c r="E50" s="37"/>
      <c r="F50" s="98"/>
      <c r="G50" s="53"/>
      <c r="H50" s="38"/>
    </row>
    <row r="51" spans="1:14" x14ac:dyDescent="0.2">
      <c r="A51" s="92" t="s">
        <v>78</v>
      </c>
      <c r="B51" s="140">
        <f t="shared" si="7"/>
        <v>0.50256474941136908</v>
      </c>
      <c r="C51" s="7" t="s">
        <v>77</v>
      </c>
      <c r="F51" s="38"/>
      <c r="G51" s="38"/>
      <c r="H51" s="38"/>
    </row>
    <row r="52" spans="1:14" x14ac:dyDescent="0.2">
      <c r="A52" s="92" t="s">
        <v>476</v>
      </c>
      <c r="B52" s="140">
        <f t="shared" si="7"/>
        <v>2.9011099899091831E-3</v>
      </c>
      <c r="C52" s="7" t="s">
        <v>77</v>
      </c>
      <c r="E52" s="38"/>
      <c r="F52" s="38"/>
      <c r="G52" s="38"/>
      <c r="H52" s="38"/>
    </row>
    <row r="53" spans="1:14" x14ac:dyDescent="0.2">
      <c r="A53" s="92" t="s">
        <v>730</v>
      </c>
      <c r="B53" s="140">
        <f t="shared" si="7"/>
        <v>5.314497140935083E-2</v>
      </c>
      <c r="C53" s="7" t="s">
        <v>77</v>
      </c>
      <c r="E53" s="38"/>
      <c r="F53" s="38"/>
      <c r="G53" s="38"/>
      <c r="H53" s="38"/>
    </row>
    <row r="54" spans="1:14" x14ac:dyDescent="0.2">
      <c r="A54" s="100" t="s">
        <v>87</v>
      </c>
      <c r="B54" s="140">
        <f t="shared" si="7"/>
        <v>0.61078876555667683</v>
      </c>
      <c r="C54" s="350">
        <f>'Соотношение расходов ЖРМ'!C8</f>
        <v>0.61080000000000001</v>
      </c>
      <c r="E54" s="38"/>
      <c r="F54" s="38"/>
      <c r="G54" s="38"/>
      <c r="H54" s="38"/>
    </row>
    <row r="55" spans="1:14" x14ac:dyDescent="0.2">
      <c r="A55" s="92" t="s">
        <v>80</v>
      </c>
      <c r="B55" s="140">
        <f t="shared" si="7"/>
        <v>0.21992576041516507</v>
      </c>
      <c r="C55" s="350">
        <f>'Соотношение расходов ЖРМ'!B29</f>
        <v>0.21990000000000001</v>
      </c>
      <c r="E55" s="38"/>
    </row>
    <row r="56" spans="1:14" x14ac:dyDescent="0.2">
      <c r="A56" s="92" t="s">
        <v>81</v>
      </c>
      <c r="B56" s="140">
        <f t="shared" si="7"/>
        <v>0</v>
      </c>
      <c r="C56" s="350">
        <f>'Соотношение расходов ЖРМ'!B30</f>
        <v>0</v>
      </c>
      <c r="E56" s="38"/>
    </row>
    <row r="57" spans="1:14" x14ac:dyDescent="0.2">
      <c r="A57" s="92" t="s">
        <v>82</v>
      </c>
      <c r="B57" s="140">
        <f t="shared" si="7"/>
        <v>2.2049637211090291E-2</v>
      </c>
      <c r="C57" s="350">
        <f>'Соотношение расходов ЖРМ'!B31</f>
        <v>2.1999999999999999E-2</v>
      </c>
      <c r="D57" s="23"/>
      <c r="E57" s="38"/>
    </row>
    <row r="58" spans="1:14" x14ac:dyDescent="0.2">
      <c r="A58" s="92" t="s">
        <v>83</v>
      </c>
      <c r="B58" s="140">
        <f t="shared" si="7"/>
        <v>0.12421916294267456</v>
      </c>
      <c r="C58" s="350">
        <f>'Соотношение расходов ЖРМ'!B32</f>
        <v>0.1242</v>
      </c>
      <c r="E58" s="38"/>
    </row>
    <row r="59" spans="1:14" x14ac:dyDescent="0.2">
      <c r="A59" s="92" t="s">
        <v>240</v>
      </c>
      <c r="B59" s="140">
        <f t="shared" si="7"/>
        <v>0</v>
      </c>
      <c r="C59" s="135">
        <v>0</v>
      </c>
      <c r="E59" s="38"/>
    </row>
    <row r="60" spans="1:14" x14ac:dyDescent="0.2">
      <c r="A60" s="92" t="s">
        <v>84</v>
      </c>
      <c r="B60" s="140">
        <f t="shared" si="7"/>
        <v>2.3016673874393351E-2</v>
      </c>
      <c r="C60" s="135">
        <v>2.3E-2</v>
      </c>
      <c r="D60" s="505"/>
      <c r="E60" s="38"/>
      <c r="L60" s="131"/>
      <c r="M60" s="130"/>
    </row>
    <row r="61" spans="1:14" x14ac:dyDescent="0.2">
      <c r="A61" s="92" t="s">
        <v>85</v>
      </c>
      <c r="B61" s="140">
        <f t="shared" si="7"/>
        <v>0</v>
      </c>
      <c r="C61" s="135">
        <v>0</v>
      </c>
      <c r="D61" s="360"/>
      <c r="E61" s="38"/>
      <c r="L61" s="131"/>
    </row>
    <row r="62" spans="1:14" x14ac:dyDescent="0.2">
      <c r="A62" s="92" t="s">
        <v>461</v>
      </c>
      <c r="B62" s="140">
        <f t="shared" si="7"/>
        <v>0</v>
      </c>
      <c r="C62" s="135">
        <v>0</v>
      </c>
      <c r="D62" s="360"/>
      <c r="E62" s="38"/>
      <c r="L62" s="131"/>
    </row>
    <row r="63" spans="1:14" x14ac:dyDescent="0.2">
      <c r="A63" s="92" t="s">
        <v>462</v>
      </c>
      <c r="B63" s="140">
        <f t="shared" si="7"/>
        <v>0</v>
      </c>
      <c r="C63" s="135">
        <v>0</v>
      </c>
      <c r="D63" s="360"/>
      <c r="E63" s="502"/>
      <c r="L63" s="131"/>
      <c r="M63" s="131"/>
      <c r="N63" s="131"/>
    </row>
    <row r="64" spans="1:14" x14ac:dyDescent="0.2">
      <c r="A64" s="370" t="s">
        <v>728</v>
      </c>
      <c r="B64" s="140">
        <f t="shared" si="7"/>
        <v>0</v>
      </c>
      <c r="C64" s="135">
        <v>0</v>
      </c>
      <c r="D64" s="360"/>
      <c r="L64" s="131"/>
      <c r="M64" s="131"/>
      <c r="N64" s="131"/>
    </row>
    <row r="65" spans="1:21" x14ac:dyDescent="0.2">
      <c r="A65" s="370" t="s">
        <v>732</v>
      </c>
      <c r="B65" s="140">
        <f t="shared" si="7"/>
        <v>0</v>
      </c>
      <c r="C65" s="135">
        <v>0</v>
      </c>
      <c r="D65" s="360"/>
      <c r="L65" s="131"/>
      <c r="M65" s="131"/>
      <c r="N65" s="131"/>
    </row>
    <row r="66" spans="1:21" x14ac:dyDescent="0.2">
      <c r="A66" s="370" t="s">
        <v>732</v>
      </c>
      <c r="B66" s="140">
        <f t="shared" si="7"/>
        <v>0</v>
      </c>
      <c r="C66" s="135">
        <v>0</v>
      </c>
      <c r="D66" s="360"/>
      <c r="L66" s="131"/>
      <c r="M66" s="131"/>
      <c r="N66" s="131"/>
    </row>
    <row r="67" spans="1:21" x14ac:dyDescent="0.2">
      <c r="A67" s="26" t="s">
        <v>91</v>
      </c>
      <c r="B67" s="140">
        <f>SUM(B54:B66)</f>
        <v>1.0000000000000002</v>
      </c>
      <c r="C67" s="140">
        <f>SUM(C54:C66)</f>
        <v>0.99990000000000001</v>
      </c>
      <c r="D67" s="360"/>
      <c r="L67" s="131"/>
      <c r="M67" s="131"/>
      <c r="N67" s="131"/>
    </row>
    <row r="68" spans="1:21" x14ac:dyDescent="0.2">
      <c r="A68" s="582" t="s">
        <v>445</v>
      </c>
      <c r="B68" s="583"/>
      <c r="C68" s="584"/>
      <c r="D68" s="360"/>
      <c r="L68" s="132" t="s">
        <v>277</v>
      </c>
      <c r="M68" s="131"/>
      <c r="N68" s="131"/>
      <c r="O68" s="131"/>
    </row>
    <row r="69" spans="1:21" x14ac:dyDescent="0.2">
      <c r="A69" s="92" t="s">
        <v>92</v>
      </c>
      <c r="B69" s="133">
        <v>0</v>
      </c>
      <c r="C69" s="351">
        <f>'Расход флюсов'!B26</f>
        <v>0</v>
      </c>
      <c r="D69" s="360"/>
      <c r="L69" s="131"/>
      <c r="M69" s="131"/>
      <c r="N69" s="131"/>
    </row>
    <row r="70" spans="1:21" x14ac:dyDescent="0.2">
      <c r="A70" s="92" t="s">
        <v>727</v>
      </c>
      <c r="B70" s="133">
        <v>0</v>
      </c>
      <c r="C70" s="351">
        <f>'Расход флюсов'!B27</f>
        <v>0</v>
      </c>
      <c r="D70" s="360"/>
      <c r="F70" s="466"/>
      <c r="G70" s="509" t="s">
        <v>691</v>
      </c>
      <c r="H70" s="509"/>
      <c r="I70" s="509"/>
      <c r="L70" s="490" t="s">
        <v>668</v>
      </c>
      <c r="M70" s="490"/>
      <c r="N70" s="489"/>
      <c r="S70" s="491" t="s">
        <v>691</v>
      </c>
      <c r="T70" s="491"/>
      <c r="U70" s="491"/>
    </row>
    <row r="71" spans="1:21" x14ac:dyDescent="0.2">
      <c r="A71" s="92" t="s">
        <v>446</v>
      </c>
      <c r="B71" s="133">
        <v>6.74</v>
      </c>
      <c r="C71" s="351">
        <f>'Расход флюсов'!B28</f>
        <v>6.74</v>
      </c>
      <c r="D71" s="360"/>
      <c r="F71" s="508"/>
      <c r="G71" s="508"/>
      <c r="H71" s="508"/>
      <c r="I71" s="508"/>
    </row>
    <row r="72" spans="1:21" x14ac:dyDescent="0.2">
      <c r="A72" s="101" t="s">
        <v>93</v>
      </c>
      <c r="B72" s="133">
        <v>0</v>
      </c>
      <c r="C72" s="351">
        <f>'Расход флюсов'!B29</f>
        <v>0</v>
      </c>
      <c r="D72" s="360"/>
      <c r="F72" s="509" t="s">
        <v>524</v>
      </c>
      <c r="G72" s="509" t="s">
        <v>692</v>
      </c>
      <c r="H72" s="508"/>
      <c r="I72" s="508"/>
      <c r="L72" s="491" t="s">
        <v>249</v>
      </c>
      <c r="M72" s="491"/>
      <c r="S72" s="491" t="s">
        <v>692</v>
      </c>
      <c r="T72" s="48"/>
      <c r="U72" s="48"/>
    </row>
    <row r="73" spans="1:21" x14ac:dyDescent="0.2">
      <c r="A73" s="101" t="s">
        <v>475</v>
      </c>
      <c r="B73" s="133">
        <v>0</v>
      </c>
      <c r="C73" s="133">
        <f>'Расход флюсов'!B30</f>
        <v>0</v>
      </c>
      <c r="D73" s="360"/>
      <c r="F73" s="508" t="s">
        <v>249</v>
      </c>
      <c r="G73" s="508"/>
      <c r="H73" s="508"/>
      <c r="I73" s="508"/>
    </row>
    <row r="74" spans="1:21" x14ac:dyDescent="0.2">
      <c r="A74" s="27" t="s">
        <v>724</v>
      </c>
      <c r="B74" s="499">
        <v>416.85500000000002</v>
      </c>
      <c r="C74" s="146">
        <f>V84</f>
        <v>415.52082902585983</v>
      </c>
      <c r="D74" s="506">
        <f>Проект!B29</f>
        <v>415.65424612327382</v>
      </c>
      <c r="F74" s="508" t="s">
        <v>250</v>
      </c>
      <c r="G74" s="510">
        <f>-H74*(C12-B12)</f>
        <v>0</v>
      </c>
      <c r="H74" s="508">
        <v>0.8</v>
      </c>
      <c r="I74" s="508" t="s">
        <v>251</v>
      </c>
      <c r="K74" s="131" t="s">
        <v>669</v>
      </c>
      <c r="M74" s="130"/>
      <c r="P74" s="495">
        <v>-0.7</v>
      </c>
      <c r="Q74" s="33" t="s">
        <v>251</v>
      </c>
      <c r="T74" s="18">
        <f>P74*(C12-B12)</f>
        <v>0</v>
      </c>
    </row>
    <row r="75" spans="1:21" x14ac:dyDescent="0.2">
      <c r="A75" s="27" t="s">
        <v>643</v>
      </c>
      <c r="B75" s="565">
        <v>1470</v>
      </c>
      <c r="C75" s="565">
        <v>1470</v>
      </c>
      <c r="D75" s="360"/>
      <c r="F75" s="508" t="s">
        <v>663</v>
      </c>
      <c r="G75" s="510">
        <f>H75/100*B74*(B9-C9)</f>
        <v>0</v>
      </c>
      <c r="H75" s="508">
        <v>2.8000000000000001E-2</v>
      </c>
      <c r="I75" s="508" t="s">
        <v>253</v>
      </c>
      <c r="K75" s="131" t="s">
        <v>670</v>
      </c>
      <c r="L75" s="131"/>
      <c r="M75" s="131"/>
      <c r="N75" s="131"/>
      <c r="P75" s="495">
        <v>-0.02</v>
      </c>
      <c r="Q75" s="33" t="s">
        <v>253</v>
      </c>
      <c r="T75" s="18">
        <f>P75*B74/100*(C9-B9)</f>
        <v>0</v>
      </c>
    </row>
    <row r="76" spans="1:21" x14ac:dyDescent="0.2">
      <c r="A76" s="3" t="s">
        <v>463</v>
      </c>
      <c r="B76" s="140">
        <f>База!A3</f>
        <v>58.267282326654183</v>
      </c>
      <c r="C76" s="140">
        <f>Проект!A13</f>
        <v>58.587338694969354</v>
      </c>
      <c r="D76" s="360"/>
      <c r="F76" s="508" t="s">
        <v>662</v>
      </c>
      <c r="G76" s="510">
        <f>H76/100*B74*(B76-C76)</f>
        <v>-1.2007538767261872</v>
      </c>
      <c r="H76" s="508">
        <v>0.9</v>
      </c>
      <c r="I76" s="508" t="s">
        <v>254</v>
      </c>
      <c r="K76" s="131" t="s">
        <v>671</v>
      </c>
      <c r="L76" s="131"/>
      <c r="M76" s="131"/>
      <c r="N76" s="131"/>
      <c r="O76" s="131"/>
      <c r="P76" s="495">
        <v>-1</v>
      </c>
      <c r="Q76" s="33" t="s">
        <v>254</v>
      </c>
      <c r="T76" s="18">
        <f>P76*B74/100*(C76-B76)</f>
        <v>-1.3341709741402075</v>
      </c>
    </row>
    <row r="77" spans="1:21" x14ac:dyDescent="0.2">
      <c r="A77" s="4"/>
      <c r="B77" s="4"/>
      <c r="C77" s="4"/>
      <c r="D77" s="360"/>
      <c r="F77" s="508" t="s">
        <v>697</v>
      </c>
      <c r="G77" s="510">
        <f>H77/100*B74*(C14-B14)*10</f>
        <v>0</v>
      </c>
      <c r="H77" s="508">
        <v>0.6</v>
      </c>
      <c r="I77" s="508" t="s">
        <v>255</v>
      </c>
      <c r="K77" s="131" t="s">
        <v>672</v>
      </c>
      <c r="L77" s="131"/>
      <c r="M77" s="131"/>
      <c r="N77" s="131"/>
      <c r="P77" s="495">
        <v>-1.2</v>
      </c>
      <c r="Q77" s="33" t="s">
        <v>255</v>
      </c>
      <c r="T77" s="18">
        <f>P77*B74/100*(B14-C14)*10</f>
        <v>0</v>
      </c>
    </row>
    <row r="78" spans="1:21" x14ac:dyDescent="0.2">
      <c r="A78" s="3" t="s">
        <v>644</v>
      </c>
      <c r="B78" s="140">
        <f>База!B82</f>
        <v>324.5748217835428</v>
      </c>
      <c r="C78" s="140">
        <f>Проект!D46</f>
        <v>314.24022295337301</v>
      </c>
      <c r="D78" s="57"/>
      <c r="E78" s="49"/>
      <c r="F78" s="508" t="s">
        <v>252</v>
      </c>
      <c r="G78" s="510">
        <f>H78/100*B74*('Ввод составов (проект)'!A28-'Ввод составов (база)'!A33)</f>
        <v>0</v>
      </c>
      <c r="H78" s="508">
        <v>1.5</v>
      </c>
      <c r="I78" s="508" t="s">
        <v>256</v>
      </c>
      <c r="K78" s="131" t="s">
        <v>673</v>
      </c>
      <c r="L78" s="131"/>
      <c r="M78" s="131"/>
      <c r="N78" s="131"/>
      <c r="P78" s="495">
        <v>-1.5</v>
      </c>
      <c r="Q78" s="33" t="s">
        <v>256</v>
      </c>
      <c r="T78" s="18">
        <f>P78*B74/100*('Ввод составов (база)'!A33-'Ввод составов (проект)'!A28)</f>
        <v>0</v>
      </c>
    </row>
    <row r="79" spans="1:21" x14ac:dyDescent="0.2">
      <c r="F79" s="508" t="s">
        <v>479</v>
      </c>
      <c r="G79" s="510">
        <f>H79/100*B74*(B86-B92)</f>
        <v>0</v>
      </c>
      <c r="H79" s="508">
        <v>0.6</v>
      </c>
      <c r="I79" s="508" t="s">
        <v>257</v>
      </c>
      <c r="K79" s="492" t="s">
        <v>674</v>
      </c>
      <c r="L79" s="492"/>
      <c r="M79" s="492"/>
      <c r="N79" s="492"/>
      <c r="O79" s="131"/>
      <c r="P79" s="495">
        <v>-0.6</v>
      </c>
      <c r="Q79" t="s">
        <v>257</v>
      </c>
      <c r="T79" s="18">
        <f>P79*B74/100*(B92-B86)</f>
        <v>0</v>
      </c>
    </row>
    <row r="80" spans="1:21" x14ac:dyDescent="0.2">
      <c r="F80" s="508" t="s">
        <v>259</v>
      </c>
      <c r="G80" s="510">
        <f>H80/100*B74*(B93-B87)</f>
        <v>0</v>
      </c>
      <c r="H80" s="508">
        <v>2.8</v>
      </c>
      <c r="I80" s="508" t="s">
        <v>257</v>
      </c>
      <c r="K80" s="492" t="s">
        <v>675</v>
      </c>
      <c r="L80" s="131"/>
      <c r="M80" s="131"/>
      <c r="N80" s="131"/>
      <c r="P80" s="495">
        <v>-2.8</v>
      </c>
      <c r="Q80" t="s">
        <v>257</v>
      </c>
      <c r="T80" s="18">
        <f>P80*B74/100*(B87-B93)</f>
        <v>0</v>
      </c>
    </row>
    <row r="81" spans="1:22" x14ac:dyDescent="0.2">
      <c r="F81" s="508" t="s">
        <v>478</v>
      </c>
      <c r="G81" s="510">
        <f>H81/100*B74*(C10-B10)</f>
        <v>0</v>
      </c>
      <c r="H81" s="508">
        <v>0.15</v>
      </c>
      <c r="I81" s="508" t="s">
        <v>260</v>
      </c>
      <c r="K81" s="131" t="s">
        <v>676</v>
      </c>
      <c r="L81" s="131"/>
      <c r="M81" s="131"/>
      <c r="N81" s="131"/>
      <c r="P81" s="495">
        <v>0.15</v>
      </c>
      <c r="Q81" t="s">
        <v>659</v>
      </c>
      <c r="T81" s="18">
        <f>P81*B74/100*(C10-B10)</f>
        <v>0</v>
      </c>
    </row>
    <row r="82" spans="1:22" x14ac:dyDescent="0.2">
      <c r="F82" s="508" t="s">
        <v>660</v>
      </c>
      <c r="G82" s="510">
        <f>H82/100*B74*(C69-B69)</f>
        <v>0</v>
      </c>
      <c r="H82" s="508">
        <v>0.05</v>
      </c>
      <c r="I82" s="508" t="s">
        <v>659</v>
      </c>
      <c r="K82" s="492" t="s">
        <v>677</v>
      </c>
      <c r="L82" s="492"/>
      <c r="M82" s="492"/>
      <c r="N82" s="492"/>
      <c r="P82" s="495">
        <v>-0.05</v>
      </c>
      <c r="Q82" t="s">
        <v>659</v>
      </c>
      <c r="T82" s="18">
        <f>P82*B74/100*(B69-C69)</f>
        <v>0</v>
      </c>
      <c r="U82" s="360" t="s">
        <v>180</v>
      </c>
      <c r="V82" s="360"/>
    </row>
    <row r="83" spans="1:22" x14ac:dyDescent="0.2">
      <c r="A83" s="94" t="s">
        <v>276</v>
      </c>
      <c r="F83" s="508" t="s">
        <v>661</v>
      </c>
      <c r="G83" s="510">
        <f>H83/100*B74*(C71-B71)</f>
        <v>0</v>
      </c>
      <c r="H83" s="508">
        <v>0.03</v>
      </c>
      <c r="I83" s="508" t="s">
        <v>659</v>
      </c>
      <c r="K83" s="492" t="s">
        <v>678</v>
      </c>
      <c r="L83" s="492"/>
      <c r="M83" s="492"/>
      <c r="N83" s="492"/>
      <c r="P83" s="495">
        <v>-0.03</v>
      </c>
      <c r="Q83" t="s">
        <v>659</v>
      </c>
      <c r="T83" s="18">
        <f>P83*B74/100*(B71-C71)</f>
        <v>0</v>
      </c>
      <c r="U83" s="507">
        <f>SUM(T74:T83)</f>
        <v>-1.3341709741402075</v>
      </c>
      <c r="V83" s="360"/>
    </row>
    <row r="84" spans="1:22" x14ac:dyDescent="0.2">
      <c r="A84" s="136" t="s">
        <v>288</v>
      </c>
      <c r="B84" s="136"/>
      <c r="C84" s="136"/>
      <c r="D84" s="136"/>
      <c r="F84" s="508" t="s">
        <v>699</v>
      </c>
      <c r="G84" s="510">
        <f>SUM(G74:G83)</f>
        <v>-1.2007538767261872</v>
      </c>
      <c r="H84" s="510">
        <f>B74+G84</f>
        <v>415.65424612327382</v>
      </c>
      <c r="I84" s="508"/>
      <c r="K84" s="492" t="s">
        <v>679</v>
      </c>
      <c r="P84" s="495">
        <v>-0.2</v>
      </c>
      <c r="Q84" s="33" t="s">
        <v>680</v>
      </c>
      <c r="T84" s="18">
        <f>P84*B74/100*(B62+B63-C62-C63)*100</f>
        <v>0</v>
      </c>
      <c r="U84" s="507">
        <f>SUM(T74:T84)</f>
        <v>-1.3341709741402075</v>
      </c>
      <c r="V84" s="506">
        <f>U83+B74</f>
        <v>415.52082902585983</v>
      </c>
    </row>
    <row r="85" spans="1:22" x14ac:dyDescent="0.2">
      <c r="A85" s="94" t="s">
        <v>275</v>
      </c>
      <c r="F85" s="508" t="s">
        <v>261</v>
      </c>
      <c r="G85" s="509" t="s">
        <v>693</v>
      </c>
      <c r="H85" s="508"/>
      <c r="I85" s="508"/>
      <c r="K85" s="490" t="s">
        <v>261</v>
      </c>
      <c r="L85" s="491"/>
      <c r="M85" s="491"/>
      <c r="S85" s="491" t="s">
        <v>694</v>
      </c>
      <c r="T85" s="491"/>
      <c r="U85" s="491"/>
      <c r="V85" s="48"/>
    </row>
    <row r="86" spans="1:22" x14ac:dyDescent="0.2">
      <c r="A86" t="s">
        <v>272</v>
      </c>
      <c r="B86" s="133">
        <v>86.74</v>
      </c>
      <c r="F86" s="508" t="s">
        <v>663</v>
      </c>
      <c r="G86" s="511">
        <f>H86/100*B3*(C9-B9)</f>
        <v>0</v>
      </c>
      <c r="H86" s="508">
        <v>2.8000000000000001E-2</v>
      </c>
      <c r="I86" s="508" t="s">
        <v>262</v>
      </c>
      <c r="K86" s="131" t="s">
        <v>670</v>
      </c>
      <c r="L86" s="131"/>
      <c r="M86" s="131"/>
      <c r="N86" s="131"/>
      <c r="P86" s="494">
        <v>0.01</v>
      </c>
      <c r="Q86" s="33" t="s">
        <v>683</v>
      </c>
      <c r="T86" s="49">
        <f>P86/100*B3*(C9-B9)</f>
        <v>0</v>
      </c>
    </row>
    <row r="87" spans="1:22" x14ac:dyDescent="0.2">
      <c r="A87" t="s">
        <v>273</v>
      </c>
      <c r="B87" s="133">
        <v>8.65</v>
      </c>
      <c r="F87" s="508" t="s">
        <v>662</v>
      </c>
      <c r="G87" s="511">
        <f>H87/100*B3*(C76-B76)</f>
        <v>19.137264854343737</v>
      </c>
      <c r="H87" s="508">
        <v>1.7</v>
      </c>
      <c r="I87" s="508" t="s">
        <v>263</v>
      </c>
      <c r="K87" s="131" t="s">
        <v>671</v>
      </c>
      <c r="L87" s="131"/>
      <c r="M87" s="131"/>
      <c r="N87" s="131"/>
      <c r="O87" s="131"/>
      <c r="P87" s="495">
        <v>1.7</v>
      </c>
      <c r="Q87" s="33" t="s">
        <v>684</v>
      </c>
      <c r="T87" s="49">
        <f>P87/100*B3*(C76-B76)</f>
        <v>19.137264854343737</v>
      </c>
    </row>
    <row r="88" spans="1:22" x14ac:dyDescent="0.2">
      <c r="A88" t="s">
        <v>645</v>
      </c>
      <c r="B88" s="133"/>
      <c r="C88" s="33" t="s">
        <v>698</v>
      </c>
      <c r="D88" s="136"/>
      <c r="F88" s="508" t="s">
        <v>697</v>
      </c>
      <c r="G88" s="511">
        <f>H88/100*B3*(B14-C14)*10</f>
        <v>0</v>
      </c>
      <c r="H88" s="508">
        <v>0.6</v>
      </c>
      <c r="I88" s="508" t="s">
        <v>264</v>
      </c>
      <c r="K88" s="131" t="s">
        <v>672</v>
      </c>
      <c r="L88" s="131"/>
      <c r="M88" s="131"/>
      <c r="N88" s="131"/>
      <c r="P88" s="496">
        <v>1.2</v>
      </c>
      <c r="Q88" s="33" t="s">
        <v>685</v>
      </c>
      <c r="T88" s="49">
        <f>P88/100*B3*(B14-C14)*10</f>
        <v>0</v>
      </c>
    </row>
    <row r="89" spans="1:22" x14ac:dyDescent="0.2">
      <c r="A89" t="s">
        <v>646</v>
      </c>
      <c r="B89" s="133"/>
      <c r="C89" s="33" t="s">
        <v>698</v>
      </c>
      <c r="F89" s="508" t="s">
        <v>252</v>
      </c>
      <c r="G89" s="511">
        <f>H89/100*B3*('Ввод составов (база)'!A33-'Ввод составов (проект)'!A28)</f>
        <v>0</v>
      </c>
      <c r="H89" s="508">
        <v>1.5</v>
      </c>
      <c r="I89" s="508" t="s">
        <v>265</v>
      </c>
      <c r="K89" s="131" t="s">
        <v>673</v>
      </c>
      <c r="L89" s="131"/>
      <c r="M89" s="131"/>
      <c r="N89" s="131"/>
      <c r="P89" s="495">
        <v>1.5</v>
      </c>
      <c r="Q89" s="33" t="s">
        <v>686</v>
      </c>
      <c r="T89" s="49">
        <f>P89/100*B3*('Ввод составов (база)'!A33-'Ввод составов (проект)'!A28)</f>
        <v>0</v>
      </c>
    </row>
    <row r="90" spans="1:22" x14ac:dyDescent="0.2">
      <c r="A90" s="136" t="s">
        <v>289</v>
      </c>
      <c r="B90" s="136"/>
      <c r="F90" s="508" t="s">
        <v>271</v>
      </c>
      <c r="G90" s="511">
        <f>H90/100*B3*(B92-B86)</f>
        <v>0</v>
      </c>
      <c r="H90" s="508">
        <v>0.6</v>
      </c>
      <c r="I90" s="508" t="s">
        <v>266</v>
      </c>
      <c r="K90" s="492" t="s">
        <v>674</v>
      </c>
      <c r="L90" s="492"/>
      <c r="M90" s="492"/>
      <c r="N90" s="492"/>
      <c r="O90" s="131"/>
      <c r="P90" s="495">
        <v>0.6</v>
      </c>
      <c r="Q90" t="s">
        <v>687</v>
      </c>
      <c r="T90" s="49">
        <f>P90/100*B3*(B92-B86)</f>
        <v>0</v>
      </c>
    </row>
    <row r="91" spans="1:22" x14ac:dyDescent="0.2">
      <c r="A91" s="94" t="s">
        <v>275</v>
      </c>
      <c r="F91" s="508" t="s">
        <v>259</v>
      </c>
      <c r="G91" s="511">
        <f>H91/100*B3*(B87-B93)</f>
        <v>0</v>
      </c>
      <c r="H91" s="508">
        <v>2.8</v>
      </c>
      <c r="I91" s="508" t="s">
        <v>266</v>
      </c>
      <c r="K91" s="492" t="s">
        <v>675</v>
      </c>
      <c r="L91" s="131"/>
      <c r="M91" s="131"/>
      <c r="N91" s="131"/>
      <c r="P91" s="495">
        <v>2.8</v>
      </c>
      <c r="Q91" t="s">
        <v>687</v>
      </c>
      <c r="T91" s="49">
        <f>P91/100*B3*(B87-B93)</f>
        <v>0</v>
      </c>
    </row>
    <row r="92" spans="1:22" x14ac:dyDescent="0.2">
      <c r="A92" t="s">
        <v>272</v>
      </c>
      <c r="B92" s="133">
        <v>86.74</v>
      </c>
      <c r="F92" s="508" t="s">
        <v>258</v>
      </c>
      <c r="G92" s="511">
        <f>H92/100*B3*(B10-C10)</f>
        <v>0</v>
      </c>
      <c r="H92" s="508">
        <v>0.06</v>
      </c>
      <c r="I92" s="508" t="s">
        <v>267</v>
      </c>
      <c r="K92" s="131" t="s">
        <v>676</v>
      </c>
      <c r="L92" s="131"/>
      <c r="M92" s="131"/>
      <c r="N92" s="131"/>
      <c r="P92" s="495">
        <v>-7.0000000000000007E-2</v>
      </c>
      <c r="Q92" t="s">
        <v>688</v>
      </c>
      <c r="T92" s="49">
        <f>P92/100*B3*(C10-B10)</f>
        <v>0</v>
      </c>
    </row>
    <row r="93" spans="1:22" x14ac:dyDescent="0.2">
      <c r="A93" t="s">
        <v>273</v>
      </c>
      <c r="B93" s="133">
        <v>8.65</v>
      </c>
      <c r="F93" s="508" t="s">
        <v>268</v>
      </c>
      <c r="G93" s="511">
        <f>H93/100*B3*(C11-B11)</f>
        <v>0</v>
      </c>
      <c r="H93" s="508">
        <v>2.4</v>
      </c>
      <c r="I93" s="508" t="s">
        <v>269</v>
      </c>
      <c r="K93" s="131" t="s">
        <v>681</v>
      </c>
      <c r="P93" s="493">
        <v>2.1</v>
      </c>
      <c r="Q93" t="s">
        <v>682</v>
      </c>
      <c r="T93" s="49">
        <f>P93/100*B3*(C11-B11)</f>
        <v>0</v>
      </c>
    </row>
    <row r="94" spans="1:22" x14ac:dyDescent="0.2">
      <c r="A94" t="s">
        <v>645</v>
      </c>
      <c r="B94" s="133"/>
      <c r="C94" s="33" t="s">
        <v>698</v>
      </c>
      <c r="F94" s="508" t="s">
        <v>660</v>
      </c>
      <c r="G94" s="511">
        <f>H94/100*B3*(B69-C69)</f>
        <v>0</v>
      </c>
      <c r="H94" s="508">
        <v>0.05</v>
      </c>
      <c r="I94" s="508" t="s">
        <v>659</v>
      </c>
      <c r="K94" s="492" t="s">
        <v>677</v>
      </c>
      <c r="L94" s="492"/>
      <c r="M94" s="492"/>
      <c r="N94" s="492"/>
      <c r="P94" s="495">
        <v>0.05</v>
      </c>
      <c r="Q94" t="s">
        <v>689</v>
      </c>
      <c r="T94" s="49">
        <f>P94/100*B3*(B69-C69)</f>
        <v>0</v>
      </c>
      <c r="U94" s="360" t="s">
        <v>180</v>
      </c>
    </row>
    <row r="95" spans="1:22" x14ac:dyDescent="0.2">
      <c r="A95" t="s">
        <v>646</v>
      </c>
      <c r="B95" s="133"/>
      <c r="C95" s="33" t="s">
        <v>698</v>
      </c>
      <c r="F95" s="508" t="s">
        <v>661</v>
      </c>
      <c r="G95" s="511">
        <f>H95/100*B3*(B71-C71)</f>
        <v>0</v>
      </c>
      <c r="H95" s="508">
        <v>0.03</v>
      </c>
      <c r="I95" s="508" t="s">
        <v>659</v>
      </c>
      <c r="K95" s="492" t="s">
        <v>678</v>
      </c>
      <c r="L95" s="492"/>
      <c r="M95" s="492"/>
      <c r="N95" s="492"/>
      <c r="P95" s="495">
        <v>0.03</v>
      </c>
      <c r="Q95" t="s">
        <v>689</v>
      </c>
      <c r="T95" s="49">
        <f>P95/100*B3*(B71-C71)</f>
        <v>0</v>
      </c>
      <c r="U95" s="513">
        <f>SUM(T86:T95)+B3</f>
        <v>3536.397264854344</v>
      </c>
    </row>
    <row r="96" spans="1:22" x14ac:dyDescent="0.2">
      <c r="F96" s="508" t="s">
        <v>700</v>
      </c>
      <c r="G96" s="511">
        <f>SUM(G86:G95)</f>
        <v>19.137264854343737</v>
      </c>
      <c r="H96" s="511">
        <f>G96+B3</f>
        <v>3536.397264854344</v>
      </c>
      <c r="I96" s="508"/>
      <c r="K96" s="492" t="s">
        <v>679</v>
      </c>
      <c r="P96" s="495">
        <v>0.2</v>
      </c>
      <c r="Q96" s="33" t="s">
        <v>690</v>
      </c>
      <c r="T96" s="49">
        <f>P96/100*B3*(B62+B63-C62-C63)*100</f>
        <v>0</v>
      </c>
    </row>
    <row r="97" spans="6:20" x14ac:dyDescent="0.2">
      <c r="F97" s="512"/>
      <c r="G97" s="512"/>
      <c r="H97" s="512"/>
      <c r="I97" s="512"/>
      <c r="K97" s="492" t="s">
        <v>695</v>
      </c>
      <c r="T97" s="49">
        <f>SUM(T86:T96)</f>
        <v>19.137264854343737</v>
      </c>
    </row>
    <row r="98" spans="6:20" x14ac:dyDescent="0.2">
      <c r="K98" s="492" t="s">
        <v>696</v>
      </c>
      <c r="T98" s="497">
        <f>T97+B3</f>
        <v>3536.397264854344</v>
      </c>
    </row>
  </sheetData>
  <mergeCells count="8">
    <mergeCell ref="F2:F3"/>
    <mergeCell ref="G2:H2"/>
    <mergeCell ref="A48:C48"/>
    <mergeCell ref="A68:C68"/>
    <mergeCell ref="A20:C20"/>
    <mergeCell ref="A28:C28"/>
    <mergeCell ref="A1:A2"/>
    <mergeCell ref="B1:C1"/>
  </mergeCells>
  <phoneticPr fontId="0" type="noConversion"/>
  <dataValidations count="1">
    <dataValidation type="decimal" operator="greaterThanOrEqual" allowBlank="1" showInputMessage="1" showErrorMessage="1" sqref="H86:H93 C14 B6:C6 B8:C12 B14:B19 B3:B4 C16:C18 B21:B26 B29:B33 B35:B46 B92:B95 B69:B75 C75 C69:C73 H74:H81 B86:B89 C54:C66">
      <formula1>0</formula1>
    </dataValidation>
  </dataValidations>
  <pageMargins left="0.75" right="0.75" top="1" bottom="1" header="0.5" footer="0.5"/>
  <pageSetup paperSize="9" scale="98" orientation="portrait" horizontalDpi="4294967293" r:id="rId1"/>
  <headerFooter alignWithMargins="0"/>
  <colBreaks count="1" manualBreakCount="1">
    <brk id="5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37"/>
  <sheetViews>
    <sheetView zoomScale="85" workbookViewId="0">
      <selection activeCell="C4" sqref="C4"/>
    </sheetView>
  </sheetViews>
  <sheetFormatPr defaultRowHeight="12.75" x14ac:dyDescent="0.2"/>
  <cols>
    <col min="1" max="1" width="30.85546875" customWidth="1"/>
    <col min="2" max="2" width="19.85546875" customWidth="1"/>
    <col min="18" max="18" width="11.85546875" customWidth="1"/>
  </cols>
  <sheetData>
    <row r="1" spans="1:18" ht="26.25" customHeight="1" x14ac:dyDescent="0.2">
      <c r="A1" s="464" t="s">
        <v>648</v>
      </c>
      <c r="B1" s="464"/>
    </row>
    <row r="2" spans="1:18" x14ac:dyDescent="0.2">
      <c r="A2" s="366" t="s">
        <v>555</v>
      </c>
      <c r="B2" s="366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8" x14ac:dyDescent="0.2">
      <c r="A3" s="334" t="s">
        <v>474</v>
      </c>
      <c r="B3" s="334" t="s">
        <v>725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469</v>
      </c>
      <c r="N3" s="1" t="s">
        <v>94</v>
      </c>
      <c r="O3" s="1" t="s">
        <v>15</v>
      </c>
      <c r="P3" s="1" t="s">
        <v>16</v>
      </c>
      <c r="Q3" s="1" t="s">
        <v>17</v>
      </c>
      <c r="R3" s="334" t="s">
        <v>191</v>
      </c>
    </row>
    <row r="4" spans="1:18" x14ac:dyDescent="0.2">
      <c r="A4" s="332" t="s">
        <v>473</v>
      </c>
      <c r="B4" s="568">
        <f>'Исходные данные и результаты'!B29</f>
        <v>86.87</v>
      </c>
      <c r="C4" s="333">
        <v>55.21</v>
      </c>
      <c r="D4" s="333">
        <v>11.8</v>
      </c>
      <c r="E4" s="333">
        <v>65.8</v>
      </c>
      <c r="F4" s="333">
        <v>6.68</v>
      </c>
      <c r="G4" s="333">
        <v>1.6</v>
      </c>
      <c r="H4" s="333">
        <v>10.99</v>
      </c>
      <c r="I4" s="333">
        <v>2.09</v>
      </c>
      <c r="J4" s="333">
        <v>2.5999999999999999E-2</v>
      </c>
      <c r="K4" s="333">
        <v>4.2000000000000003E-2</v>
      </c>
      <c r="L4" s="333">
        <v>0.33</v>
      </c>
      <c r="M4" s="333">
        <v>0.03</v>
      </c>
      <c r="N4" s="333"/>
      <c r="O4" s="333">
        <v>0</v>
      </c>
      <c r="P4" s="333">
        <v>0.32</v>
      </c>
      <c r="Q4" s="333">
        <v>3.5000000000000003E-2</v>
      </c>
      <c r="R4" s="336">
        <f>IF(F4&lt;&gt;0,H4/F4,0)</f>
        <v>1.6452095808383234</v>
      </c>
    </row>
    <row r="5" spans="1:18" x14ac:dyDescent="0.2">
      <c r="A5" s="332" t="s">
        <v>472</v>
      </c>
      <c r="B5" s="568">
        <f>'Исходные данные и результаты'!B30</f>
        <v>0</v>
      </c>
      <c r="C5" s="333">
        <v>54.47</v>
      </c>
      <c r="D5" s="333">
        <v>8.6</v>
      </c>
      <c r="E5" s="333">
        <v>68.400000000000006</v>
      </c>
      <c r="F5" s="333">
        <v>6.65</v>
      </c>
      <c r="G5" s="333">
        <v>1.6</v>
      </c>
      <c r="H5" s="333">
        <v>11.92</v>
      </c>
      <c r="I5" s="333">
        <v>2.0099999999999998</v>
      </c>
      <c r="J5" s="333">
        <v>2.7E-2</v>
      </c>
      <c r="K5" s="333">
        <v>0.06</v>
      </c>
      <c r="L5" s="333">
        <v>0.3</v>
      </c>
      <c r="M5" s="333">
        <v>3.1E-2</v>
      </c>
      <c r="N5" s="333"/>
      <c r="O5" s="333">
        <v>0</v>
      </c>
      <c r="P5" s="333">
        <v>0.32</v>
      </c>
      <c r="Q5" s="333">
        <v>3.6999999999999998E-2</v>
      </c>
      <c r="R5" s="336">
        <f t="shared" ref="R5:R20" si="0">IF(F5&lt;&gt;0,H5/F5,0)</f>
        <v>1.7924812030075188</v>
      </c>
    </row>
    <row r="6" spans="1:18" x14ac:dyDescent="0.2">
      <c r="A6" s="332" t="s">
        <v>464</v>
      </c>
      <c r="B6" s="568">
        <f>'Исходные данные и результаты'!B31</f>
        <v>836.71</v>
      </c>
      <c r="C6" s="333">
        <v>55.27</v>
      </c>
      <c r="D6" s="333">
        <v>9.9</v>
      </c>
      <c r="E6" s="333">
        <v>68.099999999999994</v>
      </c>
      <c r="F6" s="333">
        <v>6.62</v>
      </c>
      <c r="G6" s="333">
        <v>1.59</v>
      </c>
      <c r="H6" s="333">
        <v>10.85</v>
      </c>
      <c r="I6" s="333">
        <v>2.08</v>
      </c>
      <c r="J6" s="333">
        <v>2.5999999999999999E-2</v>
      </c>
      <c r="K6" s="333">
        <v>3.9E-2</v>
      </c>
      <c r="L6" s="333">
        <v>0.34</v>
      </c>
      <c r="M6" s="333">
        <v>2.9000000000000001E-2</v>
      </c>
      <c r="N6" s="333"/>
      <c r="O6" s="333">
        <v>0</v>
      </c>
      <c r="P6" s="333">
        <v>0.32</v>
      </c>
      <c r="Q6" s="333">
        <v>3.7999999999999999E-2</v>
      </c>
      <c r="R6" s="336">
        <f t="shared" si="0"/>
        <v>1.6389728096676737</v>
      </c>
    </row>
    <row r="7" spans="1:18" x14ac:dyDescent="0.2">
      <c r="A7" s="332" t="s">
        <v>468</v>
      </c>
      <c r="B7" s="568">
        <f>'Исходные данные и результаты'!B32</f>
        <v>4.83</v>
      </c>
      <c r="C7" s="333">
        <v>55.1</v>
      </c>
      <c r="D7" s="333">
        <v>10.074</v>
      </c>
      <c r="E7" s="333">
        <v>0</v>
      </c>
      <c r="F7" s="333">
        <v>6.7220000000000004</v>
      </c>
      <c r="G7" s="333">
        <v>1.667</v>
      </c>
      <c r="H7" s="333">
        <v>10.673999999999999</v>
      </c>
      <c r="I7" s="333">
        <v>1.98</v>
      </c>
      <c r="J7" s="333">
        <v>2.7E-2</v>
      </c>
      <c r="K7" s="333">
        <v>0.04</v>
      </c>
      <c r="L7" s="333">
        <v>0</v>
      </c>
      <c r="M7" s="333">
        <v>3.2000000000000001E-2</v>
      </c>
      <c r="N7" s="333"/>
      <c r="O7" s="333">
        <v>1.7291000000000001</v>
      </c>
      <c r="P7" s="333">
        <v>0.32</v>
      </c>
      <c r="Q7" s="333">
        <v>3.5999999999999997E-2</v>
      </c>
      <c r="R7" s="336">
        <f t="shared" si="0"/>
        <v>1.5879202618268371</v>
      </c>
    </row>
    <row r="8" spans="1:18" x14ac:dyDescent="0.2">
      <c r="A8" s="332" t="s">
        <v>731</v>
      </c>
      <c r="B8" s="568">
        <f>'Исходные данные и результаты'!B33</f>
        <v>88.48</v>
      </c>
      <c r="C8" s="333">
        <v>55.27</v>
      </c>
      <c r="D8" s="333">
        <v>10.6</v>
      </c>
      <c r="E8" s="333">
        <v>67.265000000000001</v>
      </c>
      <c r="F8" s="333">
        <v>6.64</v>
      </c>
      <c r="G8" s="333">
        <v>1.59</v>
      </c>
      <c r="H8" s="333">
        <v>10.887</v>
      </c>
      <c r="I8" s="333">
        <v>2.0830000000000002</v>
      </c>
      <c r="J8" s="333">
        <v>2.5999999999999999E-2</v>
      </c>
      <c r="K8" s="333">
        <v>0.04</v>
      </c>
      <c r="L8" s="333">
        <v>0.34</v>
      </c>
      <c r="M8" s="333">
        <v>2.9000000000000001E-2</v>
      </c>
      <c r="N8" s="333"/>
      <c r="O8" s="333">
        <v>1.7291000000000001</v>
      </c>
      <c r="P8" s="333">
        <v>0.32</v>
      </c>
      <c r="Q8" s="333">
        <v>3.5999999999999997E-2</v>
      </c>
      <c r="R8" s="336">
        <f t="shared" si="0"/>
        <v>1.6396084337349399</v>
      </c>
    </row>
    <row r="9" spans="1:18" x14ac:dyDescent="0.2">
      <c r="A9" s="332" t="s">
        <v>465</v>
      </c>
      <c r="B9" s="568">
        <f>'Исходные данные и результаты'!B35</f>
        <v>366.15</v>
      </c>
      <c r="C9" s="333">
        <v>62.7</v>
      </c>
      <c r="D9" s="333">
        <v>0</v>
      </c>
      <c r="E9" s="333">
        <v>0</v>
      </c>
      <c r="F9" s="333">
        <v>5.41</v>
      </c>
      <c r="G9" s="333">
        <v>1.8</v>
      </c>
      <c r="H9" s="333">
        <v>1.82</v>
      </c>
      <c r="I9" s="333">
        <v>1.05</v>
      </c>
      <c r="J9" s="333">
        <v>1.2E-2</v>
      </c>
      <c r="K9" s="333">
        <v>3.3000000000000002E-2</v>
      </c>
      <c r="L9" s="333">
        <v>0.2</v>
      </c>
      <c r="M9" s="333">
        <v>0.01</v>
      </c>
      <c r="N9" s="333"/>
      <c r="O9" s="333">
        <v>0</v>
      </c>
      <c r="P9" s="333">
        <v>0.34</v>
      </c>
      <c r="Q9" s="333">
        <v>1.2999999999999999E-2</v>
      </c>
      <c r="R9" s="336">
        <f t="shared" si="0"/>
        <v>0.33641404805914971</v>
      </c>
    </row>
    <row r="10" spans="1:18" x14ac:dyDescent="0.2">
      <c r="A10" s="332" t="s">
        <v>95</v>
      </c>
      <c r="B10" s="568">
        <f>'Исходные данные и результаты'!B36</f>
        <v>0</v>
      </c>
      <c r="C10" s="333">
        <v>65.599999999999994</v>
      </c>
      <c r="D10" s="333">
        <v>0</v>
      </c>
      <c r="E10" s="333">
        <v>0</v>
      </c>
      <c r="F10" s="333">
        <v>5.08</v>
      </c>
      <c r="G10" s="333">
        <v>0.28999999999999998</v>
      </c>
      <c r="H10" s="333">
        <v>0.68</v>
      </c>
      <c r="I10" s="333">
        <v>0.38</v>
      </c>
      <c r="J10" s="333">
        <v>0.01</v>
      </c>
      <c r="K10" s="333">
        <v>1.6E-2</v>
      </c>
      <c r="L10" s="333">
        <v>0.02</v>
      </c>
      <c r="M10" s="333">
        <v>8.9999999999999993E-3</v>
      </c>
      <c r="N10" s="333">
        <v>0.1</v>
      </c>
      <c r="O10" s="333">
        <v>0</v>
      </c>
      <c r="P10" s="333">
        <v>0</v>
      </c>
      <c r="Q10" s="333">
        <v>8.9999999999999993E-3</v>
      </c>
      <c r="R10" s="336">
        <f t="shared" si="0"/>
        <v>0.13385826771653545</v>
      </c>
    </row>
    <row r="11" spans="1:18" x14ac:dyDescent="0.2">
      <c r="A11" s="332" t="s">
        <v>96</v>
      </c>
      <c r="B11" s="568">
        <f>'Исходные данные и результаты'!B37</f>
        <v>36.71</v>
      </c>
      <c r="C11" s="333">
        <v>60.8</v>
      </c>
      <c r="D11" s="333">
        <v>0</v>
      </c>
      <c r="E11" s="333">
        <v>0</v>
      </c>
      <c r="F11" s="333">
        <v>4.09</v>
      </c>
      <c r="G11" s="333">
        <v>2.38</v>
      </c>
      <c r="H11" s="333">
        <v>1.26</v>
      </c>
      <c r="I11" s="333">
        <v>2.4</v>
      </c>
      <c r="J11" s="333">
        <v>0</v>
      </c>
      <c r="K11" s="333">
        <v>1.4E-2</v>
      </c>
      <c r="L11" s="333">
        <v>0.2</v>
      </c>
      <c r="M11" s="333">
        <v>6.2E-2</v>
      </c>
      <c r="N11" s="333">
        <v>0.1</v>
      </c>
      <c r="O11" s="333">
        <v>0</v>
      </c>
      <c r="P11" s="333">
        <v>2.67</v>
      </c>
      <c r="Q11" s="333">
        <v>5.8000000000000003E-2</v>
      </c>
      <c r="R11" s="336">
        <f t="shared" si="0"/>
        <v>0.30806845965770174</v>
      </c>
    </row>
    <row r="12" spans="1:18" x14ac:dyDescent="0.2">
      <c r="A12" s="332" t="s">
        <v>97</v>
      </c>
      <c r="B12" s="568">
        <f>'Исходные данные и результаты'!B38</f>
        <v>206.81</v>
      </c>
      <c r="C12" s="333">
        <v>63.1</v>
      </c>
      <c r="D12" s="333">
        <v>0</v>
      </c>
      <c r="E12" s="333">
        <v>0</v>
      </c>
      <c r="F12" s="333">
        <v>8.3800000000000008</v>
      </c>
      <c r="G12" s="333">
        <v>0.23</v>
      </c>
      <c r="H12" s="333">
        <v>0.6</v>
      </c>
      <c r="I12" s="333">
        <v>0.27</v>
      </c>
      <c r="J12" s="333">
        <v>1.0999999999999999E-2</v>
      </c>
      <c r="K12" s="333">
        <v>8.9999999999999993E-3</v>
      </c>
      <c r="L12" s="333">
        <v>0.03</v>
      </c>
      <c r="M12" s="333">
        <v>5.0000000000000001E-3</v>
      </c>
      <c r="N12" s="333">
        <v>0.2</v>
      </c>
      <c r="O12" s="333">
        <v>0</v>
      </c>
      <c r="P12" s="333">
        <v>0</v>
      </c>
      <c r="Q12" s="333">
        <v>6.0000000000000001E-3</v>
      </c>
      <c r="R12" s="336">
        <f t="shared" si="0"/>
        <v>7.159904534606204E-2</v>
      </c>
    </row>
    <row r="13" spans="1:18" x14ac:dyDescent="0.2">
      <c r="A13" s="332" t="s">
        <v>30</v>
      </c>
      <c r="B13" s="568">
        <f>'Исходные данные и результаты'!B39</f>
        <v>0</v>
      </c>
      <c r="C13" s="333">
        <v>68.599999999999994</v>
      </c>
      <c r="D13" s="333">
        <v>57.9</v>
      </c>
      <c r="E13" s="333">
        <v>33.799999999999997</v>
      </c>
      <c r="F13" s="333">
        <v>4.9000000000000004</v>
      </c>
      <c r="G13" s="333">
        <v>0.77</v>
      </c>
      <c r="H13" s="333">
        <v>0.5</v>
      </c>
      <c r="I13" s="333">
        <v>0.64</v>
      </c>
      <c r="J13" s="333">
        <v>0.01</v>
      </c>
      <c r="K13" s="333">
        <v>3.7999999999999999E-2</v>
      </c>
      <c r="L13" s="333">
        <v>0.76</v>
      </c>
      <c r="M13" s="333">
        <v>2.7E-2</v>
      </c>
      <c r="N13" s="333">
        <v>0.1</v>
      </c>
      <c r="O13" s="333">
        <v>0</v>
      </c>
      <c r="P13" s="333">
        <v>0</v>
      </c>
      <c r="Q13" s="333">
        <v>0.43</v>
      </c>
      <c r="R13" s="336">
        <f t="shared" si="0"/>
        <v>0.1020408163265306</v>
      </c>
    </row>
    <row r="14" spans="1:18" x14ac:dyDescent="0.2">
      <c r="A14" s="332" t="s">
        <v>88</v>
      </c>
      <c r="B14" s="568">
        <f>'Исходные данные и результаты'!B40</f>
        <v>38.32</v>
      </c>
      <c r="C14" s="333">
        <v>67.099999999999994</v>
      </c>
      <c r="D14" s="333">
        <v>10.435</v>
      </c>
      <c r="E14" s="333">
        <v>7.74</v>
      </c>
      <c r="F14" s="333">
        <v>6.5250000000000004</v>
      </c>
      <c r="G14" s="333">
        <v>1.4850000000000001</v>
      </c>
      <c r="H14" s="333">
        <v>9.3249999999999993</v>
      </c>
      <c r="I14" s="333">
        <v>4.8</v>
      </c>
      <c r="J14" s="333">
        <v>0.121</v>
      </c>
      <c r="K14" s="333">
        <v>4.9000000000000002E-2</v>
      </c>
      <c r="L14" s="333">
        <v>1.5249999999999999</v>
      </c>
      <c r="M14" s="333">
        <v>0.27</v>
      </c>
      <c r="N14" s="333"/>
      <c r="O14" s="333">
        <v>0.55000000000000004</v>
      </c>
      <c r="P14" s="333">
        <v>0.35</v>
      </c>
      <c r="Q14" s="333">
        <v>0.26</v>
      </c>
      <c r="R14" s="336">
        <f t="shared" si="0"/>
        <v>1.42911877394636</v>
      </c>
    </row>
    <row r="15" spans="1:18" x14ac:dyDescent="0.2">
      <c r="A15" s="332" t="s">
        <v>89</v>
      </c>
      <c r="B15" s="568">
        <f>'Исходные данные и результаты'!B41</f>
        <v>0</v>
      </c>
      <c r="C15" s="333"/>
      <c r="D15" s="333"/>
      <c r="E15" s="333"/>
      <c r="F15" s="333"/>
      <c r="G15" s="333"/>
      <c r="H15" s="333"/>
      <c r="I15" s="333"/>
      <c r="J15" s="333"/>
      <c r="K15" s="333"/>
      <c r="L15" s="333"/>
      <c r="M15" s="333"/>
      <c r="N15" s="333"/>
      <c r="O15" s="333"/>
      <c r="P15" s="333"/>
      <c r="Q15" s="333"/>
      <c r="R15" s="336">
        <f t="shared" si="0"/>
        <v>0</v>
      </c>
    </row>
    <row r="16" spans="1:18" x14ac:dyDescent="0.2">
      <c r="A16" s="332" t="s">
        <v>466</v>
      </c>
      <c r="B16" s="568">
        <f>'Исходные данные и результаты'!B42</f>
        <v>0</v>
      </c>
      <c r="C16" s="333">
        <v>41.3</v>
      </c>
      <c r="D16" s="333">
        <v>8.4</v>
      </c>
      <c r="E16" s="333">
        <v>49.7</v>
      </c>
      <c r="F16" s="333">
        <v>38</v>
      </c>
      <c r="G16" s="333">
        <v>0.18</v>
      </c>
      <c r="H16" s="333">
        <v>0.83</v>
      </c>
      <c r="I16" s="333">
        <v>0.41</v>
      </c>
      <c r="J16" s="333">
        <v>4.1000000000000002E-2</v>
      </c>
      <c r="K16" s="333">
        <v>2.9000000000000001E-2</v>
      </c>
      <c r="L16" s="333">
        <v>0.03</v>
      </c>
      <c r="M16" s="333">
        <v>1.4999999999999999E-2</v>
      </c>
      <c r="N16" s="333">
        <v>2</v>
      </c>
      <c r="O16" s="333">
        <v>0.9</v>
      </c>
      <c r="P16" s="333">
        <v>0</v>
      </c>
      <c r="Q16" s="333">
        <v>0.31</v>
      </c>
      <c r="R16" s="336">
        <f t="shared" si="0"/>
        <v>2.1842105263157895E-2</v>
      </c>
    </row>
    <row r="17" spans="1:18" x14ac:dyDescent="0.2">
      <c r="A17" s="332" t="s">
        <v>467</v>
      </c>
      <c r="B17" s="568">
        <f>'Исходные данные и результаты'!B43</f>
        <v>0</v>
      </c>
      <c r="C17" s="333">
        <v>24.6</v>
      </c>
      <c r="D17" s="333"/>
      <c r="E17" s="333"/>
      <c r="F17" s="333">
        <v>13.34</v>
      </c>
      <c r="G17" s="333">
        <v>0.92</v>
      </c>
      <c r="H17" s="333">
        <v>4.8600000000000003</v>
      </c>
      <c r="I17" s="333">
        <v>0.4</v>
      </c>
      <c r="J17" s="333">
        <v>3.4000000000000002E-2</v>
      </c>
      <c r="K17" s="333">
        <v>8.1000000000000003E-2</v>
      </c>
      <c r="L17" s="333">
        <v>23.23</v>
      </c>
      <c r="M17" s="333"/>
      <c r="N17" s="333"/>
      <c r="O17" s="333">
        <v>1.7</v>
      </c>
      <c r="P17" s="333"/>
      <c r="Q17" s="333"/>
      <c r="R17" s="336">
        <f t="shared" si="0"/>
        <v>0.3643178410794603</v>
      </c>
    </row>
    <row r="18" spans="1:18" x14ac:dyDescent="0.2">
      <c r="A18" s="370" t="s">
        <v>482</v>
      </c>
      <c r="B18" s="568">
        <f>'Исходные данные и результаты'!B44</f>
        <v>0</v>
      </c>
      <c r="C18" s="333">
        <v>55.8</v>
      </c>
      <c r="D18" s="333">
        <v>11.4</v>
      </c>
      <c r="E18" s="333">
        <v>67.14</v>
      </c>
      <c r="F18" s="333">
        <v>5.95</v>
      </c>
      <c r="G18" s="333">
        <v>2.09</v>
      </c>
      <c r="H18" s="333">
        <v>10.33</v>
      </c>
      <c r="I18" s="333">
        <v>2.0499999999999998</v>
      </c>
      <c r="J18" s="333">
        <v>3.7999999999999999E-2</v>
      </c>
      <c r="K18" s="333">
        <v>4.5999999999999999E-2</v>
      </c>
      <c r="L18" s="333"/>
      <c r="M18" s="333">
        <v>3.9E-2</v>
      </c>
      <c r="N18" s="333"/>
      <c r="O18" s="333">
        <v>0</v>
      </c>
      <c r="P18" s="333">
        <v>0.32</v>
      </c>
      <c r="Q18" s="333">
        <v>3.7999999999999999E-2</v>
      </c>
      <c r="R18" s="336">
        <f t="shared" si="0"/>
        <v>1.7361344537815127</v>
      </c>
    </row>
    <row r="19" spans="1:18" x14ac:dyDescent="0.2">
      <c r="A19" s="371" t="s">
        <v>90</v>
      </c>
      <c r="B19" s="568">
        <v>0</v>
      </c>
      <c r="C19" s="333">
        <v>0</v>
      </c>
      <c r="D19" s="333">
        <v>0</v>
      </c>
      <c r="E19" s="333">
        <v>0</v>
      </c>
      <c r="F19" s="333"/>
      <c r="G19" s="333">
        <v>0</v>
      </c>
      <c r="H19" s="333"/>
      <c r="I19" s="333">
        <v>0</v>
      </c>
      <c r="J19" s="333">
        <v>0</v>
      </c>
      <c r="K19" s="333">
        <v>0</v>
      </c>
      <c r="L19" s="333">
        <v>0</v>
      </c>
      <c r="M19" s="333">
        <v>0</v>
      </c>
      <c r="N19" s="333">
        <v>0</v>
      </c>
      <c r="O19" s="333">
        <v>0</v>
      </c>
      <c r="P19" s="333">
        <v>0</v>
      </c>
      <c r="Q19" s="333">
        <v>0</v>
      </c>
      <c r="R19" s="336">
        <f t="shared" si="0"/>
        <v>0</v>
      </c>
    </row>
    <row r="20" spans="1:18" x14ac:dyDescent="0.2">
      <c r="A20" s="371" t="s">
        <v>90</v>
      </c>
      <c r="B20" s="568">
        <v>0</v>
      </c>
      <c r="C20" s="333">
        <v>0</v>
      </c>
      <c r="D20" s="333">
        <v>0</v>
      </c>
      <c r="E20" s="333">
        <v>0</v>
      </c>
      <c r="F20" s="333"/>
      <c r="G20" s="333">
        <v>0</v>
      </c>
      <c r="H20" s="333"/>
      <c r="I20" s="333">
        <v>0</v>
      </c>
      <c r="J20" s="333">
        <v>0</v>
      </c>
      <c r="K20" s="333">
        <v>0</v>
      </c>
      <c r="L20" s="333">
        <v>0</v>
      </c>
      <c r="M20" s="333">
        <v>0</v>
      </c>
      <c r="N20" s="333">
        <v>0</v>
      </c>
      <c r="O20" s="333">
        <v>0</v>
      </c>
      <c r="P20" s="333">
        <v>0</v>
      </c>
      <c r="Q20" s="333">
        <v>0</v>
      </c>
      <c r="R20" s="336">
        <f t="shared" si="0"/>
        <v>0</v>
      </c>
    </row>
    <row r="21" spans="1:18" x14ac:dyDescent="0.2">
      <c r="A21" s="564" t="s">
        <v>560</v>
      </c>
      <c r="B21" s="336">
        <f>SUM(B4:B18)</f>
        <v>1664.8799999999999</v>
      </c>
    </row>
    <row r="22" spans="1:18" x14ac:dyDescent="0.2">
      <c r="A22" s="365" t="s">
        <v>556</v>
      </c>
      <c r="B22" s="365"/>
      <c r="C22" s="78"/>
      <c r="D22" s="78"/>
      <c r="E22" s="78"/>
      <c r="F22" s="78"/>
      <c r="G22" s="78"/>
    </row>
    <row r="23" spans="1:18" x14ac:dyDescent="0.2">
      <c r="A23" s="334" t="s">
        <v>474</v>
      </c>
      <c r="B23" s="334" t="s">
        <v>725</v>
      </c>
      <c r="C23" s="1" t="s">
        <v>8</v>
      </c>
      <c r="D23" s="1" t="s">
        <v>6</v>
      </c>
      <c r="E23" s="1" t="s">
        <v>7</v>
      </c>
      <c r="F23" s="1" t="s">
        <v>9</v>
      </c>
      <c r="G23" s="119" t="s">
        <v>16</v>
      </c>
      <c r="H23" s="119" t="s">
        <v>12</v>
      </c>
      <c r="I23" s="119" t="s">
        <v>10</v>
      </c>
      <c r="J23" s="119" t="s">
        <v>11</v>
      </c>
      <c r="K23" s="1" t="s">
        <v>94</v>
      </c>
      <c r="M23" s="134"/>
      <c r="N23" s="462" t="s">
        <v>622</v>
      </c>
    </row>
    <row r="24" spans="1:18" x14ac:dyDescent="0.2">
      <c r="A24" s="332" t="s">
        <v>196</v>
      </c>
      <c r="B24" s="569">
        <f>'Исходные данные и результаты'!B69</f>
        <v>0</v>
      </c>
      <c r="C24" s="333">
        <v>52.7</v>
      </c>
      <c r="D24" s="333">
        <v>0.09</v>
      </c>
      <c r="E24" s="333">
        <v>0.04</v>
      </c>
      <c r="F24" s="333">
        <v>2.6</v>
      </c>
      <c r="G24" s="333">
        <v>0</v>
      </c>
      <c r="H24" s="333">
        <v>0</v>
      </c>
      <c r="I24" s="333">
        <v>0</v>
      </c>
      <c r="J24" s="333">
        <v>0</v>
      </c>
      <c r="K24" s="333">
        <v>44.3</v>
      </c>
      <c r="M24" s="340"/>
      <c r="N24" s="462" t="s">
        <v>64</v>
      </c>
    </row>
    <row r="25" spans="1:18" x14ac:dyDescent="0.2">
      <c r="A25" s="332" t="s">
        <v>505</v>
      </c>
      <c r="B25" s="569">
        <f>'Исходные данные и результаты'!B70</f>
        <v>0</v>
      </c>
      <c r="C25" s="333">
        <v>34.799999999999997</v>
      </c>
      <c r="D25" s="333">
        <v>0.13</v>
      </c>
      <c r="E25" s="333">
        <v>0.04</v>
      </c>
      <c r="F25" s="333">
        <v>18</v>
      </c>
      <c r="G25" s="333">
        <v>0</v>
      </c>
      <c r="H25" s="333">
        <v>0</v>
      </c>
      <c r="I25" s="333">
        <v>0</v>
      </c>
      <c r="J25" s="333">
        <v>0</v>
      </c>
      <c r="K25" s="333">
        <v>47.03</v>
      </c>
    </row>
    <row r="26" spans="1:18" x14ac:dyDescent="0.2">
      <c r="A26" s="332" t="s">
        <v>99</v>
      </c>
      <c r="B26" s="569">
        <f>'Исходные данные и результаты'!B71</f>
        <v>6.74</v>
      </c>
      <c r="C26" s="333">
        <v>0</v>
      </c>
      <c r="D26" s="333">
        <v>97.5</v>
      </c>
      <c r="E26" s="333">
        <v>0.8</v>
      </c>
      <c r="F26" s="333">
        <v>0</v>
      </c>
      <c r="G26" s="333">
        <v>0</v>
      </c>
      <c r="H26" s="333">
        <v>0</v>
      </c>
      <c r="I26" s="333">
        <v>0</v>
      </c>
      <c r="J26" s="333">
        <v>0</v>
      </c>
      <c r="K26" s="333">
        <v>0</v>
      </c>
    </row>
    <row r="27" spans="1:18" x14ac:dyDescent="0.2">
      <c r="A27" s="332" t="s">
        <v>483</v>
      </c>
      <c r="B27" s="569">
        <f>'Исходные данные и результаты'!B72</f>
        <v>0</v>
      </c>
      <c r="C27" s="333">
        <v>38.5</v>
      </c>
      <c r="D27" s="333">
        <v>36.1</v>
      </c>
      <c r="E27" s="333">
        <v>12</v>
      </c>
      <c r="F27" s="333">
        <v>7.7</v>
      </c>
      <c r="G27" s="333">
        <v>1.1599999999999999</v>
      </c>
      <c r="H27" s="333"/>
      <c r="I27" s="333"/>
      <c r="J27" s="333">
        <v>0.88</v>
      </c>
      <c r="K27" s="333"/>
    </row>
    <row r="28" spans="1:18" x14ac:dyDescent="0.2">
      <c r="A28" s="371" t="s">
        <v>90</v>
      </c>
      <c r="B28" s="569">
        <f>'Исходные данные и результаты'!B73</f>
        <v>0</v>
      </c>
      <c r="C28" s="333">
        <v>0</v>
      </c>
      <c r="D28" s="333">
        <v>0</v>
      </c>
      <c r="E28" s="333">
        <v>0</v>
      </c>
      <c r="F28" s="333">
        <v>0</v>
      </c>
      <c r="G28" s="333">
        <v>0</v>
      </c>
      <c r="H28" s="333">
        <v>0</v>
      </c>
      <c r="I28" s="333">
        <v>0</v>
      </c>
      <c r="J28" s="333">
        <v>0</v>
      </c>
      <c r="K28" s="333">
        <v>0</v>
      </c>
    </row>
    <row r="29" spans="1:18" x14ac:dyDescent="0.2">
      <c r="A29" s="564" t="s">
        <v>726</v>
      </c>
      <c r="B29" s="336">
        <f>SUM(B24:B28)</f>
        <v>6.74</v>
      </c>
    </row>
    <row r="31" spans="1:18" x14ac:dyDescent="0.2">
      <c r="A31" s="35" t="s">
        <v>557</v>
      </c>
      <c r="B31" s="35"/>
      <c r="C31" s="79"/>
      <c r="D31" s="79"/>
      <c r="E31" s="79"/>
    </row>
    <row r="32" spans="1:18" x14ac:dyDescent="0.2">
      <c r="A32" s="1" t="s">
        <v>100</v>
      </c>
      <c r="B32" s="1" t="s">
        <v>101</v>
      </c>
      <c r="C32" s="1" t="s">
        <v>102</v>
      </c>
      <c r="D32" s="1" t="s">
        <v>103</v>
      </c>
    </row>
    <row r="33" spans="1:7" x14ac:dyDescent="0.2">
      <c r="A33" s="162">
        <v>13.07</v>
      </c>
      <c r="B33" s="162">
        <v>0.44</v>
      </c>
      <c r="C33" s="162">
        <v>1.31</v>
      </c>
      <c r="D33" s="336">
        <f>100-C33-B33-A33</f>
        <v>85.18</v>
      </c>
    </row>
    <row r="35" spans="1:7" x14ac:dyDescent="0.2">
      <c r="A35" s="35" t="s">
        <v>558</v>
      </c>
      <c r="B35" s="35"/>
      <c r="C35" s="79"/>
      <c r="D35" s="79"/>
      <c r="E35" s="79"/>
      <c r="F35" s="79"/>
      <c r="G35" s="79"/>
    </row>
    <row r="36" spans="1:7" x14ac:dyDescent="0.2">
      <c r="A36" s="1" t="s">
        <v>3</v>
      </c>
      <c r="B36" s="1" t="s">
        <v>8</v>
      </c>
      <c r="C36" s="1" t="s">
        <v>6</v>
      </c>
      <c r="D36" s="1" t="s">
        <v>7</v>
      </c>
      <c r="E36" s="1" t="s">
        <v>9</v>
      </c>
      <c r="F36" s="1" t="s">
        <v>10</v>
      </c>
    </row>
    <row r="37" spans="1:7" x14ac:dyDescent="0.2">
      <c r="A37" s="333">
        <v>8.8000000000000007</v>
      </c>
      <c r="B37" s="333">
        <v>6.093</v>
      </c>
      <c r="C37" s="333">
        <v>50.274999999999999</v>
      </c>
      <c r="D37" s="333">
        <v>24.65</v>
      </c>
      <c r="E37" s="333">
        <v>2.0369999999999999</v>
      </c>
      <c r="F37" s="333">
        <v>0</v>
      </c>
    </row>
  </sheetData>
  <phoneticPr fontId="0" type="noConversion"/>
  <conditionalFormatting sqref="B28:K28 C19:Q20">
    <cfRule type="expression" dxfId="35" priority="1" stopIfTrue="1">
      <formula>$B$28&gt;0</formula>
    </cfRule>
  </conditionalFormatting>
  <conditionalFormatting sqref="C4:Q4">
    <cfRule type="expression" dxfId="34" priority="2" stopIfTrue="1">
      <formula>$B$4&gt;0</formula>
    </cfRule>
  </conditionalFormatting>
  <conditionalFormatting sqref="B5:Q5">
    <cfRule type="expression" dxfId="33" priority="3" stopIfTrue="1">
      <formula>$B$5&gt;0</formula>
    </cfRule>
  </conditionalFormatting>
  <conditionalFormatting sqref="B6:Q6">
    <cfRule type="expression" dxfId="32" priority="4" stopIfTrue="1">
      <formula>$B$6&gt;0</formula>
    </cfRule>
  </conditionalFormatting>
  <conditionalFormatting sqref="B4 R4:R20">
    <cfRule type="expression" dxfId="31" priority="5" stopIfTrue="1">
      <formula>$B$4&gt;0</formula>
    </cfRule>
  </conditionalFormatting>
  <conditionalFormatting sqref="B7:Q7">
    <cfRule type="expression" dxfId="30" priority="6" stopIfTrue="1">
      <formula>$B$7&gt;0</formula>
    </cfRule>
  </conditionalFormatting>
  <conditionalFormatting sqref="B9:Q9">
    <cfRule type="expression" dxfId="29" priority="7" stopIfTrue="1">
      <formula>$B$9&gt;0</formula>
    </cfRule>
  </conditionalFormatting>
  <conditionalFormatting sqref="B10:Q10">
    <cfRule type="expression" dxfId="28" priority="8" stopIfTrue="1">
      <formula>$B$10&gt;0</formula>
    </cfRule>
  </conditionalFormatting>
  <conditionalFormatting sqref="B11:Q11">
    <cfRule type="expression" dxfId="27" priority="9" stopIfTrue="1">
      <formula>$B$11&gt;0</formula>
    </cfRule>
  </conditionalFormatting>
  <conditionalFormatting sqref="B12:Q12">
    <cfRule type="expression" dxfId="26" priority="10" stopIfTrue="1">
      <formula>$B$12&gt;0</formula>
    </cfRule>
  </conditionalFormatting>
  <conditionalFormatting sqref="B13:Q13">
    <cfRule type="expression" dxfId="25" priority="11" stopIfTrue="1">
      <formula>$B$13&gt;0</formula>
    </cfRule>
  </conditionalFormatting>
  <conditionalFormatting sqref="B14:Q14">
    <cfRule type="expression" dxfId="24" priority="12" stopIfTrue="1">
      <formula>$B$14&gt;0</formula>
    </cfRule>
  </conditionalFormatting>
  <conditionalFormatting sqref="B16:Q16">
    <cfRule type="expression" dxfId="23" priority="13" stopIfTrue="1">
      <formula>$B$16&gt;0</formula>
    </cfRule>
  </conditionalFormatting>
  <conditionalFormatting sqref="C17:Q17">
    <cfRule type="expression" dxfId="22" priority="14" stopIfTrue="1">
      <formula>$B$17&gt;0</formula>
    </cfRule>
  </conditionalFormatting>
  <conditionalFormatting sqref="B18:B20 C18:Q18">
    <cfRule type="expression" dxfId="21" priority="15" stopIfTrue="1">
      <formula>$B$18&gt;0</formula>
    </cfRule>
  </conditionalFormatting>
  <conditionalFormatting sqref="B24:K24">
    <cfRule type="expression" dxfId="20" priority="16" stopIfTrue="1">
      <formula>$B$24&gt;0</formula>
    </cfRule>
  </conditionalFormatting>
  <conditionalFormatting sqref="B25:K25">
    <cfRule type="expression" dxfId="19" priority="17" stopIfTrue="1">
      <formula>$B$25&gt;0</formula>
    </cfRule>
  </conditionalFormatting>
  <conditionalFormatting sqref="B26:K26">
    <cfRule type="expression" dxfId="18" priority="18" stopIfTrue="1">
      <formula>$B$26&gt;0</formula>
    </cfRule>
  </conditionalFormatting>
  <conditionalFormatting sqref="B27:K27">
    <cfRule type="expression" dxfId="17" priority="19" stopIfTrue="1">
      <formula>$B$27&gt;0</formula>
    </cfRule>
  </conditionalFormatting>
  <conditionalFormatting sqref="B8:Q8">
    <cfRule type="expression" dxfId="16" priority="20" stopIfTrue="1">
      <formula>$B$8&gt;0</formula>
    </cfRule>
  </conditionalFormatting>
  <dataValidations count="1">
    <dataValidation type="decimal" operator="greaterThanOrEqual" allowBlank="1" showInputMessage="1" showErrorMessage="1" sqref="A37:F37 A33:C33 C4:Q20 C24:K28">
      <formula1>0</formula1>
    </dataValidation>
  </dataValidations>
  <pageMargins left="0.39370078740157483" right="0.19685039370078741" top="0.98425196850393704" bottom="0.98425196850393704" header="0.51181102362204722" footer="0.51181102362204722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R32"/>
  <sheetViews>
    <sheetView zoomScale="85" workbookViewId="0">
      <selection activeCell="B15" sqref="B15"/>
    </sheetView>
  </sheetViews>
  <sheetFormatPr defaultRowHeight="12.75" x14ac:dyDescent="0.2"/>
  <cols>
    <col min="1" max="1" width="34.28515625" customWidth="1"/>
    <col min="2" max="2" width="18.7109375" customWidth="1"/>
    <col min="3" max="3" width="8.5703125" customWidth="1"/>
    <col min="18" max="18" width="11.85546875" customWidth="1"/>
  </cols>
  <sheetData>
    <row r="1" spans="1:18" ht="27" customHeight="1" x14ac:dyDescent="0.2">
      <c r="A1" s="464" t="s">
        <v>647</v>
      </c>
      <c r="B1" s="464"/>
    </row>
    <row r="2" spans="1:18" x14ac:dyDescent="0.2">
      <c r="A2" s="366" t="s">
        <v>555</v>
      </c>
      <c r="B2" s="366"/>
      <c r="C2" s="77"/>
      <c r="D2" s="77"/>
      <c r="E2" s="77"/>
      <c r="F2" s="77"/>
      <c r="H2" s="77"/>
      <c r="I2" s="77"/>
      <c r="J2" s="77"/>
      <c r="K2" s="77"/>
      <c r="L2" s="77"/>
      <c r="M2" s="77"/>
      <c r="N2" s="77"/>
      <c r="O2" s="77"/>
      <c r="P2" s="77"/>
      <c r="Q2" s="77"/>
    </row>
    <row r="3" spans="1:18" x14ac:dyDescent="0.2">
      <c r="A3" s="334" t="s">
        <v>474</v>
      </c>
      <c r="B3" s="334" t="s">
        <v>725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469</v>
      </c>
      <c r="N3" s="1" t="s">
        <v>94</v>
      </c>
      <c r="O3" s="1" t="s">
        <v>15</v>
      </c>
      <c r="P3" s="1" t="s">
        <v>16</v>
      </c>
      <c r="Q3" s="1" t="s">
        <v>17</v>
      </c>
      <c r="R3" s="334" t="s">
        <v>191</v>
      </c>
    </row>
    <row r="4" spans="1:18" x14ac:dyDescent="0.2">
      <c r="A4" s="566" t="s">
        <v>657</v>
      </c>
      <c r="B4" s="567">
        <f>'Исходные данные и результаты'!C34</f>
        <v>1011.4713247297539</v>
      </c>
      <c r="C4" s="336">
        <f>'Основность агломерата'!B9</f>
        <v>55.79844252614496</v>
      </c>
      <c r="D4" s="336">
        <f>'Основность агломерата'!C9</f>
        <v>11.402831770645509</v>
      </c>
      <c r="E4" s="336">
        <f>'Основность агломерата'!D9</f>
        <v>67.13484617742516</v>
      </c>
      <c r="F4" s="336">
        <f>'Основность агломерата'!E9</f>
        <v>5.950424765596825</v>
      </c>
      <c r="G4" s="336">
        <f>'Основность агломерата'!F9</f>
        <v>2.0901415885322749</v>
      </c>
      <c r="H4" s="336">
        <f>'Основность агломерата'!G9</f>
        <v>10.330424765596826</v>
      </c>
      <c r="I4" s="336">
        <f>'Основность агломерата'!H9</f>
        <v>2.0499999999999998</v>
      </c>
      <c r="J4" s="336">
        <f>'Основность агломерата'!I9</f>
        <v>3.7999999999999999E-2</v>
      </c>
      <c r="K4" s="336">
        <f>'Основность агломерата'!J9</f>
        <v>4.5971682293544897E-2</v>
      </c>
      <c r="L4" s="336">
        <f>'Основность агломерата'!K9</f>
        <v>0</v>
      </c>
      <c r="M4" s="336">
        <f>'Основность агломерата'!L9</f>
        <v>3.9E-2</v>
      </c>
      <c r="N4" s="336">
        <f>'Основность агломерата'!M9</f>
        <v>0</v>
      </c>
      <c r="O4" s="336">
        <f>'Основность агломерата'!N9</f>
        <v>4.8964146231518214E-2</v>
      </c>
      <c r="P4" s="336">
        <f>'Основность агломерата'!O9</f>
        <v>0.32</v>
      </c>
      <c r="Q4" s="336">
        <f>'Основность агломерата'!P9</f>
        <v>3.7943364587089787E-2</v>
      </c>
      <c r="R4" s="336">
        <f t="shared" ref="R4:R10" si="0">H4/F4</f>
        <v>1.7360819055008569</v>
      </c>
    </row>
    <row r="5" spans="1:18" x14ac:dyDescent="0.2">
      <c r="A5" s="332" t="s">
        <v>465</v>
      </c>
      <c r="B5" s="567">
        <f>'Исходные данные и результаты'!C35</f>
        <v>364.14954863797129</v>
      </c>
      <c r="C5" s="333">
        <v>62.7</v>
      </c>
      <c r="D5" s="333">
        <v>0</v>
      </c>
      <c r="E5" s="333">
        <v>0</v>
      </c>
      <c r="F5" s="333">
        <v>5.41</v>
      </c>
      <c r="G5" s="333">
        <v>1.8</v>
      </c>
      <c r="H5" s="333">
        <v>1.82</v>
      </c>
      <c r="I5" s="333">
        <v>1.05</v>
      </c>
      <c r="J5" s="333">
        <v>1.2E-2</v>
      </c>
      <c r="K5" s="333">
        <v>3.3000000000000002E-2</v>
      </c>
      <c r="L5" s="333">
        <v>0.2</v>
      </c>
      <c r="M5" s="333">
        <v>0.01</v>
      </c>
      <c r="N5" s="333"/>
      <c r="O5" s="333">
        <v>0</v>
      </c>
      <c r="P5" s="333">
        <v>0.34</v>
      </c>
      <c r="Q5" s="333">
        <v>1.2999999999999999E-2</v>
      </c>
      <c r="R5" s="336">
        <f t="shared" si="0"/>
        <v>0.33641404805914971</v>
      </c>
    </row>
    <row r="6" spans="1:18" x14ac:dyDescent="0.2">
      <c r="A6" s="332" t="s">
        <v>95</v>
      </c>
      <c r="B6" s="567">
        <f>'Исходные данные и результаты'!C36</f>
        <v>0</v>
      </c>
      <c r="C6" s="333">
        <v>65.599999999999994</v>
      </c>
      <c r="D6" s="333">
        <v>0</v>
      </c>
      <c r="E6" s="333">
        <v>0</v>
      </c>
      <c r="F6" s="333">
        <v>5.08</v>
      </c>
      <c r="G6" s="333">
        <v>0.28999999999999998</v>
      </c>
      <c r="H6" s="333">
        <v>0.68</v>
      </c>
      <c r="I6" s="333">
        <v>0.38</v>
      </c>
      <c r="J6" s="333">
        <v>0.01</v>
      </c>
      <c r="K6" s="333">
        <v>1.6E-2</v>
      </c>
      <c r="L6" s="333">
        <v>0.02</v>
      </c>
      <c r="M6" s="333">
        <v>8.9999999999999993E-3</v>
      </c>
      <c r="N6" s="333">
        <v>0.1</v>
      </c>
      <c r="O6" s="333">
        <v>0</v>
      </c>
      <c r="P6" s="333">
        <v>0</v>
      </c>
      <c r="Q6" s="333">
        <v>8.9999999999999993E-3</v>
      </c>
      <c r="R6" s="336">
        <f t="shared" si="0"/>
        <v>0.13385826771653545</v>
      </c>
    </row>
    <row r="7" spans="1:18" x14ac:dyDescent="0.2">
      <c r="A7" s="332" t="s">
        <v>96</v>
      </c>
      <c r="B7" s="567">
        <f>'Исходные данные и результаты'!C37</f>
        <v>36.431514643180392</v>
      </c>
      <c r="C7" s="333">
        <v>60.8</v>
      </c>
      <c r="D7" s="333">
        <v>0</v>
      </c>
      <c r="E7" s="333">
        <v>0</v>
      </c>
      <c r="F7" s="333">
        <v>4.09</v>
      </c>
      <c r="G7" s="333">
        <v>2.38</v>
      </c>
      <c r="H7" s="333">
        <v>1.26</v>
      </c>
      <c r="I7" s="333">
        <v>2.4</v>
      </c>
      <c r="J7" s="333">
        <v>0</v>
      </c>
      <c r="K7" s="333">
        <v>1.4E-2</v>
      </c>
      <c r="L7" s="333">
        <v>0.2</v>
      </c>
      <c r="M7" s="333">
        <v>6.2E-2</v>
      </c>
      <c r="N7" s="333">
        <v>0.1</v>
      </c>
      <c r="O7" s="333">
        <v>0</v>
      </c>
      <c r="P7" s="333">
        <v>2.67</v>
      </c>
      <c r="Q7" s="333">
        <v>5.8000000000000003E-2</v>
      </c>
      <c r="R7" s="336">
        <f t="shared" si="0"/>
        <v>0.30806845965770174</v>
      </c>
    </row>
    <row r="8" spans="1:18" x14ac:dyDescent="0.2">
      <c r="A8" s="332" t="s">
        <v>97</v>
      </c>
      <c r="B8" s="567">
        <f>'Исходные данные и результаты'!C38</f>
        <v>205.67245994013658</v>
      </c>
      <c r="C8" s="333">
        <v>63.1</v>
      </c>
      <c r="D8" s="333">
        <v>0</v>
      </c>
      <c r="E8" s="333">
        <v>0</v>
      </c>
      <c r="F8" s="333">
        <v>8.3800000000000008</v>
      </c>
      <c r="G8" s="333">
        <v>0.23</v>
      </c>
      <c r="H8" s="333">
        <v>0.6</v>
      </c>
      <c r="I8" s="333">
        <v>0.27</v>
      </c>
      <c r="J8" s="333">
        <v>1.0999999999999999E-2</v>
      </c>
      <c r="K8" s="333">
        <v>8.9999999999999993E-3</v>
      </c>
      <c r="L8" s="333">
        <v>0.03</v>
      </c>
      <c r="M8" s="333">
        <v>5.0000000000000001E-3</v>
      </c>
      <c r="N8" s="333">
        <v>0.2</v>
      </c>
      <c r="O8" s="333">
        <v>0</v>
      </c>
      <c r="P8" s="333">
        <v>0</v>
      </c>
      <c r="Q8" s="333">
        <v>6.0000000000000001E-3</v>
      </c>
      <c r="R8" s="336">
        <f t="shared" si="0"/>
        <v>7.159904534606204E-2</v>
      </c>
    </row>
    <row r="9" spans="1:18" x14ac:dyDescent="0.2">
      <c r="A9" s="332" t="s">
        <v>30</v>
      </c>
      <c r="B9" s="567">
        <f>'Исходные данные и результаты'!C39</f>
        <v>0</v>
      </c>
      <c r="C9" s="333">
        <v>68.599999999999994</v>
      </c>
      <c r="D9" s="333">
        <v>57.9</v>
      </c>
      <c r="E9" s="333">
        <v>33.799999999999997</v>
      </c>
      <c r="F9" s="333">
        <v>4.9000000000000004</v>
      </c>
      <c r="G9" s="333">
        <v>0.77</v>
      </c>
      <c r="H9" s="333">
        <v>0.5</v>
      </c>
      <c r="I9" s="333">
        <v>0.64</v>
      </c>
      <c r="J9" s="333">
        <v>0.01</v>
      </c>
      <c r="K9" s="333">
        <v>3.7999999999999999E-2</v>
      </c>
      <c r="L9" s="333">
        <v>0.76</v>
      </c>
      <c r="M9" s="333">
        <v>2.7E-2</v>
      </c>
      <c r="N9" s="333">
        <v>0.1</v>
      </c>
      <c r="O9" s="333">
        <v>0</v>
      </c>
      <c r="P9" s="333">
        <v>0</v>
      </c>
      <c r="Q9" s="333">
        <v>0.43</v>
      </c>
      <c r="R9" s="336">
        <f t="shared" si="0"/>
        <v>0.1020408163265306</v>
      </c>
    </row>
    <row r="10" spans="1:18" x14ac:dyDescent="0.2">
      <c r="A10" s="332" t="s">
        <v>88</v>
      </c>
      <c r="B10" s="567">
        <f>'Исходные данные и результаты'!C40</f>
        <v>38.087492581506773</v>
      </c>
      <c r="C10" s="333">
        <v>67.099999999999994</v>
      </c>
      <c r="D10" s="333">
        <v>10.435</v>
      </c>
      <c r="E10" s="333">
        <v>7.74</v>
      </c>
      <c r="F10" s="333">
        <v>6.5250000000000004</v>
      </c>
      <c r="G10" s="333">
        <v>1.4850000000000001</v>
      </c>
      <c r="H10" s="333">
        <v>9.3249999999999993</v>
      </c>
      <c r="I10" s="333">
        <v>4.8</v>
      </c>
      <c r="J10" s="333">
        <v>0.121</v>
      </c>
      <c r="K10" s="333">
        <v>4.9000000000000002E-2</v>
      </c>
      <c r="L10" s="333">
        <v>1.5249999999999999</v>
      </c>
      <c r="M10" s="333">
        <v>0.27</v>
      </c>
      <c r="N10" s="333"/>
      <c r="O10" s="333">
        <v>0.55000000000000004</v>
      </c>
      <c r="P10" s="333">
        <v>0.35</v>
      </c>
      <c r="Q10" s="333">
        <v>0.26</v>
      </c>
      <c r="R10" s="336">
        <f t="shared" si="0"/>
        <v>1.42911877394636</v>
      </c>
    </row>
    <row r="11" spans="1:18" x14ac:dyDescent="0.2">
      <c r="A11" s="332" t="s">
        <v>89</v>
      </c>
      <c r="B11" s="567">
        <f>'Исходные данные и результаты'!C41</f>
        <v>0</v>
      </c>
      <c r="C11" s="333"/>
      <c r="D11" s="333"/>
      <c r="E11" s="333"/>
      <c r="F11" s="333"/>
      <c r="G11" s="333"/>
      <c r="H11" s="333"/>
      <c r="I11" s="333"/>
      <c r="J11" s="333"/>
      <c r="K11" s="333"/>
      <c r="L11" s="333"/>
      <c r="M11" s="333"/>
      <c r="N11" s="333"/>
      <c r="O11" s="333"/>
      <c r="P11" s="333"/>
      <c r="Q11" s="333"/>
      <c r="R11" s="336"/>
    </row>
    <row r="12" spans="1:18" x14ac:dyDescent="0.2">
      <c r="A12" s="332" t="s">
        <v>466</v>
      </c>
      <c r="B12" s="567">
        <f>'Исходные данные и результаты'!C42</f>
        <v>0</v>
      </c>
      <c r="C12" s="333">
        <v>41.3</v>
      </c>
      <c r="D12" s="333">
        <v>8.4</v>
      </c>
      <c r="E12" s="333">
        <v>49.7</v>
      </c>
      <c r="F12" s="333">
        <v>38</v>
      </c>
      <c r="G12" s="333">
        <v>0.18</v>
      </c>
      <c r="H12" s="333">
        <v>0.83</v>
      </c>
      <c r="I12" s="333">
        <v>0.41</v>
      </c>
      <c r="J12" s="333">
        <v>4.1000000000000002E-2</v>
      </c>
      <c r="K12" s="333">
        <v>2.9000000000000001E-2</v>
      </c>
      <c r="L12" s="333">
        <v>0.03</v>
      </c>
      <c r="M12" s="333">
        <v>1.4999999999999999E-2</v>
      </c>
      <c r="N12" s="333">
        <v>2</v>
      </c>
      <c r="O12" s="333">
        <v>0.9</v>
      </c>
      <c r="P12" s="333">
        <v>0</v>
      </c>
      <c r="Q12" s="333">
        <v>0.31</v>
      </c>
      <c r="R12" s="336">
        <f>H12/F12</f>
        <v>2.1842105263157895E-2</v>
      </c>
    </row>
    <row r="13" spans="1:18" x14ac:dyDescent="0.2">
      <c r="A13" s="332" t="s">
        <v>467</v>
      </c>
      <c r="B13" s="567">
        <f>'Исходные данные и результаты'!C43</f>
        <v>0</v>
      </c>
      <c r="C13" s="333">
        <v>24.6</v>
      </c>
      <c r="D13" s="333"/>
      <c r="E13" s="333"/>
      <c r="F13" s="333">
        <v>13.34</v>
      </c>
      <c r="G13" s="333">
        <v>0.92</v>
      </c>
      <c r="H13" s="333">
        <v>4.8600000000000003</v>
      </c>
      <c r="I13" s="333">
        <v>0.4</v>
      </c>
      <c r="J13" s="333">
        <v>3.4000000000000002E-2</v>
      </c>
      <c r="K13" s="333">
        <v>8.1000000000000003E-2</v>
      </c>
      <c r="L13" s="333">
        <v>23.23</v>
      </c>
      <c r="M13" s="333"/>
      <c r="N13" s="333"/>
      <c r="O13" s="333">
        <v>1.7</v>
      </c>
      <c r="P13" s="333"/>
      <c r="Q13" s="333"/>
      <c r="R13" s="336">
        <f>H13/F13</f>
        <v>0.3643178410794603</v>
      </c>
    </row>
    <row r="14" spans="1:18" x14ac:dyDescent="0.2">
      <c r="A14" s="370" t="s">
        <v>482</v>
      </c>
      <c r="B14" s="567">
        <f>'Исходные данные и результаты'!C44</f>
        <v>0</v>
      </c>
      <c r="C14" s="333">
        <v>55.8</v>
      </c>
      <c r="D14" s="333">
        <v>11.4</v>
      </c>
      <c r="E14" s="333">
        <v>67.14</v>
      </c>
      <c r="F14" s="333">
        <v>5.95</v>
      </c>
      <c r="G14" s="333">
        <v>2.09</v>
      </c>
      <c r="H14" s="333">
        <v>10.33</v>
      </c>
      <c r="I14" s="333">
        <v>2.0499999999999998</v>
      </c>
      <c r="J14" s="333">
        <v>3.7999999999999999E-2</v>
      </c>
      <c r="K14" s="333">
        <v>4.5999999999999999E-2</v>
      </c>
      <c r="L14" s="333"/>
      <c r="M14" s="333">
        <v>3.9E-2</v>
      </c>
      <c r="N14" s="333"/>
      <c r="O14" s="333">
        <v>0</v>
      </c>
      <c r="P14" s="333">
        <v>0.32</v>
      </c>
      <c r="Q14" s="333">
        <v>3.7999999999999999E-2</v>
      </c>
      <c r="R14" s="336">
        <f>H14/F14</f>
        <v>1.7361344537815127</v>
      </c>
    </row>
    <row r="15" spans="1:18" x14ac:dyDescent="0.2">
      <c r="A15" s="566" t="s">
        <v>656</v>
      </c>
      <c r="B15" s="567">
        <f>'Исходные данные и результаты'!B34</f>
        <v>1016.8900000000001</v>
      </c>
      <c r="C15" s="336">
        <f>'Исходные данные и результаты'!$F29*'Ввод составов (база)'!C4+'Исходные данные и результаты'!$F30*'Ввод составов (база)'!C5+'Исходные данные и результаты'!$F31*'Ввод составов (база)'!C6+'Исходные данные и результаты'!$F32*'Ввод составов (база)'!C7+'Исходные данные и результаты'!$F33*'Ввод составов (база)'!C8</f>
        <v>55.264066909891923</v>
      </c>
      <c r="D15" s="336">
        <f>'Исходные данные и результаты'!$F29*'Ввод составов (база)'!D4+'Исходные данные и результаты'!$F30*'Ввод составов (база)'!D5+'Исходные данные и результаты'!$F31*'Ввод составов (база)'!D6+'Исходные данные и результаты'!$F32*'Ввод составов (база)'!D7+'Исходные данные и результаты'!$F33*'Ввод составов (база)'!D8</f>
        <v>10.12404529496799</v>
      </c>
      <c r="E15" s="336">
        <f>'Исходные данные и результаты'!$F29*'Ввод составов (база)'!E4+'Исходные данные и результаты'!$F30*'Ввод составов (база)'!E5+'Исходные данные и результаты'!$F31*'Ввод составов (база)'!E6+'Исходные данные и результаты'!$F32*'Ввод составов (база)'!E7+'Исходные данные и результаты'!$F33*'Ввод составов (база)'!E8</f>
        <v>67.507404144007708</v>
      </c>
      <c r="F15" s="336">
        <f>'Исходные данные и результаты'!$F29*'Ввод составов (база)'!F4+'Исходные данные и результаты'!$F30*'Ввод составов (база)'!F5+'Исходные данные и результаты'!$F31*'Ввод составов (база)'!F6+'Исходные данные и результаты'!$F32*'Ввод составов (база)'!F7+'Исходные данные и результаты'!$F33*'Ввод составов (база)'!F8</f>
        <v>6.6273503132098845</v>
      </c>
      <c r="G15" s="336">
        <f>'Исходные данные и результаты'!$F29*'Ввод составов (база)'!G4+'Исходные данные и результаты'!$F30*'Ввод составов (база)'!G5+'Исходные данные и результаты'!$F31*'Ввод составов (база)'!G6+'Исходные данные и результаты'!$F32*'Ввод составов (база)'!G7+'Исходные данные и результаты'!$F33*'Ввод составов (база)'!G8</f>
        <v>1.5912200041302402</v>
      </c>
      <c r="H15" s="336">
        <f>'Исходные данные и результаты'!$F29*'Ввод составов (база)'!H4+'Исходные данные и результаты'!$F30*'Ввод составов (база)'!H5+'Исходные данные и результаты'!$F31*'Ввод составов (база)'!H6+'Исходные данные и результаты'!$F32*'Ввод составов (база)'!H7+'Исходные данные и результаты'!$F33*'Ввод составов (база)'!H8</f>
        <v>10.864343222964136</v>
      </c>
      <c r="I15" s="336">
        <f>'Исходные данные и результаты'!$F29*'Ввод составов (база)'!I4+'Исходные данные и результаты'!$F30*'Ввод составов (база)'!I5+'Исходные данные и результаты'!$F31*'Ввод составов (база)'!I6+'Исходные данные и результаты'!$F32*'Ввод составов (база)'!I7+'Исходные данные и результаты'!$F33*'Ввод составов (база)'!I8</f>
        <v>2.0806403249122325</v>
      </c>
      <c r="J15" s="336">
        <f>'Исходные данные и результаты'!$F29*'Ввод составов (база)'!J4+'Исходные данные и результаты'!$F30*'Ввод составов (база)'!J5+'Исходные данные и результаты'!$F31*'Ввод составов (база)'!J6+'Исходные данные и результаты'!$F32*'Ввод составов (база)'!J7+'Исходные данные и результаты'!$F33*'Ввод составов (база)'!J8</f>
        <v>2.600474977627865E-2</v>
      </c>
      <c r="K15" s="336">
        <f>'Исходные данные и результаты'!$F29*'Ввод составов (база)'!K4+'Исходные данные и результаты'!$F30*'Ввод составов (база)'!K5+'Исходные данные и результаты'!$F31*'Ввод составов (база)'!K6+'Исходные данные и результаты'!$F32*'Ввод составов (база)'!K7+'Исходные данные и результаты'!$F33*'Ввод составов (база)'!K8</f>
        <v>3.934804157775177E-2</v>
      </c>
      <c r="L15" s="336">
        <f>'Исходные данные и результаты'!$F29*'Ввод составов (база)'!L4+'Исходные данные и результаты'!$F30*'Ввод составов (база)'!L5+'Исходные данные и результаты'!$F31*'Ввод составов (база)'!L6+'Исходные данные и результаты'!$F32*'Ввод составов (база)'!L7+'Исходные данные и результаты'!$F33*'Ввод составов (база)'!L8</f>
        <v>0.33753080470847391</v>
      </c>
      <c r="M15" s="336">
        <f>'Исходные данные и результаты'!$F29*'Ввод составов (база)'!M4+'Исходные данные и результаты'!$F30*'Ввод составов (база)'!M5+'Исходные данные и результаты'!$F31*'Ввод составов (база)'!M6+'Исходные данные и результаты'!$F32*'Ввод составов (база)'!M7+'Исходные данные и результаты'!$F33*'Ввод составов (база)'!M8</f>
        <v>2.9099676464514349E-2</v>
      </c>
      <c r="N15" s="336">
        <f>'Исходные данные и результаты'!$F29*'Ввод составов (база)'!N4+'Исходные данные и результаты'!$F30*'Ввод составов (база)'!N5+'Исходные данные и результаты'!$F31*'Ввод составов (база)'!N6+'Исходные данные и результаты'!$F32*'Ввод составов (база)'!N7+'Исходные данные и результаты'!$F33*'Ввод составов (база)'!N8</f>
        <v>0</v>
      </c>
      <c r="O15" s="336">
        <f>'Исходные данные и результаты'!$F29*'Ввод составов (база)'!O4+'Исходные данные и результаты'!$F30*'Ввод составов (база)'!O5+'Исходные данные и результаты'!$F31*'Ввод составов (база)'!O6+'Исходные данные и результаты'!$F32*'Ввод составов (база)'!O7+'Исходные данные и результаты'!$F33*'Ввод составов (база)'!O8</f>
        <v>0.15866251118606731</v>
      </c>
      <c r="P15" s="336">
        <f>'Исходные данные и результаты'!$F29*'Ввод составов (база)'!P4+'Исходные данные и результаты'!$F30*'Ввод составов (база)'!P5+'Исходные данные и результаты'!$F31*'Ввод составов (база)'!P6+'Исходные данные и результаты'!$F32*'Ввод составов (база)'!P7+'Исходные данные и результаты'!$F33*'Ввод составов (база)'!P8</f>
        <v>0.32</v>
      </c>
      <c r="Q15" s="336">
        <f>'Исходные данные и результаты'!$F29*'Ввод составов (база)'!Q4+'Исходные данные и результаты'!$F30*'Ввод составов (база)'!Q5+'Исходные данные и результаты'!$F31*'Ввод составов (база)'!Q6+'Исходные данные и результаты'!$F32*'Ввод составов (база)'!Q7+'Исходные данные и результаты'!$F33*'Ввод составов (база)'!Q8</f>
        <v>3.7560198251531625E-2</v>
      </c>
      <c r="R15" s="336">
        <f>H15/F15</f>
        <v>1.639319291951252</v>
      </c>
    </row>
    <row r="16" spans="1:18" x14ac:dyDescent="0.2">
      <c r="A16" s="365" t="s">
        <v>556</v>
      </c>
      <c r="B16" s="365"/>
      <c r="C16" s="78"/>
      <c r="D16" s="78"/>
      <c r="E16" s="78"/>
      <c r="F16" s="78"/>
      <c r="G16" s="78"/>
    </row>
    <row r="17" spans="1:14" x14ac:dyDescent="0.2">
      <c r="A17" s="334" t="s">
        <v>474</v>
      </c>
      <c r="B17" s="334" t="s">
        <v>725</v>
      </c>
      <c r="C17" s="1" t="s">
        <v>8</v>
      </c>
      <c r="D17" s="1" t="s">
        <v>6</v>
      </c>
      <c r="E17" s="1" t="s">
        <v>7</v>
      </c>
      <c r="F17" s="1" t="s">
        <v>9</v>
      </c>
      <c r="G17" s="119" t="s">
        <v>16</v>
      </c>
      <c r="H17" s="119" t="s">
        <v>12</v>
      </c>
      <c r="I17" s="119" t="s">
        <v>10</v>
      </c>
      <c r="J17" s="119" t="s">
        <v>11</v>
      </c>
      <c r="K17" s="1" t="s">
        <v>94</v>
      </c>
    </row>
    <row r="18" spans="1:14" x14ac:dyDescent="0.2">
      <c r="A18" s="332" t="s">
        <v>196</v>
      </c>
      <c r="B18" s="570">
        <v>0</v>
      </c>
      <c r="C18" s="333">
        <v>52.7</v>
      </c>
      <c r="D18" s="333">
        <v>0.09</v>
      </c>
      <c r="E18" s="333">
        <v>0.04</v>
      </c>
      <c r="F18" s="333">
        <v>2.6</v>
      </c>
      <c r="G18" s="333">
        <v>0</v>
      </c>
      <c r="H18" s="333">
        <v>0</v>
      </c>
      <c r="I18" s="333">
        <v>0</v>
      </c>
      <c r="J18" s="333">
        <v>0</v>
      </c>
      <c r="K18" s="333">
        <v>44.3</v>
      </c>
      <c r="M18" s="134"/>
      <c r="N18" s="462" t="s">
        <v>622</v>
      </c>
    </row>
    <row r="19" spans="1:14" x14ac:dyDescent="0.2">
      <c r="A19" s="332" t="s">
        <v>505</v>
      </c>
      <c r="B19" s="570">
        <v>0</v>
      </c>
      <c r="C19" s="333">
        <v>34.799999999999997</v>
      </c>
      <c r="D19" s="333">
        <v>0.13</v>
      </c>
      <c r="E19" s="333">
        <v>0.04</v>
      </c>
      <c r="F19" s="333">
        <v>18</v>
      </c>
      <c r="G19" s="333">
        <v>0</v>
      </c>
      <c r="H19" s="333">
        <v>0</v>
      </c>
      <c r="I19" s="333">
        <v>0</v>
      </c>
      <c r="J19" s="333">
        <v>0</v>
      </c>
      <c r="K19" s="333">
        <v>47.03</v>
      </c>
      <c r="M19" s="340"/>
      <c r="N19" s="462" t="s">
        <v>64</v>
      </c>
    </row>
    <row r="20" spans="1:14" x14ac:dyDescent="0.2">
      <c r="A20" s="332" t="s">
        <v>99</v>
      </c>
      <c r="B20" s="570">
        <v>17.02</v>
      </c>
      <c r="C20" s="333">
        <v>0</v>
      </c>
      <c r="D20" s="333">
        <v>97.5</v>
      </c>
      <c r="E20" s="333">
        <v>0.8</v>
      </c>
      <c r="F20" s="333">
        <v>0</v>
      </c>
      <c r="G20" s="333">
        <v>0</v>
      </c>
      <c r="H20" s="333">
        <v>0</v>
      </c>
      <c r="I20" s="333">
        <v>0</v>
      </c>
      <c r="J20" s="333">
        <v>0</v>
      </c>
      <c r="K20" s="333">
        <v>0</v>
      </c>
      <c r="M20" s="341"/>
      <c r="N20" s="462" t="s">
        <v>244</v>
      </c>
    </row>
    <row r="21" spans="1:14" x14ac:dyDescent="0.2">
      <c r="A21" s="332" t="s">
        <v>483</v>
      </c>
      <c r="B21" s="570">
        <v>0</v>
      </c>
      <c r="C21" s="333">
        <v>38.5</v>
      </c>
      <c r="D21" s="333">
        <v>36.1</v>
      </c>
      <c r="E21" s="333">
        <v>12</v>
      </c>
      <c r="F21" s="333">
        <v>7.7</v>
      </c>
      <c r="G21" s="333">
        <v>1.1599999999999999</v>
      </c>
      <c r="H21" s="333"/>
      <c r="I21" s="333"/>
      <c r="J21" s="333">
        <v>0.88</v>
      </c>
      <c r="K21" s="333"/>
    </row>
    <row r="22" spans="1:14" x14ac:dyDescent="0.2">
      <c r="A22" s="371" t="s">
        <v>90</v>
      </c>
      <c r="B22" s="570">
        <v>0</v>
      </c>
      <c r="C22" s="333">
        <v>0</v>
      </c>
      <c r="D22" s="333">
        <v>0</v>
      </c>
      <c r="E22" s="333">
        <v>0</v>
      </c>
      <c r="F22" s="333">
        <v>0</v>
      </c>
      <c r="G22" s="333">
        <v>0</v>
      </c>
      <c r="H22" s="333">
        <v>0</v>
      </c>
      <c r="I22" s="333">
        <v>0</v>
      </c>
      <c r="J22" s="333">
        <v>0</v>
      </c>
      <c r="K22" s="333">
        <v>0</v>
      </c>
    </row>
    <row r="23" spans="1:14" x14ac:dyDescent="0.2">
      <c r="A23" s="371" t="s">
        <v>90</v>
      </c>
      <c r="B23" s="570">
        <v>0</v>
      </c>
      <c r="C23" s="333">
        <v>0</v>
      </c>
      <c r="D23" s="333">
        <v>0</v>
      </c>
      <c r="E23" s="333">
        <v>0</v>
      </c>
      <c r="F23" s="333">
        <v>0</v>
      </c>
      <c r="G23" s="333">
        <v>0</v>
      </c>
      <c r="H23" s="333">
        <v>0</v>
      </c>
      <c r="I23" s="333">
        <v>0</v>
      </c>
      <c r="J23" s="333">
        <v>0</v>
      </c>
      <c r="K23" s="333">
        <v>0</v>
      </c>
    </row>
    <row r="26" spans="1:14" x14ac:dyDescent="0.2">
      <c r="A26" s="35" t="s">
        <v>557</v>
      </c>
      <c r="B26" s="35"/>
      <c r="C26" s="79"/>
      <c r="D26" s="79"/>
      <c r="E26" s="79"/>
    </row>
    <row r="27" spans="1:14" x14ac:dyDescent="0.2">
      <c r="A27" s="1" t="s">
        <v>100</v>
      </c>
      <c r="B27" s="1" t="s">
        <v>101</v>
      </c>
      <c r="C27" s="1" t="s">
        <v>102</v>
      </c>
      <c r="D27" s="1" t="s">
        <v>103</v>
      </c>
    </row>
    <row r="28" spans="1:14" x14ac:dyDescent="0.2">
      <c r="A28" s="162">
        <v>13.07</v>
      </c>
      <c r="B28" s="162">
        <v>0.44</v>
      </c>
      <c r="C28" s="162">
        <v>1.31</v>
      </c>
      <c r="D28" s="336">
        <f>100-C28-B28-A28</f>
        <v>85.18</v>
      </c>
    </row>
    <row r="30" spans="1:14" x14ac:dyDescent="0.2">
      <c r="A30" s="35" t="s">
        <v>558</v>
      </c>
      <c r="B30" s="35"/>
      <c r="C30" s="79"/>
      <c r="D30" s="79"/>
      <c r="E30" s="79"/>
      <c r="F30" s="79"/>
      <c r="G30" s="79"/>
    </row>
    <row r="31" spans="1:14" x14ac:dyDescent="0.2">
      <c r="A31" s="1" t="s">
        <v>3</v>
      </c>
      <c r="B31" s="1" t="s">
        <v>8</v>
      </c>
      <c r="C31" s="1" t="s">
        <v>6</v>
      </c>
      <c r="D31" s="1" t="s">
        <v>7</v>
      </c>
      <c r="E31" s="1" t="s">
        <v>9</v>
      </c>
      <c r="F31" s="1" t="s">
        <v>10</v>
      </c>
    </row>
    <row r="32" spans="1:14" x14ac:dyDescent="0.2">
      <c r="A32" s="333">
        <v>8.8000000000000007</v>
      </c>
      <c r="B32" s="333">
        <v>6.093</v>
      </c>
      <c r="C32" s="333">
        <v>50.274999999999999</v>
      </c>
      <c r="D32" s="333">
        <v>24.65</v>
      </c>
      <c r="E32" s="333">
        <v>2.0369999999999999</v>
      </c>
      <c r="F32" s="333">
        <v>0</v>
      </c>
    </row>
  </sheetData>
  <phoneticPr fontId="0" type="noConversion"/>
  <conditionalFormatting sqref="C5:R5">
    <cfRule type="expression" dxfId="15" priority="1" stopIfTrue="1">
      <formula>$B$5&gt;0</formula>
    </cfRule>
  </conditionalFormatting>
  <conditionalFormatting sqref="C6:R6">
    <cfRule type="expression" dxfId="14" priority="2" stopIfTrue="1">
      <formula>$B$6&gt;0</formula>
    </cfRule>
  </conditionalFormatting>
  <conditionalFormatting sqref="C7:R7">
    <cfRule type="expression" dxfId="13" priority="3" stopIfTrue="1">
      <formula>$B$7&gt;0</formula>
    </cfRule>
  </conditionalFormatting>
  <conditionalFormatting sqref="C8:R8">
    <cfRule type="expression" dxfId="12" priority="4" stopIfTrue="1">
      <formula>$B$8&gt;0</formula>
    </cfRule>
  </conditionalFormatting>
  <conditionalFormatting sqref="C9:R9">
    <cfRule type="expression" dxfId="11" priority="5" stopIfTrue="1">
      <formula>$B$9&gt;0</formula>
    </cfRule>
  </conditionalFormatting>
  <conditionalFormatting sqref="C10:R10">
    <cfRule type="expression" dxfId="10" priority="6" stopIfTrue="1">
      <formula>$B$10&gt;0</formula>
    </cfRule>
  </conditionalFormatting>
  <conditionalFormatting sqref="C12:R12">
    <cfRule type="expression" dxfId="9" priority="7" stopIfTrue="1">
      <formula>$B$12&gt;0</formula>
    </cfRule>
  </conditionalFormatting>
  <conditionalFormatting sqref="C13:R13">
    <cfRule type="expression" dxfId="8" priority="8" stopIfTrue="1">
      <formula>$B$13&gt;0</formula>
    </cfRule>
  </conditionalFormatting>
  <conditionalFormatting sqref="C14:R14">
    <cfRule type="expression" dxfId="7" priority="9" stopIfTrue="1">
      <formula>$B$14&gt;0</formula>
    </cfRule>
  </conditionalFormatting>
  <conditionalFormatting sqref="B4:R4 B5:B14">
    <cfRule type="expression" dxfId="6" priority="10" stopIfTrue="1">
      <formula>$B$4&gt;0</formula>
    </cfRule>
  </conditionalFormatting>
  <conditionalFormatting sqref="B15:R15">
    <cfRule type="expression" dxfId="5" priority="11" stopIfTrue="1">
      <formula>$B$15&gt;0</formula>
    </cfRule>
  </conditionalFormatting>
  <conditionalFormatting sqref="B18:K18">
    <cfRule type="expression" dxfId="4" priority="12" stopIfTrue="1">
      <formula>$B$18&gt;0</formula>
    </cfRule>
  </conditionalFormatting>
  <conditionalFormatting sqref="B19:K19">
    <cfRule type="expression" dxfId="3" priority="13" stopIfTrue="1">
      <formula>$B$19&gt;0</formula>
    </cfRule>
  </conditionalFormatting>
  <conditionalFormatting sqref="B20:K20">
    <cfRule type="expression" dxfId="2" priority="14" stopIfTrue="1">
      <formula>$B$20&gt;0</formula>
    </cfRule>
  </conditionalFormatting>
  <conditionalFormatting sqref="B21:K21">
    <cfRule type="expression" dxfId="1" priority="15" stopIfTrue="1">
      <formula>$B$21&gt;0</formula>
    </cfRule>
  </conditionalFormatting>
  <conditionalFormatting sqref="B22:K23">
    <cfRule type="expression" dxfId="0" priority="16" stopIfTrue="1">
      <formula>$B$23&gt;0</formula>
    </cfRule>
  </conditionalFormatting>
  <dataValidations count="1">
    <dataValidation type="decimal" operator="greaterThanOrEqual" allowBlank="1" showInputMessage="1" showErrorMessage="1" sqref="A32:F32 A28:C28 C4:Q15 C18:K23">
      <formula1>0</formula1>
    </dataValidation>
  </dataValidations>
  <pageMargins left="0.39370078740157483" right="0.19685039370078741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ModuleSostavShihtaPro.КнопкаПроектРавенБаза">
                <anchor moveWithCells="1" sizeWithCells="1">
                  <from>
                    <xdr:col>7</xdr:col>
                    <xdr:colOff>533400</xdr:colOff>
                    <xdr:row>25</xdr:row>
                    <xdr:rowOff>66675</xdr:rowOff>
                  </from>
                  <to>
                    <xdr:col>10</xdr:col>
                    <xdr:colOff>104775</xdr:colOff>
                    <xdr:row>28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G127"/>
  <sheetViews>
    <sheetView view="pageBreakPreview" topLeftCell="A28" zoomScale="85" zoomScaleNormal="85" zoomScaleSheetLayoutView="85" workbookViewId="0">
      <selection activeCell="A69" sqref="A69"/>
    </sheetView>
  </sheetViews>
  <sheetFormatPr defaultRowHeight="12.75" x14ac:dyDescent="0.2"/>
  <cols>
    <col min="1" max="1" width="51.140625" customWidth="1"/>
    <col min="2" max="2" width="17.85546875" customWidth="1"/>
    <col min="3" max="3" width="24" customWidth="1"/>
    <col min="4" max="4" width="14.140625" customWidth="1"/>
    <col min="6" max="6" width="13.85546875" customWidth="1"/>
  </cols>
  <sheetData>
    <row r="1" spans="1:3" x14ac:dyDescent="0.2">
      <c r="A1" s="590" t="s">
        <v>50</v>
      </c>
      <c r="B1" s="590" t="s">
        <v>51</v>
      </c>
      <c r="C1" s="590"/>
    </row>
    <row r="2" spans="1:3" x14ac:dyDescent="0.2">
      <c r="A2" s="590"/>
      <c r="B2" s="526" t="str">
        <f>'Исходные данные и результаты'!B2</f>
        <v>1.5.2012 (ДП-1)</v>
      </c>
      <c r="C2" s="525" t="s">
        <v>57</v>
      </c>
    </row>
    <row r="3" spans="1:3" x14ac:dyDescent="0.2">
      <c r="A3" s="527" t="s">
        <v>55</v>
      </c>
      <c r="B3" s="515">
        <f>'Исходные данные и результаты'!B3</f>
        <v>3517.26</v>
      </c>
      <c r="C3" s="533">
        <f>'Исходные данные и результаты'!C3</f>
        <v>3536.397264854344</v>
      </c>
    </row>
    <row r="4" spans="1:3" x14ac:dyDescent="0.2">
      <c r="A4" s="527" t="s">
        <v>460</v>
      </c>
      <c r="B4" s="515">
        <f>'Исходные данные и результаты'!B4</f>
        <v>329.45</v>
      </c>
      <c r="C4" s="533" t="str">
        <f>'Исходные данные и результаты'!C4</f>
        <v>н/д</v>
      </c>
    </row>
    <row r="5" spans="1:3" x14ac:dyDescent="0.2">
      <c r="A5" s="527" t="s">
        <v>701</v>
      </c>
      <c r="B5" s="533">
        <f>'Исходные данные и результаты'!B5</f>
        <v>318.75024690011929</v>
      </c>
      <c r="C5" s="533">
        <f>'Исходные данные и результаты'!C5</f>
        <v>308.50240644624989</v>
      </c>
    </row>
    <row r="6" spans="1:3" x14ac:dyDescent="0.2">
      <c r="A6" s="527" t="s">
        <v>635</v>
      </c>
      <c r="B6" s="515">
        <f>'Исходные данные и результаты'!B6</f>
        <v>24.5</v>
      </c>
      <c r="C6" s="533">
        <f>'Исходные данные и результаты'!C6</f>
        <v>24.5</v>
      </c>
    </row>
    <row r="7" spans="1:3" x14ac:dyDescent="0.2">
      <c r="A7" s="528" t="s">
        <v>63</v>
      </c>
      <c r="B7" s="515"/>
      <c r="C7" s="533"/>
    </row>
    <row r="8" spans="1:3" x14ac:dyDescent="0.2">
      <c r="A8" s="516" t="s">
        <v>66</v>
      </c>
      <c r="B8" s="515">
        <f>'Исходные данные и результаты'!B8</f>
        <v>2.57</v>
      </c>
      <c r="C8" s="532">
        <f>'Исходные данные и результаты'!C8</f>
        <v>2.57</v>
      </c>
    </row>
    <row r="9" spans="1:3" x14ac:dyDescent="0.2">
      <c r="A9" s="516" t="s">
        <v>702</v>
      </c>
      <c r="B9" s="515">
        <f>'Исходные данные и результаты'!B9</f>
        <v>1204</v>
      </c>
      <c r="C9" s="533">
        <f>'Исходные данные и результаты'!C9</f>
        <v>1204</v>
      </c>
    </row>
    <row r="10" spans="1:3" ht="14.25" x14ac:dyDescent="0.2">
      <c r="A10" s="516" t="s">
        <v>637</v>
      </c>
      <c r="B10" s="515">
        <f>'Исходные данные и результаты'!B10</f>
        <v>1.7</v>
      </c>
      <c r="C10" s="533">
        <f>'Исходные данные и результаты'!C10</f>
        <v>1.7</v>
      </c>
    </row>
    <row r="11" spans="1:3" x14ac:dyDescent="0.2">
      <c r="A11" s="516" t="s">
        <v>67</v>
      </c>
      <c r="B11" s="515">
        <f>'Исходные данные и результаты'!B11</f>
        <v>25.99</v>
      </c>
      <c r="C11" s="532">
        <f>'Исходные данные и результаты'!C11</f>
        <v>25.99</v>
      </c>
    </row>
    <row r="12" spans="1:3" ht="14.25" x14ac:dyDescent="0.2">
      <c r="A12" s="527" t="s">
        <v>704</v>
      </c>
      <c r="B12" s="515">
        <f>'Исходные данные и результаты'!B12</f>
        <v>92</v>
      </c>
      <c r="C12" s="533">
        <f>'Исходные данные и результаты'!C12</f>
        <v>92</v>
      </c>
    </row>
    <row r="13" spans="1:3" x14ac:dyDescent="0.2">
      <c r="A13" s="528" t="s">
        <v>70</v>
      </c>
      <c r="B13" s="515"/>
      <c r="C13" s="533"/>
    </row>
    <row r="14" spans="1:3" x14ac:dyDescent="0.2">
      <c r="A14" s="517" t="s">
        <v>71</v>
      </c>
      <c r="B14" s="515">
        <f>'Исходные данные и результаты'!B14</f>
        <v>0.8</v>
      </c>
      <c r="C14" s="531">
        <f>'Исходные данные и результаты'!C14</f>
        <v>0.8</v>
      </c>
    </row>
    <row r="15" spans="1:3" x14ac:dyDescent="0.2">
      <c r="A15" s="517" t="s">
        <v>11</v>
      </c>
      <c r="B15" s="515">
        <f>'Исходные данные и результаты'!B15</f>
        <v>1.9E-2</v>
      </c>
      <c r="C15" s="531">
        <f>'Исходные данные и результаты'!C15</f>
        <v>1.9069990455539643E-2</v>
      </c>
    </row>
    <row r="16" spans="1:3" x14ac:dyDescent="0.2">
      <c r="A16" s="517" t="s">
        <v>72</v>
      </c>
      <c r="B16" s="515">
        <f>'Исходные данные и результаты'!B16</f>
        <v>0.31900000000000001</v>
      </c>
      <c r="C16" s="531">
        <f>'Исходные данные и результаты'!C16</f>
        <v>0.31900000000000001</v>
      </c>
    </row>
    <row r="17" spans="1:3" x14ac:dyDescent="0.2">
      <c r="A17" s="517" t="s">
        <v>18</v>
      </c>
      <c r="B17" s="515">
        <f>'Исходные данные и результаты'!B17</f>
        <v>4.673</v>
      </c>
      <c r="C17" s="531">
        <f>'Исходные данные и результаты'!C17</f>
        <v>4.673</v>
      </c>
    </row>
    <row r="18" spans="1:3" x14ac:dyDescent="0.2">
      <c r="A18" s="517" t="s">
        <v>10</v>
      </c>
      <c r="B18" s="515">
        <f>'Исходные данные и результаты'!B18</f>
        <v>6.3E-2</v>
      </c>
      <c r="C18" s="531">
        <f>'Исходные данные и результаты'!C18</f>
        <v>6.3E-2</v>
      </c>
    </row>
    <row r="19" spans="1:3" x14ac:dyDescent="0.2">
      <c r="A19" s="517" t="s">
        <v>559</v>
      </c>
      <c r="B19" s="531">
        <f>'Исходные данные и результаты'!B19</f>
        <v>8.6999999999999994E-2</v>
      </c>
      <c r="C19" s="531">
        <f>'Исходные данные и результаты'!C19</f>
        <v>8.6834197064196872E-2</v>
      </c>
    </row>
    <row r="20" spans="1:3" x14ac:dyDescent="0.2">
      <c r="A20" s="591" t="s">
        <v>74</v>
      </c>
      <c r="B20" s="591"/>
      <c r="C20" s="591"/>
    </row>
    <row r="21" spans="1:3" x14ac:dyDescent="0.2">
      <c r="A21" s="518" t="s">
        <v>8</v>
      </c>
      <c r="B21" s="532">
        <f>'Исходные данные и результаты'!B21</f>
        <v>37.57</v>
      </c>
      <c r="C21" s="532">
        <f>'Исходные данные и результаты'!C21</f>
        <v>36.930450887031938</v>
      </c>
    </row>
    <row r="22" spans="1:3" ht="15.75" x14ac:dyDescent="0.3">
      <c r="A22" s="517" t="s">
        <v>639</v>
      </c>
      <c r="B22" s="532">
        <f>'Исходные данные и результаты'!B22</f>
        <v>37.85</v>
      </c>
      <c r="C22" s="532">
        <f>'Исходные данные и результаты'!C22</f>
        <v>36.75374827258797</v>
      </c>
    </row>
    <row r="23" spans="1:3" ht="15.75" x14ac:dyDescent="0.3">
      <c r="A23" s="517" t="s">
        <v>703</v>
      </c>
      <c r="B23" s="532">
        <f>'Исходные данные и результаты'!B23</f>
        <v>11.05</v>
      </c>
      <c r="C23" s="532">
        <f>'Исходные данные и результаты'!C23</f>
        <v>12.967515306414976</v>
      </c>
    </row>
    <row r="24" spans="1:3" x14ac:dyDescent="0.2">
      <c r="A24" s="517" t="s">
        <v>9</v>
      </c>
      <c r="B24" s="532">
        <f>'Исходные данные и результаты'!B24</f>
        <v>9.01</v>
      </c>
      <c r="C24" s="532">
        <f>'Исходные данные и результаты'!C24</f>
        <v>9.1590619531119692</v>
      </c>
    </row>
    <row r="25" spans="1:3" x14ac:dyDescent="0.2">
      <c r="A25" s="517" t="s">
        <v>11</v>
      </c>
      <c r="B25" s="532">
        <f>'Исходные данные и результаты'!B25</f>
        <v>0.72</v>
      </c>
      <c r="C25" s="532">
        <f>'Исходные данные и результаты'!C25</f>
        <v>0.75668821317549784</v>
      </c>
    </row>
    <row r="26" spans="1:3" ht="15.75" x14ac:dyDescent="0.3">
      <c r="A26" s="517" t="s">
        <v>641</v>
      </c>
      <c r="B26" s="532">
        <f>'Исходные данные и результаты'!B26</f>
        <v>1.05</v>
      </c>
      <c r="C26" s="532">
        <f>'Исходные данные и результаты'!C26</f>
        <v>1.0824650732640242</v>
      </c>
    </row>
    <row r="27" spans="1:3" ht="15.75" x14ac:dyDescent="0.3">
      <c r="A27" s="519" t="s">
        <v>642</v>
      </c>
      <c r="B27" s="531">
        <f>B21/B22</f>
        <v>0.99260237780713334</v>
      </c>
      <c r="C27" s="531">
        <f>C21/C22</f>
        <v>1.0048077440464966</v>
      </c>
    </row>
    <row r="28" spans="1:3" x14ac:dyDescent="0.2">
      <c r="A28" s="592" t="s">
        <v>76</v>
      </c>
      <c r="B28" s="593"/>
      <c r="C28" s="594"/>
    </row>
    <row r="29" spans="1:3" x14ac:dyDescent="0.2">
      <c r="A29" s="516" t="s">
        <v>471</v>
      </c>
      <c r="B29" s="520">
        <f>'Исходные данные и результаты'!B29</f>
        <v>86.87</v>
      </c>
      <c r="C29" s="520" t="str">
        <f>'Исходные данные и результаты'!C29</f>
        <v>не определяются</v>
      </c>
    </row>
    <row r="30" spans="1:3" x14ac:dyDescent="0.2">
      <c r="A30" s="516" t="s">
        <v>470</v>
      </c>
      <c r="B30" s="520">
        <f>'Исходные данные и результаты'!B30</f>
        <v>0</v>
      </c>
      <c r="C30" s="520" t="str">
        <f>'Исходные данные и результаты'!C30</f>
        <v>не определяются</v>
      </c>
    </row>
    <row r="31" spans="1:3" x14ac:dyDescent="0.2">
      <c r="A31" s="516" t="s">
        <v>78</v>
      </c>
      <c r="B31" s="520">
        <f>'Исходные данные и результаты'!B31</f>
        <v>836.71</v>
      </c>
      <c r="C31" s="520" t="str">
        <f>'Исходные данные и результаты'!C31</f>
        <v>не определяются</v>
      </c>
    </row>
    <row r="32" spans="1:3" x14ac:dyDescent="0.2">
      <c r="A32" s="516" t="s">
        <v>476</v>
      </c>
      <c r="B32" s="520">
        <f>'Исходные данные и результаты'!B32</f>
        <v>4.83</v>
      </c>
      <c r="C32" s="520" t="str">
        <f>'Исходные данные и результаты'!C32</f>
        <v>не определяются</v>
      </c>
    </row>
    <row r="33" spans="1:3" x14ac:dyDescent="0.2">
      <c r="A33" s="516" t="s">
        <v>79</v>
      </c>
      <c r="B33" s="520">
        <f>'Исходные данные и результаты'!B34</f>
        <v>1016.8900000000001</v>
      </c>
      <c r="C33" s="520">
        <f>'Исходные данные и результаты'!C34</f>
        <v>1011.4713247297539</v>
      </c>
    </row>
    <row r="34" spans="1:3" x14ac:dyDescent="0.2">
      <c r="A34" s="516" t="s">
        <v>80</v>
      </c>
      <c r="B34" s="520">
        <f>'Исходные данные и результаты'!B35</f>
        <v>366.15</v>
      </c>
      <c r="C34" s="520">
        <f>'Исходные данные и результаты'!C35</f>
        <v>364.14954863797129</v>
      </c>
    </row>
    <row r="35" spans="1:3" x14ac:dyDescent="0.2">
      <c r="A35" s="516" t="s">
        <v>81</v>
      </c>
      <c r="B35" s="520">
        <f>'Исходные данные и результаты'!B36</f>
        <v>0</v>
      </c>
      <c r="C35" s="520">
        <f>'Исходные данные и результаты'!C36</f>
        <v>0</v>
      </c>
    </row>
    <row r="36" spans="1:3" x14ac:dyDescent="0.2">
      <c r="A36" s="516" t="s">
        <v>82</v>
      </c>
      <c r="B36" s="520">
        <f>'Исходные данные и результаты'!B37</f>
        <v>36.71</v>
      </c>
      <c r="C36" s="520">
        <f>'Исходные данные и результаты'!C37</f>
        <v>36.431514643180392</v>
      </c>
    </row>
    <row r="37" spans="1:3" x14ac:dyDescent="0.2">
      <c r="A37" s="516" t="s">
        <v>83</v>
      </c>
      <c r="B37" s="520">
        <f>'Исходные данные и результаты'!B38</f>
        <v>206.81</v>
      </c>
      <c r="C37" s="520">
        <f>'Исходные данные и результаты'!C38</f>
        <v>205.67245994013658</v>
      </c>
    </row>
    <row r="38" spans="1:3" x14ac:dyDescent="0.2">
      <c r="A38" s="516" t="s">
        <v>240</v>
      </c>
      <c r="B38" s="520">
        <f>'Исходные данные и результаты'!B39</f>
        <v>0</v>
      </c>
      <c r="C38" s="520">
        <f>'Исходные данные и результаты'!C39</f>
        <v>0</v>
      </c>
    </row>
    <row r="39" spans="1:3" x14ac:dyDescent="0.2">
      <c r="A39" s="516" t="s">
        <v>84</v>
      </c>
      <c r="B39" s="520">
        <f>'Исходные данные и результаты'!B40</f>
        <v>38.32</v>
      </c>
      <c r="C39" s="520">
        <f>'Исходные данные и результаты'!C40</f>
        <v>38.087492581506773</v>
      </c>
    </row>
    <row r="40" spans="1:3" x14ac:dyDescent="0.2">
      <c r="A40" s="516" t="s">
        <v>85</v>
      </c>
      <c r="B40" s="520">
        <f>'Исходные данные и результаты'!B41</f>
        <v>0</v>
      </c>
      <c r="C40" s="520">
        <f>'Исходные данные и результаты'!C41</f>
        <v>0</v>
      </c>
    </row>
    <row r="41" spans="1:3" x14ac:dyDescent="0.2">
      <c r="A41" s="516" t="s">
        <v>461</v>
      </c>
      <c r="B41" s="520">
        <f>'Исходные данные и результаты'!B42</f>
        <v>0</v>
      </c>
      <c r="C41" s="520">
        <f>'Исходные данные и результаты'!C42</f>
        <v>0</v>
      </c>
    </row>
    <row r="42" spans="1:3" x14ac:dyDescent="0.2">
      <c r="A42" s="516" t="s">
        <v>462</v>
      </c>
      <c r="B42" s="520">
        <f>'Исходные данные и результаты'!B43</f>
        <v>0</v>
      </c>
      <c r="C42" s="520">
        <f>'Исходные данные и результаты'!C43</f>
        <v>0</v>
      </c>
    </row>
    <row r="43" spans="1:3" x14ac:dyDescent="0.2">
      <c r="A43" s="516" t="s">
        <v>475</v>
      </c>
      <c r="B43" s="520">
        <f>'Исходные данные и результаты'!B44</f>
        <v>0</v>
      </c>
      <c r="C43" s="520">
        <f>'Исходные данные и результаты'!C44</f>
        <v>0</v>
      </c>
    </row>
    <row r="44" spans="1:3" x14ac:dyDescent="0.2">
      <c r="A44" s="529" t="s">
        <v>560</v>
      </c>
      <c r="B44" s="520">
        <f>'Исходные данные и результаты'!B47</f>
        <v>1664.8799999999999</v>
      </c>
      <c r="C44" s="520">
        <f>'Исходные данные и результаты'!C47</f>
        <v>1655.9779383263815</v>
      </c>
    </row>
    <row r="45" spans="1:3" x14ac:dyDescent="0.2">
      <c r="A45" s="595" t="s">
        <v>86</v>
      </c>
      <c r="B45" s="596"/>
      <c r="C45" s="597"/>
    </row>
    <row r="46" spans="1:3" x14ac:dyDescent="0.2">
      <c r="A46" s="516" t="s">
        <v>471</v>
      </c>
      <c r="B46" s="521">
        <f>'Исходные данные и результаты'!B49</f>
        <v>5.2177934746047767E-2</v>
      </c>
      <c r="C46" s="521" t="str">
        <f>'Исходные данные и результаты'!C49</f>
        <v>не определяются</v>
      </c>
    </row>
    <row r="47" spans="1:3" x14ac:dyDescent="0.2">
      <c r="A47" s="516" t="s">
        <v>470</v>
      </c>
      <c r="B47" s="521">
        <f>'Исходные данные и результаты'!B50</f>
        <v>0</v>
      </c>
      <c r="C47" s="521" t="str">
        <f>'Исходные данные и результаты'!C50</f>
        <v>не определяются</v>
      </c>
    </row>
    <row r="48" spans="1:3" x14ac:dyDescent="0.2">
      <c r="A48" s="516" t="s">
        <v>78</v>
      </c>
      <c r="B48" s="521">
        <f>'Исходные данные и результаты'!B51</f>
        <v>0.50256474941136908</v>
      </c>
      <c r="C48" s="521" t="str">
        <f>'Исходные данные и результаты'!C51</f>
        <v>не определяются</v>
      </c>
    </row>
    <row r="49" spans="1:3" x14ac:dyDescent="0.2">
      <c r="A49" s="516" t="s">
        <v>476</v>
      </c>
      <c r="B49" s="521">
        <f>'Исходные данные и результаты'!B52</f>
        <v>2.9011099899091831E-3</v>
      </c>
      <c r="C49" s="521" t="str">
        <f>'Исходные данные и результаты'!C52</f>
        <v>не определяются</v>
      </c>
    </row>
    <row r="50" spans="1:3" x14ac:dyDescent="0.2">
      <c r="A50" s="514" t="s">
        <v>87</v>
      </c>
      <c r="B50" s="521">
        <f>'Исходные данные и результаты'!B54</f>
        <v>0.61078876555667683</v>
      </c>
      <c r="C50" s="521">
        <f>'Исходные данные и результаты'!C54</f>
        <v>0.61080000000000001</v>
      </c>
    </row>
    <row r="51" spans="1:3" x14ac:dyDescent="0.2">
      <c r="A51" s="516" t="s">
        <v>80</v>
      </c>
      <c r="B51" s="521">
        <f>'Исходные данные и результаты'!B55</f>
        <v>0.21992576041516507</v>
      </c>
      <c r="C51" s="521">
        <f>'Исходные данные и результаты'!C55</f>
        <v>0.21990000000000001</v>
      </c>
    </row>
    <row r="52" spans="1:3" x14ac:dyDescent="0.2">
      <c r="A52" s="516" t="s">
        <v>81</v>
      </c>
      <c r="B52" s="521">
        <f>'Исходные данные и результаты'!B56</f>
        <v>0</v>
      </c>
      <c r="C52" s="521">
        <f>'Исходные данные и результаты'!C56</f>
        <v>0</v>
      </c>
    </row>
    <row r="53" spans="1:3" x14ac:dyDescent="0.2">
      <c r="A53" s="516" t="s">
        <v>82</v>
      </c>
      <c r="B53" s="521">
        <f>'Исходные данные и результаты'!B57</f>
        <v>2.2049637211090291E-2</v>
      </c>
      <c r="C53" s="521">
        <f>'Исходные данные и результаты'!C57</f>
        <v>2.1999999999999999E-2</v>
      </c>
    </row>
    <row r="54" spans="1:3" x14ac:dyDescent="0.2">
      <c r="A54" s="516" t="s">
        <v>83</v>
      </c>
      <c r="B54" s="521">
        <f>'Исходные данные и результаты'!B58</f>
        <v>0.12421916294267456</v>
      </c>
      <c r="C54" s="521">
        <f>'Исходные данные и результаты'!C58</f>
        <v>0.1242</v>
      </c>
    </row>
    <row r="55" spans="1:3" x14ac:dyDescent="0.2">
      <c r="A55" s="516" t="s">
        <v>240</v>
      </c>
      <c r="B55" s="521">
        <f>'Исходные данные и результаты'!B59</f>
        <v>0</v>
      </c>
      <c r="C55" s="521">
        <f>'Исходные данные и результаты'!C59</f>
        <v>0</v>
      </c>
    </row>
    <row r="56" spans="1:3" x14ac:dyDescent="0.2">
      <c r="A56" s="516" t="s">
        <v>84</v>
      </c>
      <c r="B56" s="521">
        <f>'Исходные данные и результаты'!B60</f>
        <v>2.3016673874393351E-2</v>
      </c>
      <c r="C56" s="521">
        <f>'Исходные данные и результаты'!C60</f>
        <v>2.3E-2</v>
      </c>
    </row>
    <row r="57" spans="1:3" x14ac:dyDescent="0.2">
      <c r="A57" s="516" t="s">
        <v>85</v>
      </c>
      <c r="B57" s="521">
        <f>'Исходные данные и результаты'!B61</f>
        <v>0</v>
      </c>
      <c r="C57" s="521">
        <f>'Исходные данные и результаты'!C61</f>
        <v>0</v>
      </c>
    </row>
    <row r="58" spans="1:3" x14ac:dyDescent="0.2">
      <c r="A58" s="516" t="s">
        <v>461</v>
      </c>
      <c r="B58" s="521">
        <f>'Исходные данные и результаты'!B62</f>
        <v>0</v>
      </c>
      <c r="C58" s="521">
        <f>'Исходные данные и результаты'!C62</f>
        <v>0</v>
      </c>
    </row>
    <row r="59" spans="1:3" x14ac:dyDescent="0.2">
      <c r="A59" s="516" t="s">
        <v>462</v>
      </c>
      <c r="B59" s="521">
        <f>'Исходные данные и результаты'!B63</f>
        <v>0</v>
      </c>
      <c r="C59" s="521">
        <f>'Исходные данные и результаты'!C63</f>
        <v>0</v>
      </c>
    </row>
    <row r="60" spans="1:3" x14ac:dyDescent="0.2">
      <c r="A60" s="516" t="s">
        <v>475</v>
      </c>
      <c r="B60" s="521">
        <f>'Исходные данные и результаты'!B64</f>
        <v>0</v>
      </c>
      <c r="C60" s="521">
        <f>'Исходные данные и результаты'!C64</f>
        <v>0</v>
      </c>
    </row>
    <row r="61" spans="1:3" x14ac:dyDescent="0.2">
      <c r="A61" s="524" t="s">
        <v>91</v>
      </c>
      <c r="B61" s="521">
        <f>'Исходные данные и результаты'!B67</f>
        <v>1.0000000000000002</v>
      </c>
      <c r="C61" s="521">
        <f>'Исходные данные и результаты'!C67</f>
        <v>0.99990000000000001</v>
      </c>
    </row>
    <row r="62" spans="1:3" x14ac:dyDescent="0.2">
      <c r="A62" s="595" t="s">
        <v>445</v>
      </c>
      <c r="B62" s="596"/>
      <c r="C62" s="597"/>
    </row>
    <row r="63" spans="1:3" x14ac:dyDescent="0.2">
      <c r="A63" s="516" t="s">
        <v>92</v>
      </c>
      <c r="B63" s="522">
        <f>'Исходные данные и результаты'!B69</f>
        <v>0</v>
      </c>
      <c r="C63" s="522">
        <f>'Исходные данные и результаты'!C69</f>
        <v>0</v>
      </c>
    </row>
    <row r="64" spans="1:3" x14ac:dyDescent="0.2">
      <c r="A64" s="516" t="s">
        <v>241</v>
      </c>
      <c r="B64" s="522">
        <f>'Исходные данные и результаты'!B70</f>
        <v>0</v>
      </c>
      <c r="C64" s="522">
        <f>'Исходные данные и результаты'!C70</f>
        <v>0</v>
      </c>
    </row>
    <row r="65" spans="1:4" x14ac:dyDescent="0.2">
      <c r="A65" s="516" t="s">
        <v>446</v>
      </c>
      <c r="B65" s="522">
        <f>'Исходные данные и результаты'!B71</f>
        <v>6.74</v>
      </c>
      <c r="C65" s="522">
        <f>'Исходные данные и результаты'!C71</f>
        <v>6.74</v>
      </c>
    </row>
    <row r="66" spans="1:4" x14ac:dyDescent="0.2">
      <c r="A66" s="516" t="s">
        <v>93</v>
      </c>
      <c r="B66" s="522">
        <f>'Исходные данные и результаты'!B72</f>
        <v>0</v>
      </c>
      <c r="C66" s="522">
        <f>'Исходные данные и результаты'!C72</f>
        <v>0</v>
      </c>
    </row>
    <row r="67" spans="1:4" x14ac:dyDescent="0.2">
      <c r="A67" s="516" t="s">
        <v>475</v>
      </c>
      <c r="B67" s="522">
        <f>'Исходные данные и результаты'!B73</f>
        <v>0</v>
      </c>
      <c r="C67" s="522">
        <f>'Исходные данные и результаты'!C73</f>
        <v>0</v>
      </c>
    </row>
    <row r="68" spans="1:4" x14ac:dyDescent="0.2">
      <c r="A68" s="524" t="s">
        <v>724</v>
      </c>
      <c r="B68" s="522">
        <f>'Исходные данные и результаты'!B74</f>
        <v>416.85500000000002</v>
      </c>
      <c r="C68" s="522">
        <f>'Исходные данные и результаты'!C74</f>
        <v>415.52082902585983</v>
      </c>
    </row>
    <row r="69" spans="1:4" x14ac:dyDescent="0.2">
      <c r="A69" s="524" t="s">
        <v>705</v>
      </c>
      <c r="B69" s="534">
        <f>'Исходные данные и результаты'!B75</f>
        <v>1470</v>
      </c>
      <c r="C69" s="534">
        <f>'Исходные данные и результаты'!C75</f>
        <v>1470</v>
      </c>
    </row>
    <row r="70" spans="1:4" x14ac:dyDescent="0.2">
      <c r="A70" s="527" t="s">
        <v>463</v>
      </c>
      <c r="B70" s="522">
        <f>'Исходные данные и результаты'!B76</f>
        <v>58.267282326654183</v>
      </c>
      <c r="C70" s="522">
        <f>'Исходные данные и результаты'!C76</f>
        <v>58.587338694969354</v>
      </c>
    </row>
    <row r="71" spans="1:4" x14ac:dyDescent="0.2">
      <c r="A71" s="527" t="s">
        <v>644</v>
      </c>
      <c r="B71" s="522">
        <f>'Исходные данные и результаты'!B78</f>
        <v>324.5748217835428</v>
      </c>
      <c r="C71" s="522">
        <f>'Исходные данные и результаты'!C78</f>
        <v>314.24022295337301</v>
      </c>
    </row>
    <row r="72" spans="1:4" s="356" customFormat="1" x14ac:dyDescent="0.2">
      <c r="A72" s="460" t="s">
        <v>276</v>
      </c>
      <c r="B72" s="460"/>
      <c r="C72" s="460"/>
      <c r="D72" s="460"/>
    </row>
    <row r="73" spans="1:4" x14ac:dyDescent="0.2">
      <c r="A73" s="527" t="s">
        <v>275</v>
      </c>
      <c r="B73" s="525" t="s">
        <v>56</v>
      </c>
      <c r="C73" s="525" t="s">
        <v>57</v>
      </c>
      <c r="D73" s="536"/>
    </row>
    <row r="74" spans="1:4" x14ac:dyDescent="0.2">
      <c r="A74" s="523" t="s">
        <v>272</v>
      </c>
      <c r="B74" s="522">
        <f>'Исходные данные и результаты'!B86</f>
        <v>86.74</v>
      </c>
      <c r="C74" s="522">
        <f>'Исходные данные и результаты'!B92</f>
        <v>86.74</v>
      </c>
      <c r="D74" s="536"/>
    </row>
    <row r="75" spans="1:4" x14ac:dyDescent="0.2">
      <c r="A75" s="523" t="s">
        <v>273</v>
      </c>
      <c r="B75" s="522">
        <f>'Исходные данные и результаты'!B87</f>
        <v>8.65</v>
      </c>
      <c r="C75" s="522">
        <f>'Исходные данные и результаты'!B93</f>
        <v>8.65</v>
      </c>
      <c r="D75" s="536"/>
    </row>
    <row r="76" spans="1:4" x14ac:dyDescent="0.2">
      <c r="A76" s="523" t="s">
        <v>645</v>
      </c>
      <c r="B76" s="563" t="s">
        <v>723</v>
      </c>
      <c r="C76" s="563" t="s">
        <v>723</v>
      </c>
      <c r="D76" s="536"/>
    </row>
    <row r="77" spans="1:4" x14ac:dyDescent="0.2">
      <c r="A77" s="523" t="s">
        <v>646</v>
      </c>
      <c r="B77" s="563" t="s">
        <v>723</v>
      </c>
      <c r="C77" s="563" t="s">
        <v>723</v>
      </c>
      <c r="D77" s="536"/>
    </row>
    <row r="78" spans="1:4" x14ac:dyDescent="0.2">
      <c r="A78" s="562" t="s">
        <v>52</v>
      </c>
      <c r="B78" s="537"/>
      <c r="C78" s="536"/>
      <c r="D78" s="37"/>
    </row>
    <row r="79" spans="1:4" x14ac:dyDescent="0.2">
      <c r="A79" s="589" t="s">
        <v>53</v>
      </c>
      <c r="B79" s="590" t="s">
        <v>54</v>
      </c>
      <c r="C79" s="590"/>
      <c r="D79" s="527"/>
    </row>
    <row r="80" spans="1:4" x14ac:dyDescent="0.2">
      <c r="A80" s="589"/>
      <c r="B80" s="525" t="s">
        <v>56</v>
      </c>
      <c r="C80" s="525" t="s">
        <v>57</v>
      </c>
      <c r="D80" s="525" t="s">
        <v>58</v>
      </c>
    </row>
    <row r="81" spans="1:4" x14ac:dyDescent="0.2">
      <c r="A81" s="527" t="s">
        <v>60</v>
      </c>
      <c r="B81" s="520"/>
      <c r="C81" s="538"/>
      <c r="D81" s="527"/>
    </row>
    <row r="82" spans="1:4" ht="15.75" x14ac:dyDescent="0.3">
      <c r="A82" s="530" t="s">
        <v>642</v>
      </c>
      <c r="B82" s="535">
        <f>'Исходные данные и результаты'!G5</f>
        <v>0.99260237780713334</v>
      </c>
      <c r="C82" s="535">
        <f>'Исходные данные и результаты'!H5</f>
        <v>1.0048077440464966</v>
      </c>
      <c r="D82" s="535">
        <f>'Исходные данные и результаты'!I5</f>
        <v>1.2205366239363302E-2</v>
      </c>
    </row>
    <row r="83" spans="1:4" ht="15.75" x14ac:dyDescent="0.3">
      <c r="A83" s="530" t="s">
        <v>706</v>
      </c>
      <c r="B83" s="535">
        <f>'Исходные данные и результаты'!G6</f>
        <v>1.2306472919418758</v>
      </c>
      <c r="C83" s="535">
        <f>'Исходные данные и результаты'!H6</f>
        <v>1.2540085027060717</v>
      </c>
      <c r="D83" s="535">
        <f>'Исходные данные и результаты'!I6</f>
        <v>2.3361210764195839E-2</v>
      </c>
    </row>
    <row r="84" spans="1:4" ht="15.75" x14ac:dyDescent="0.3">
      <c r="A84" s="530" t="s">
        <v>707</v>
      </c>
      <c r="B84" s="535">
        <f>'Исходные данные и результаты'!G7</f>
        <v>0.95255623721881377</v>
      </c>
      <c r="C84" s="535">
        <f>'Исходные данные и результаты'!H7</f>
        <v>0.92695779476544304</v>
      </c>
      <c r="D84" s="535">
        <f>'Исходные данные и результаты'!I7</f>
        <v>-2.5598442453370729E-2</v>
      </c>
    </row>
    <row r="85" spans="1:4" x14ac:dyDescent="0.2">
      <c r="A85" s="530" t="s">
        <v>623</v>
      </c>
      <c r="B85" s="535">
        <f>'Исходные данные и результаты'!G8</f>
        <v>1.1806317827033046</v>
      </c>
      <c r="C85" s="535">
        <f>'Исходные данные и результаты'!H8</f>
        <v>1.1939326321594093</v>
      </c>
      <c r="D85" s="535">
        <f>'Исходные данные и результаты'!I8</f>
        <v>1.3300849456104658E-2</v>
      </c>
    </row>
    <row r="86" spans="1:4" x14ac:dyDescent="0.2">
      <c r="A86" s="527" t="s">
        <v>708</v>
      </c>
      <c r="B86" s="535">
        <f>'Исходные данные и результаты'!G9</f>
        <v>1527.6</v>
      </c>
      <c r="C86" s="535">
        <f>'Исходные данные и результаты'!H9</f>
        <v>1527.6</v>
      </c>
      <c r="D86" s="535">
        <f>'Исходные данные и результаты'!I9</f>
        <v>0</v>
      </c>
    </row>
    <row r="87" spans="1:4" x14ac:dyDescent="0.2">
      <c r="A87" s="527" t="s">
        <v>709</v>
      </c>
      <c r="B87" s="535">
        <f>'Исходные данные и результаты'!G10</f>
        <v>1321.3345150315538</v>
      </c>
      <c r="C87" s="535">
        <f>'Исходные данные и результаты'!H10</f>
        <v>1315.9860354649315</v>
      </c>
      <c r="D87" s="535">
        <f>'Исходные данные и результаты'!I10</f>
        <v>-5.3484795666222453</v>
      </c>
    </row>
    <row r="88" spans="1:4" x14ac:dyDescent="0.2">
      <c r="A88" s="527" t="s">
        <v>68</v>
      </c>
      <c r="B88" s="535">
        <f>'Исходные данные и результаты'!G11</f>
        <v>0</v>
      </c>
      <c r="C88" s="535">
        <f>'Исходные данные и результаты'!H11</f>
        <v>0</v>
      </c>
      <c r="D88" s="535">
        <f>'Исходные данные и результаты'!I11</f>
        <v>0</v>
      </c>
    </row>
    <row r="89" spans="1:4" x14ac:dyDescent="0.2">
      <c r="A89" s="530" t="s">
        <v>69</v>
      </c>
      <c r="B89" s="535">
        <f>'Исходные данные и результаты'!G12</f>
        <v>2.6747251112974917</v>
      </c>
      <c r="C89" s="535">
        <f>'Исходные данные и результаты'!H12</f>
        <v>2.9950355868012957</v>
      </c>
      <c r="D89" s="535">
        <f>'Исходные данные и результаты'!I12</f>
        <v>0.32031047550380398</v>
      </c>
    </row>
    <row r="90" spans="1:4" x14ac:dyDescent="0.2">
      <c r="A90" s="530" t="s">
        <v>710</v>
      </c>
      <c r="B90" s="535">
        <f>'Исходные данные и результаты'!G13</f>
        <v>7.7541650886555962</v>
      </c>
      <c r="C90" s="535">
        <f>'Исходные данные и результаты'!H13</f>
        <v>8.1612113920771989</v>
      </c>
      <c r="D90" s="535">
        <f>'Исходные данные и результаты'!I13</f>
        <v>0.40704630342160275</v>
      </c>
    </row>
    <row r="91" spans="1:4" x14ac:dyDescent="0.2">
      <c r="A91" s="530" t="s">
        <v>711</v>
      </c>
      <c r="B91" s="535">
        <f>'Исходные данные и результаты'!G14</f>
        <v>4.6492989115507202</v>
      </c>
      <c r="C91" s="535">
        <f>'Исходные данные и результаты'!H14</f>
        <v>5.0932027711492323</v>
      </c>
      <c r="D91" s="535">
        <f>'Исходные данные и результаты'!I14</f>
        <v>0.44390385959851208</v>
      </c>
    </row>
    <row r="92" spans="1:4" x14ac:dyDescent="0.2">
      <c r="A92" s="530" t="s">
        <v>712</v>
      </c>
      <c r="B92" s="535">
        <f>'Исходные данные и результаты'!G15</f>
        <v>3.1675086091472906</v>
      </c>
      <c r="C92" s="535">
        <f>'Исходные данные и результаты'!H15</f>
        <v>3.5335686630809051</v>
      </c>
      <c r="D92" s="535">
        <f>'Исходные данные и результаты'!I15</f>
        <v>0.36606005393361452</v>
      </c>
    </row>
    <row r="93" spans="1:4" x14ac:dyDescent="0.2">
      <c r="A93" s="530" t="s">
        <v>713</v>
      </c>
      <c r="B93" s="535">
        <f>'Исходные данные и результаты'!G16</f>
        <v>2.3750420427765384</v>
      </c>
      <c r="C93" s="535">
        <f>'Исходные данные и результаты'!H16</f>
        <v>2.6613050195154915</v>
      </c>
      <c r="D93" s="535">
        <f>'Исходные данные и результаты'!I16</f>
        <v>0.28626297673895307</v>
      </c>
    </row>
    <row r="94" spans="1:4" x14ac:dyDescent="0.2">
      <c r="A94" s="524" t="s">
        <v>633</v>
      </c>
      <c r="B94" s="535">
        <f>'Исходные данные и результаты'!G17</f>
        <v>2.3801743142585519</v>
      </c>
      <c r="C94" s="535">
        <f>'Исходные данные и результаты'!H17</f>
        <v>2.4361988188797872</v>
      </c>
      <c r="D94" s="535">
        <f>'Исходные данные и результаты'!I17</f>
        <v>5.6024504621235316E-2</v>
      </c>
    </row>
    <row r="95" spans="1:4" x14ac:dyDescent="0.2">
      <c r="A95" s="524" t="s">
        <v>480</v>
      </c>
      <c r="B95" s="535">
        <f>'Исходные данные и результаты'!G18</f>
        <v>5.4277434139117906</v>
      </c>
      <c r="C95" s="535">
        <f>'Исходные данные и результаты'!H18</f>
        <v>5.4277434139117906</v>
      </c>
      <c r="D95" s="535">
        <f>'Исходные данные и результаты'!I18</f>
        <v>0</v>
      </c>
    </row>
    <row r="96" spans="1:4" x14ac:dyDescent="0.2">
      <c r="A96" s="524" t="s">
        <v>73</v>
      </c>
      <c r="B96" s="535">
        <f>'Исходные данные и результаты'!G19</f>
        <v>1.2816652338029861</v>
      </c>
      <c r="C96" s="535">
        <f>'Исходные данные и результаты'!H19</f>
        <v>1.2809677280703013</v>
      </c>
      <c r="D96" s="535">
        <f>'Исходные данные и результаты'!I19</f>
        <v>-6.9750573268478888E-4</v>
      </c>
    </row>
    <row r="97" spans="1:7" x14ac:dyDescent="0.2">
      <c r="A97" s="524" t="s">
        <v>230</v>
      </c>
      <c r="B97" s="535">
        <f>'Исходные данные и результаты'!G20</f>
        <v>37.89473684210526</v>
      </c>
      <c r="C97" s="535">
        <f>'Исходные данные и результаты'!H20</f>
        <v>39.92771543895887</v>
      </c>
      <c r="D97" s="535">
        <f>'Исходные данные и результаты'!I20</f>
        <v>2.03297859685361</v>
      </c>
    </row>
    <row r="98" spans="1:7" x14ac:dyDescent="0.2">
      <c r="A98" s="524" t="s">
        <v>444</v>
      </c>
      <c r="B98" s="535">
        <f>'Исходные данные и результаты'!G21</f>
        <v>1.9E-2</v>
      </c>
      <c r="C98" s="535">
        <f>'Исходные данные и результаты'!H21</f>
        <v>1.9069990455539643E-2</v>
      </c>
      <c r="D98" s="535">
        <f>'Исходные данные и результаты'!I21</f>
        <v>6.9990455539643143E-5</v>
      </c>
    </row>
    <row r="99" spans="1:7" x14ac:dyDescent="0.2">
      <c r="A99" s="524" t="s">
        <v>714</v>
      </c>
      <c r="B99" s="535">
        <f>'Исходные данные и результаты'!G22</f>
        <v>1408.9177243795398</v>
      </c>
      <c r="C99" s="535">
        <f>'Исходные данные и результаты'!H22</f>
        <v>1414.9237979570228</v>
      </c>
      <c r="D99" s="535">
        <f>'Исходные данные и результаты'!I22</f>
        <v>6.0060735774829936</v>
      </c>
    </row>
    <row r="100" spans="1:7" x14ac:dyDescent="0.2">
      <c r="A100" s="524" t="s">
        <v>715</v>
      </c>
      <c r="B100" s="535">
        <f>'Исходные данные и результаты'!G23</f>
        <v>0.20551884469638834</v>
      </c>
      <c r="C100" s="535">
        <f>'Исходные данные и результаты'!H23</f>
        <v>0.18193255584730716</v>
      </c>
      <c r="D100" s="535">
        <f>'Исходные данные и результаты'!I23</f>
        <v>-2.3586288849081177E-2</v>
      </c>
    </row>
    <row r="101" spans="1:7" x14ac:dyDescent="0.2">
      <c r="A101" s="539" t="s">
        <v>721</v>
      </c>
      <c r="B101" s="536"/>
      <c r="D101" s="460"/>
      <c r="E101" s="536"/>
      <c r="F101" s="536"/>
      <c r="G101" s="536"/>
    </row>
    <row r="102" spans="1:7" x14ac:dyDescent="0.2">
      <c r="A102" s="460" t="s">
        <v>249</v>
      </c>
      <c r="B102" s="536"/>
      <c r="C102" s="460" t="s">
        <v>722</v>
      </c>
      <c r="E102" s="536"/>
      <c r="F102" s="536"/>
      <c r="G102" s="536"/>
    </row>
    <row r="103" spans="1:7" x14ac:dyDescent="0.2">
      <c r="A103" s="523" t="s">
        <v>669</v>
      </c>
      <c r="B103" s="522">
        <f>'Исходные данные и результаты'!P74</f>
        <v>-0.7</v>
      </c>
      <c r="C103" s="523" t="s">
        <v>251</v>
      </c>
      <c r="D103" s="522">
        <f>'Исходные данные и результаты'!T74</f>
        <v>0</v>
      </c>
      <c r="E103" s="536"/>
      <c r="F103" s="560"/>
      <c r="G103" s="536"/>
    </row>
    <row r="104" spans="1:7" x14ac:dyDescent="0.2">
      <c r="A104" s="523" t="s">
        <v>670</v>
      </c>
      <c r="B104" s="522">
        <f>'Исходные данные и результаты'!P75</f>
        <v>-0.02</v>
      </c>
      <c r="C104" s="523" t="s">
        <v>253</v>
      </c>
      <c r="D104" s="522">
        <f>'Исходные данные и результаты'!T75</f>
        <v>0</v>
      </c>
      <c r="E104" s="536"/>
      <c r="F104" s="560"/>
      <c r="G104" s="536"/>
    </row>
    <row r="105" spans="1:7" x14ac:dyDescent="0.2">
      <c r="A105" s="523" t="s">
        <v>671</v>
      </c>
      <c r="B105" s="522">
        <f>'Исходные данные и результаты'!P76</f>
        <v>-1</v>
      </c>
      <c r="C105" s="523" t="s">
        <v>254</v>
      </c>
      <c r="D105" s="522">
        <f>'Исходные данные и результаты'!T76</f>
        <v>-1.3341709741402075</v>
      </c>
      <c r="E105" s="536"/>
      <c r="F105" s="560"/>
      <c r="G105" s="536"/>
    </row>
    <row r="106" spans="1:7" x14ac:dyDescent="0.2">
      <c r="A106" s="523" t="s">
        <v>672</v>
      </c>
      <c r="B106" s="522">
        <f>'Исходные данные и результаты'!P77</f>
        <v>-1.2</v>
      </c>
      <c r="C106" s="523" t="s">
        <v>255</v>
      </c>
      <c r="D106" s="522">
        <f>'Исходные данные и результаты'!T77</f>
        <v>0</v>
      </c>
      <c r="E106" s="536"/>
      <c r="F106" s="560"/>
      <c r="G106" s="536"/>
    </row>
    <row r="107" spans="1:7" x14ac:dyDescent="0.2">
      <c r="A107" s="523" t="s">
        <v>673</v>
      </c>
      <c r="B107" s="522">
        <f>'Исходные данные и результаты'!P78</f>
        <v>-1.5</v>
      </c>
      <c r="C107" s="523" t="s">
        <v>256</v>
      </c>
      <c r="D107" s="522">
        <f>'Исходные данные и результаты'!T78</f>
        <v>0</v>
      </c>
      <c r="E107" s="536"/>
      <c r="F107" s="560"/>
      <c r="G107" s="536"/>
    </row>
    <row r="108" spans="1:7" x14ac:dyDescent="0.2">
      <c r="A108" s="523" t="s">
        <v>674</v>
      </c>
      <c r="B108" s="522">
        <f>'Исходные данные и результаты'!P79</f>
        <v>-0.6</v>
      </c>
      <c r="C108" s="523" t="s">
        <v>257</v>
      </c>
      <c r="D108" s="522">
        <f>'Исходные данные и результаты'!T79</f>
        <v>0</v>
      </c>
      <c r="E108" s="536"/>
      <c r="F108" s="560"/>
      <c r="G108" s="536"/>
    </row>
    <row r="109" spans="1:7" x14ac:dyDescent="0.2">
      <c r="A109" s="523" t="s">
        <v>675</v>
      </c>
      <c r="B109" s="522">
        <f>'Исходные данные и результаты'!P80</f>
        <v>-2.8</v>
      </c>
      <c r="C109" s="523" t="s">
        <v>257</v>
      </c>
      <c r="D109" s="522">
        <f>'Исходные данные и результаты'!T80</f>
        <v>0</v>
      </c>
      <c r="E109" s="536"/>
      <c r="F109" s="560"/>
      <c r="G109" s="536"/>
    </row>
    <row r="110" spans="1:7" x14ac:dyDescent="0.2">
      <c r="A110" s="523" t="s">
        <v>676</v>
      </c>
      <c r="B110" s="522">
        <f>'Исходные данные и результаты'!P81</f>
        <v>0.15</v>
      </c>
      <c r="C110" s="523" t="s">
        <v>659</v>
      </c>
      <c r="D110" s="522">
        <f>'Исходные данные и результаты'!T81</f>
        <v>0</v>
      </c>
      <c r="E110" s="536"/>
      <c r="F110" s="560"/>
      <c r="G110" s="536"/>
    </row>
    <row r="111" spans="1:7" x14ac:dyDescent="0.2">
      <c r="A111" s="523" t="s">
        <v>677</v>
      </c>
      <c r="B111" s="522">
        <f>'Исходные данные и результаты'!P82</f>
        <v>-0.05</v>
      </c>
      <c r="C111" s="523" t="s">
        <v>659</v>
      </c>
      <c r="D111" s="522">
        <f>'Исходные данные и результаты'!T82</f>
        <v>0</v>
      </c>
      <c r="E111" s="536"/>
      <c r="F111" s="560"/>
      <c r="G111" s="536"/>
    </row>
    <row r="112" spans="1:7" x14ac:dyDescent="0.2">
      <c r="A112" s="523" t="s">
        <v>678</v>
      </c>
      <c r="B112" s="522">
        <f>'Исходные данные и результаты'!P83</f>
        <v>-0.03</v>
      </c>
      <c r="C112" s="523" t="s">
        <v>659</v>
      </c>
      <c r="D112" s="522">
        <f>'Исходные данные и результаты'!T83</f>
        <v>0</v>
      </c>
      <c r="E112" s="536"/>
      <c r="F112" s="560"/>
      <c r="G112" s="536"/>
    </row>
    <row r="113" spans="1:7" x14ac:dyDescent="0.2">
      <c r="A113" s="523" t="s">
        <v>679</v>
      </c>
      <c r="B113" s="522">
        <f>'Исходные данные и результаты'!P84</f>
        <v>-0.2</v>
      </c>
      <c r="C113" s="523" t="s">
        <v>680</v>
      </c>
      <c r="D113" s="522">
        <f>'Исходные данные и результаты'!T84</f>
        <v>0</v>
      </c>
      <c r="E113" s="536"/>
      <c r="F113" s="560"/>
      <c r="G113" s="536"/>
    </row>
    <row r="114" spans="1:7" x14ac:dyDescent="0.2">
      <c r="A114" s="539" t="s">
        <v>261</v>
      </c>
      <c r="C114" s="460" t="s">
        <v>694</v>
      </c>
      <c r="E114" s="536"/>
      <c r="F114" s="460"/>
      <c r="G114" s="536"/>
    </row>
    <row r="115" spans="1:7" x14ac:dyDescent="0.2">
      <c r="A115" s="523" t="s">
        <v>670</v>
      </c>
      <c r="B115" s="522">
        <f>'Исходные данные и результаты'!P86</f>
        <v>0.01</v>
      </c>
      <c r="C115" s="523" t="s">
        <v>683</v>
      </c>
      <c r="D115" s="520">
        <f>'Исходные данные и результаты'!T86</f>
        <v>0</v>
      </c>
      <c r="E115" s="536"/>
      <c r="F115" s="561"/>
      <c r="G115" s="536"/>
    </row>
    <row r="116" spans="1:7" x14ac:dyDescent="0.2">
      <c r="A116" s="523" t="s">
        <v>671</v>
      </c>
      <c r="B116" s="522">
        <f>'Исходные данные и результаты'!P87</f>
        <v>1.7</v>
      </c>
      <c r="C116" s="523" t="s">
        <v>684</v>
      </c>
      <c r="D116" s="520">
        <f>'Исходные данные и результаты'!T87</f>
        <v>19.137264854343737</v>
      </c>
      <c r="E116" s="536"/>
      <c r="F116" s="561"/>
      <c r="G116" s="536"/>
    </row>
    <row r="117" spans="1:7" x14ac:dyDescent="0.2">
      <c r="A117" s="523" t="s">
        <v>672</v>
      </c>
      <c r="B117" s="522">
        <f>'Исходные данные и результаты'!P88</f>
        <v>1.2</v>
      </c>
      <c r="C117" s="523" t="s">
        <v>685</v>
      </c>
      <c r="D117" s="520">
        <f>'Исходные данные и результаты'!T88</f>
        <v>0</v>
      </c>
      <c r="E117" s="536"/>
      <c r="F117" s="561"/>
      <c r="G117" s="536"/>
    </row>
    <row r="118" spans="1:7" x14ac:dyDescent="0.2">
      <c r="A118" s="523" t="s">
        <v>673</v>
      </c>
      <c r="B118" s="522">
        <f>'Исходные данные и результаты'!P89</f>
        <v>1.5</v>
      </c>
      <c r="C118" s="523" t="s">
        <v>686</v>
      </c>
      <c r="D118" s="520">
        <f>'Исходные данные и результаты'!T89</f>
        <v>0</v>
      </c>
      <c r="E118" s="536"/>
      <c r="F118" s="561"/>
      <c r="G118" s="536"/>
    </row>
    <row r="119" spans="1:7" x14ac:dyDescent="0.2">
      <c r="A119" s="523" t="s">
        <v>674</v>
      </c>
      <c r="B119" s="522">
        <f>'Исходные данные и результаты'!P90</f>
        <v>0.6</v>
      </c>
      <c r="C119" s="523" t="s">
        <v>687</v>
      </c>
      <c r="D119" s="520">
        <f>'Исходные данные и результаты'!T90</f>
        <v>0</v>
      </c>
      <c r="E119" s="536"/>
      <c r="F119" s="561"/>
      <c r="G119" s="536"/>
    </row>
    <row r="120" spans="1:7" x14ac:dyDescent="0.2">
      <c r="A120" s="523" t="s">
        <v>675</v>
      </c>
      <c r="B120" s="522">
        <f>'Исходные данные и результаты'!P91</f>
        <v>2.8</v>
      </c>
      <c r="C120" s="523" t="s">
        <v>687</v>
      </c>
      <c r="D120" s="520">
        <f>'Исходные данные и результаты'!T91</f>
        <v>0</v>
      </c>
      <c r="E120" s="536"/>
      <c r="F120" s="561"/>
      <c r="G120" s="536"/>
    </row>
    <row r="121" spans="1:7" x14ac:dyDescent="0.2">
      <c r="A121" s="523" t="s">
        <v>676</v>
      </c>
      <c r="B121" s="522">
        <f>'Исходные данные и результаты'!P92</f>
        <v>-7.0000000000000007E-2</v>
      </c>
      <c r="C121" s="523" t="s">
        <v>688</v>
      </c>
      <c r="D121" s="520">
        <f>'Исходные данные и результаты'!T92</f>
        <v>0</v>
      </c>
      <c r="E121" s="536"/>
      <c r="F121" s="561"/>
      <c r="G121" s="536"/>
    </row>
    <row r="122" spans="1:7" x14ac:dyDescent="0.2">
      <c r="A122" s="523" t="s">
        <v>681</v>
      </c>
      <c r="B122" s="522">
        <f>'Исходные данные и результаты'!P93</f>
        <v>2.1</v>
      </c>
      <c r="C122" s="523" t="s">
        <v>682</v>
      </c>
      <c r="D122" s="520">
        <f>'Исходные данные и результаты'!T93</f>
        <v>0</v>
      </c>
      <c r="E122" s="536"/>
      <c r="F122" s="561"/>
      <c r="G122" s="536"/>
    </row>
    <row r="123" spans="1:7" x14ac:dyDescent="0.2">
      <c r="A123" s="523" t="s">
        <v>677</v>
      </c>
      <c r="B123" s="522">
        <f>'Исходные данные и результаты'!P94</f>
        <v>0.05</v>
      </c>
      <c r="C123" s="523" t="s">
        <v>689</v>
      </c>
      <c r="D123" s="520">
        <f>'Исходные данные и результаты'!T94</f>
        <v>0</v>
      </c>
      <c r="E123" s="536"/>
      <c r="F123" s="561"/>
      <c r="G123" s="536"/>
    </row>
    <row r="124" spans="1:7" x14ac:dyDescent="0.2">
      <c r="A124" s="523" t="s">
        <v>678</v>
      </c>
      <c r="B124" s="522">
        <f>'Исходные данные и результаты'!P95</f>
        <v>0.03</v>
      </c>
      <c r="C124" s="523" t="s">
        <v>689</v>
      </c>
      <c r="D124" s="520">
        <f>'Исходные данные и результаты'!T95</f>
        <v>0</v>
      </c>
      <c r="E124" s="536"/>
      <c r="F124" s="561"/>
      <c r="G124" s="536"/>
    </row>
    <row r="125" spans="1:7" x14ac:dyDescent="0.2">
      <c r="A125" s="523" t="s">
        <v>679</v>
      </c>
      <c r="B125" s="522">
        <f>'Исходные данные и результаты'!P96</f>
        <v>0.2</v>
      </c>
      <c r="C125" s="523" t="s">
        <v>690</v>
      </c>
      <c r="D125" s="520">
        <f>'Исходные данные и результаты'!T96</f>
        <v>0</v>
      </c>
      <c r="E125" s="536"/>
      <c r="F125" s="561"/>
      <c r="G125" s="536"/>
    </row>
    <row r="126" spans="1:7" x14ac:dyDescent="0.2">
      <c r="A126" s="536"/>
      <c r="B126" s="536"/>
      <c r="C126" s="536"/>
      <c r="D126" s="536"/>
      <c r="E126" s="536"/>
      <c r="F126" s="561"/>
      <c r="G126" s="536"/>
    </row>
    <row r="127" spans="1:7" x14ac:dyDescent="0.2">
      <c r="A127" s="536"/>
      <c r="B127" s="536"/>
      <c r="C127" s="536"/>
      <c r="D127" s="536"/>
      <c r="E127" s="536"/>
      <c r="F127" s="561"/>
      <c r="G127" s="536"/>
    </row>
  </sheetData>
  <mergeCells count="8">
    <mergeCell ref="A79:A80"/>
    <mergeCell ref="B79:C79"/>
    <mergeCell ref="A1:A2"/>
    <mergeCell ref="B1:C1"/>
    <mergeCell ref="A20:C20"/>
    <mergeCell ref="A28:C28"/>
    <mergeCell ref="A45:C45"/>
    <mergeCell ref="A62:C62"/>
  </mergeCells>
  <phoneticPr fontId="44" type="noConversion"/>
  <dataValidations count="2">
    <dataValidation type="decimal" operator="greaterThanOrEqual" allowBlank="1" showInputMessage="1" showErrorMessage="1" sqref="B74:B75 B21:C26 B63:C71 B3:B19 B29:C44">
      <formula1>0</formula1>
    </dataValidation>
    <dataValidation operator="greaterThanOrEqual" allowBlank="1" showInputMessage="1" showErrorMessage="1" sqref="B76:C77"/>
  </dataValidations>
  <pageMargins left="0.66" right="0.41" top="0.85" bottom="0.67" header="0.5" footer="0.5"/>
  <pageSetup paperSize="9" scale="83" orientation="portrait" horizontalDpi="200" verticalDpi="200" r:id="rId1"/>
  <headerFooter alignWithMargins="0"/>
  <rowBreaks count="1" manualBreakCount="1">
    <brk id="61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Q67"/>
  <sheetViews>
    <sheetView view="pageBreakPreview" zoomScale="85" zoomScaleNormal="100" zoomScaleSheetLayoutView="85" workbookViewId="0">
      <selection activeCell="A37" sqref="A37"/>
    </sheetView>
  </sheetViews>
  <sheetFormatPr defaultRowHeight="15" x14ac:dyDescent="0.2"/>
  <cols>
    <col min="1" max="1" width="29.140625" style="541" customWidth="1"/>
    <col min="2" max="2" width="9.7109375" style="541" bestFit="1" customWidth="1"/>
    <col min="3" max="3" width="9.28515625" style="541" bestFit="1" customWidth="1"/>
    <col min="4" max="4" width="9.7109375" style="541" bestFit="1" customWidth="1"/>
    <col min="5" max="8" width="9.28515625" style="541" bestFit="1" customWidth="1"/>
    <col min="9" max="9" width="7.140625" style="541" customWidth="1"/>
    <col min="10" max="10" width="10.28515625" style="541" customWidth="1"/>
    <col min="11" max="16" width="9.28515625" style="541" bestFit="1" customWidth="1"/>
    <col min="17" max="17" width="15" style="541" customWidth="1"/>
    <col min="18" max="16384" width="9.140625" style="541"/>
  </cols>
  <sheetData>
    <row r="1" spans="1:17" ht="15.75" x14ac:dyDescent="0.2">
      <c r="G1" s="540" t="s">
        <v>648</v>
      </c>
    </row>
    <row r="2" spans="1:17" x14ac:dyDescent="0.2">
      <c r="A2" s="544" t="s">
        <v>719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399"/>
    </row>
    <row r="3" spans="1:17" x14ac:dyDescent="0.2">
      <c r="A3" s="546" t="s">
        <v>474</v>
      </c>
      <c r="B3" s="546" t="s">
        <v>3</v>
      </c>
      <c r="C3" s="546" t="s">
        <v>4</v>
      </c>
      <c r="D3" s="546" t="s">
        <v>5</v>
      </c>
      <c r="E3" s="546" t="s">
        <v>6</v>
      </c>
      <c r="F3" s="546" t="s">
        <v>7</v>
      </c>
      <c r="G3" s="546" t="s">
        <v>8</v>
      </c>
      <c r="H3" s="546" t="s">
        <v>9</v>
      </c>
      <c r="I3" s="546" t="s">
        <v>10</v>
      </c>
      <c r="J3" s="546" t="s">
        <v>11</v>
      </c>
      <c r="K3" s="546" t="s">
        <v>12</v>
      </c>
      <c r="L3" s="546" t="s">
        <v>469</v>
      </c>
      <c r="M3" s="546" t="s">
        <v>94</v>
      </c>
      <c r="N3" s="546" t="s">
        <v>15</v>
      </c>
      <c r="O3" s="546" t="s">
        <v>16</v>
      </c>
      <c r="P3" s="546" t="s">
        <v>17</v>
      </c>
      <c r="Q3" s="546" t="s">
        <v>191</v>
      </c>
    </row>
    <row r="4" spans="1:17" x14ac:dyDescent="0.2">
      <c r="A4" s="547" t="s">
        <v>473</v>
      </c>
      <c r="B4" s="548">
        <f>'Ввод составов (база)'!C4</f>
        <v>55.21</v>
      </c>
      <c r="C4" s="548">
        <f>'Ввод составов (база)'!D4</f>
        <v>11.8</v>
      </c>
      <c r="D4" s="548">
        <f>'Ввод составов (база)'!E4</f>
        <v>65.8</v>
      </c>
      <c r="E4" s="548">
        <f>'Ввод составов (база)'!F4</f>
        <v>6.68</v>
      </c>
      <c r="F4" s="548">
        <f>'Ввод составов (база)'!G4</f>
        <v>1.6</v>
      </c>
      <c r="G4" s="548">
        <f>'Ввод составов (база)'!H4</f>
        <v>10.99</v>
      </c>
      <c r="H4" s="548">
        <f>'Ввод составов (база)'!I4</f>
        <v>2.09</v>
      </c>
      <c r="I4" s="548">
        <f>'Ввод составов (база)'!J4</f>
        <v>2.5999999999999999E-2</v>
      </c>
      <c r="J4" s="548">
        <f>'Ввод составов (база)'!K4</f>
        <v>4.2000000000000003E-2</v>
      </c>
      <c r="K4" s="548">
        <f>'Ввод составов (база)'!L4</f>
        <v>0.33</v>
      </c>
      <c r="L4" s="548">
        <f>'Ввод составов (база)'!M4</f>
        <v>0.03</v>
      </c>
      <c r="M4" s="548">
        <f>'Ввод составов (база)'!N4</f>
        <v>0</v>
      </c>
      <c r="N4" s="548">
        <f>'Ввод составов (база)'!O4</f>
        <v>0</v>
      </c>
      <c r="O4" s="548">
        <f>'Ввод составов (база)'!P4</f>
        <v>0.32</v>
      </c>
      <c r="P4" s="548">
        <f>'Ввод составов (база)'!Q4</f>
        <v>3.5000000000000003E-2</v>
      </c>
      <c r="Q4" s="548">
        <f>'Ввод составов (база)'!R4</f>
        <v>1.6452095808383234</v>
      </c>
    </row>
    <row r="5" spans="1:17" x14ac:dyDescent="0.2">
      <c r="A5" s="547" t="s">
        <v>472</v>
      </c>
      <c r="B5" s="548">
        <f>'Ввод составов (база)'!C5</f>
        <v>54.47</v>
      </c>
      <c r="C5" s="548">
        <f>'Ввод составов (база)'!D5</f>
        <v>8.6</v>
      </c>
      <c r="D5" s="548">
        <f>'Ввод составов (база)'!E5</f>
        <v>68.400000000000006</v>
      </c>
      <c r="E5" s="548">
        <f>'Ввод составов (база)'!F5</f>
        <v>6.65</v>
      </c>
      <c r="F5" s="548">
        <f>'Ввод составов (база)'!G5</f>
        <v>1.6</v>
      </c>
      <c r="G5" s="548">
        <f>'Ввод составов (база)'!H5</f>
        <v>11.92</v>
      </c>
      <c r="H5" s="548">
        <f>'Ввод составов (база)'!I5</f>
        <v>2.0099999999999998</v>
      </c>
      <c r="I5" s="548">
        <f>'Ввод составов (база)'!J5</f>
        <v>2.7E-2</v>
      </c>
      <c r="J5" s="548">
        <f>'Ввод составов (база)'!K5</f>
        <v>0.06</v>
      </c>
      <c r="K5" s="548">
        <f>'Ввод составов (база)'!L5</f>
        <v>0.3</v>
      </c>
      <c r="L5" s="548">
        <f>'Ввод составов (база)'!M5</f>
        <v>3.1E-2</v>
      </c>
      <c r="M5" s="548">
        <f>'Ввод составов (база)'!N5</f>
        <v>0</v>
      </c>
      <c r="N5" s="548">
        <f>'Ввод составов (база)'!O5</f>
        <v>0</v>
      </c>
      <c r="O5" s="548">
        <f>'Ввод составов (база)'!P5</f>
        <v>0.32</v>
      </c>
      <c r="P5" s="548">
        <f>'Ввод составов (база)'!Q5</f>
        <v>3.6999999999999998E-2</v>
      </c>
      <c r="Q5" s="548">
        <f>'Ввод составов (база)'!R5</f>
        <v>1.7924812030075188</v>
      </c>
    </row>
    <row r="6" spans="1:17" x14ac:dyDescent="0.2">
      <c r="A6" s="547" t="s">
        <v>464</v>
      </c>
      <c r="B6" s="548">
        <f>'Ввод составов (база)'!C6</f>
        <v>55.27</v>
      </c>
      <c r="C6" s="548">
        <f>'Ввод составов (база)'!D6</f>
        <v>9.9</v>
      </c>
      <c r="D6" s="548">
        <f>'Ввод составов (база)'!E6</f>
        <v>68.099999999999994</v>
      </c>
      <c r="E6" s="548">
        <f>'Ввод составов (база)'!F6</f>
        <v>6.62</v>
      </c>
      <c r="F6" s="548">
        <f>'Ввод составов (база)'!G6</f>
        <v>1.59</v>
      </c>
      <c r="G6" s="548">
        <f>'Ввод составов (база)'!H6</f>
        <v>10.85</v>
      </c>
      <c r="H6" s="548">
        <f>'Ввод составов (база)'!I6</f>
        <v>2.08</v>
      </c>
      <c r="I6" s="548">
        <f>'Ввод составов (база)'!J6</f>
        <v>2.5999999999999999E-2</v>
      </c>
      <c r="J6" s="548">
        <f>'Ввод составов (база)'!K6</f>
        <v>3.9E-2</v>
      </c>
      <c r="K6" s="548">
        <f>'Ввод составов (база)'!L6</f>
        <v>0.34</v>
      </c>
      <c r="L6" s="548">
        <f>'Ввод составов (база)'!M6</f>
        <v>2.9000000000000001E-2</v>
      </c>
      <c r="M6" s="548">
        <f>'Ввод составов (база)'!N6</f>
        <v>0</v>
      </c>
      <c r="N6" s="548">
        <f>'Ввод составов (база)'!O6</f>
        <v>0</v>
      </c>
      <c r="O6" s="548">
        <f>'Ввод составов (база)'!P6</f>
        <v>0.32</v>
      </c>
      <c r="P6" s="548">
        <f>'Ввод составов (база)'!Q6</f>
        <v>3.7999999999999999E-2</v>
      </c>
      <c r="Q6" s="548">
        <f>'Ввод составов (база)'!R6</f>
        <v>1.6389728096676737</v>
      </c>
    </row>
    <row r="7" spans="1:17" x14ac:dyDescent="0.2">
      <c r="A7" s="547" t="s">
        <v>468</v>
      </c>
      <c r="B7" s="548">
        <f>'Ввод составов (база)'!C7</f>
        <v>55.1</v>
      </c>
      <c r="C7" s="548">
        <f>'Ввод составов (база)'!D7</f>
        <v>10.074</v>
      </c>
      <c r="D7" s="548">
        <f>'Ввод составов (база)'!E7</f>
        <v>0</v>
      </c>
      <c r="E7" s="548">
        <f>'Ввод составов (база)'!F7</f>
        <v>6.7220000000000004</v>
      </c>
      <c r="F7" s="548">
        <f>'Ввод составов (база)'!G7</f>
        <v>1.667</v>
      </c>
      <c r="G7" s="548">
        <f>'Ввод составов (база)'!H7</f>
        <v>10.673999999999999</v>
      </c>
      <c r="H7" s="548">
        <f>'Ввод составов (база)'!I7</f>
        <v>1.98</v>
      </c>
      <c r="I7" s="548">
        <f>'Ввод составов (база)'!J7</f>
        <v>2.7E-2</v>
      </c>
      <c r="J7" s="548">
        <f>'Ввод составов (база)'!K7</f>
        <v>0.04</v>
      </c>
      <c r="K7" s="548">
        <f>'Ввод составов (база)'!L7</f>
        <v>0</v>
      </c>
      <c r="L7" s="548">
        <f>'Ввод составов (база)'!M7</f>
        <v>3.2000000000000001E-2</v>
      </c>
      <c r="M7" s="548">
        <f>'Ввод составов (база)'!N7</f>
        <v>0</v>
      </c>
      <c r="N7" s="548">
        <f>'Ввод составов (база)'!O7</f>
        <v>1.7291000000000001</v>
      </c>
      <c r="O7" s="548">
        <f>'Ввод составов (база)'!P7</f>
        <v>0.32</v>
      </c>
      <c r="P7" s="548">
        <f>'Ввод составов (база)'!Q7</f>
        <v>3.5999999999999997E-2</v>
      </c>
      <c r="Q7" s="548">
        <f>'Ввод составов (база)'!R7</f>
        <v>1.5879202618268371</v>
      </c>
    </row>
    <row r="8" spans="1:17" x14ac:dyDescent="0.2">
      <c r="A8" s="547" t="s">
        <v>465</v>
      </c>
      <c r="B8" s="548">
        <f>'Ввод составов (база)'!C9</f>
        <v>62.7</v>
      </c>
      <c r="C8" s="548">
        <f>'Ввод составов (база)'!D9</f>
        <v>0</v>
      </c>
      <c r="D8" s="548">
        <f>'Ввод составов (база)'!E9</f>
        <v>0</v>
      </c>
      <c r="E8" s="548">
        <f>'Ввод составов (база)'!F9</f>
        <v>5.41</v>
      </c>
      <c r="F8" s="548">
        <f>'Ввод составов (база)'!G9</f>
        <v>1.8</v>
      </c>
      <c r="G8" s="548">
        <f>'Ввод составов (база)'!H9</f>
        <v>1.82</v>
      </c>
      <c r="H8" s="548">
        <f>'Ввод составов (база)'!I9</f>
        <v>1.05</v>
      </c>
      <c r="I8" s="548">
        <f>'Ввод составов (база)'!J9</f>
        <v>1.2E-2</v>
      </c>
      <c r="J8" s="548">
        <f>'Ввод составов (база)'!K9</f>
        <v>3.3000000000000002E-2</v>
      </c>
      <c r="K8" s="548">
        <f>'Ввод составов (база)'!L9</f>
        <v>0.2</v>
      </c>
      <c r="L8" s="548">
        <f>'Ввод составов (база)'!M9</f>
        <v>0.01</v>
      </c>
      <c r="M8" s="548">
        <f>'Ввод составов (база)'!N9</f>
        <v>0</v>
      </c>
      <c r="N8" s="548">
        <f>'Ввод составов (база)'!O9</f>
        <v>0</v>
      </c>
      <c r="O8" s="548">
        <f>'Ввод составов (база)'!P9</f>
        <v>0.34</v>
      </c>
      <c r="P8" s="548">
        <f>'Ввод составов (база)'!Q9</f>
        <v>1.2999999999999999E-2</v>
      </c>
      <c r="Q8" s="548">
        <f>'Ввод составов (база)'!R9</f>
        <v>0.33641404805914971</v>
      </c>
    </row>
    <row r="9" spans="1:17" x14ac:dyDescent="0.2">
      <c r="A9" s="547" t="s">
        <v>95</v>
      </c>
      <c r="B9" s="548">
        <f>'Ввод составов (база)'!C10</f>
        <v>65.599999999999994</v>
      </c>
      <c r="C9" s="548">
        <f>'Ввод составов (база)'!D10</f>
        <v>0</v>
      </c>
      <c r="D9" s="548">
        <f>'Ввод составов (база)'!E10</f>
        <v>0</v>
      </c>
      <c r="E9" s="548">
        <f>'Ввод составов (база)'!F10</f>
        <v>5.08</v>
      </c>
      <c r="F9" s="548">
        <f>'Ввод составов (база)'!G10</f>
        <v>0.28999999999999998</v>
      </c>
      <c r="G9" s="548">
        <f>'Ввод составов (база)'!H10</f>
        <v>0.68</v>
      </c>
      <c r="H9" s="548">
        <f>'Ввод составов (база)'!I10</f>
        <v>0.38</v>
      </c>
      <c r="I9" s="548">
        <f>'Ввод составов (база)'!J10</f>
        <v>0.01</v>
      </c>
      <c r="J9" s="548">
        <f>'Ввод составов (база)'!K10</f>
        <v>1.6E-2</v>
      </c>
      <c r="K9" s="548">
        <f>'Ввод составов (база)'!L10</f>
        <v>0.02</v>
      </c>
      <c r="L9" s="548">
        <f>'Ввод составов (база)'!M10</f>
        <v>8.9999999999999993E-3</v>
      </c>
      <c r="M9" s="548">
        <f>'Ввод составов (база)'!N10</f>
        <v>0.1</v>
      </c>
      <c r="N9" s="548">
        <f>'Ввод составов (база)'!O10</f>
        <v>0</v>
      </c>
      <c r="O9" s="548">
        <f>'Ввод составов (база)'!P10</f>
        <v>0</v>
      </c>
      <c r="P9" s="548">
        <f>'Ввод составов (база)'!Q10</f>
        <v>8.9999999999999993E-3</v>
      </c>
      <c r="Q9" s="548">
        <f>'Ввод составов (база)'!R10</f>
        <v>0.13385826771653545</v>
      </c>
    </row>
    <row r="10" spans="1:17" x14ac:dyDescent="0.2">
      <c r="A10" s="547" t="s">
        <v>96</v>
      </c>
      <c r="B10" s="548">
        <f>'Ввод составов (база)'!C11</f>
        <v>60.8</v>
      </c>
      <c r="C10" s="548">
        <f>'Ввод составов (база)'!D11</f>
        <v>0</v>
      </c>
      <c r="D10" s="548">
        <f>'Ввод составов (база)'!E11</f>
        <v>0</v>
      </c>
      <c r="E10" s="548">
        <f>'Ввод составов (база)'!F11</f>
        <v>4.09</v>
      </c>
      <c r="F10" s="548">
        <f>'Ввод составов (база)'!G11</f>
        <v>2.38</v>
      </c>
      <c r="G10" s="548">
        <f>'Ввод составов (база)'!H11</f>
        <v>1.26</v>
      </c>
      <c r="H10" s="548">
        <f>'Ввод составов (база)'!I11</f>
        <v>2.4</v>
      </c>
      <c r="I10" s="548">
        <f>'Ввод составов (база)'!J11</f>
        <v>0</v>
      </c>
      <c r="J10" s="548">
        <f>'Ввод составов (база)'!K11</f>
        <v>1.4E-2</v>
      </c>
      <c r="K10" s="548">
        <f>'Ввод составов (база)'!L11</f>
        <v>0.2</v>
      </c>
      <c r="L10" s="548">
        <f>'Ввод составов (база)'!M11</f>
        <v>6.2E-2</v>
      </c>
      <c r="M10" s="548">
        <f>'Ввод составов (база)'!N11</f>
        <v>0.1</v>
      </c>
      <c r="N10" s="548">
        <f>'Ввод составов (база)'!O11</f>
        <v>0</v>
      </c>
      <c r="O10" s="548">
        <f>'Ввод составов (база)'!P11</f>
        <v>2.67</v>
      </c>
      <c r="P10" s="548">
        <f>'Ввод составов (база)'!Q11</f>
        <v>5.8000000000000003E-2</v>
      </c>
      <c r="Q10" s="548">
        <f>'Ввод составов (база)'!R11</f>
        <v>0.30806845965770174</v>
      </c>
    </row>
    <row r="11" spans="1:17" x14ac:dyDescent="0.2">
      <c r="A11" s="547" t="s">
        <v>97</v>
      </c>
      <c r="B11" s="548">
        <f>'Ввод составов (база)'!C12</f>
        <v>63.1</v>
      </c>
      <c r="C11" s="548">
        <f>'Ввод составов (база)'!D12</f>
        <v>0</v>
      </c>
      <c r="D11" s="548">
        <f>'Ввод составов (база)'!E12</f>
        <v>0</v>
      </c>
      <c r="E11" s="548">
        <f>'Ввод составов (база)'!F12</f>
        <v>8.3800000000000008</v>
      </c>
      <c r="F11" s="548">
        <f>'Ввод составов (база)'!G12</f>
        <v>0.23</v>
      </c>
      <c r="G11" s="548">
        <f>'Ввод составов (база)'!H12</f>
        <v>0.6</v>
      </c>
      <c r="H11" s="548">
        <f>'Ввод составов (база)'!I12</f>
        <v>0.27</v>
      </c>
      <c r="I11" s="548">
        <f>'Ввод составов (база)'!J12</f>
        <v>1.0999999999999999E-2</v>
      </c>
      <c r="J11" s="548">
        <f>'Ввод составов (база)'!K12</f>
        <v>8.9999999999999993E-3</v>
      </c>
      <c r="K11" s="548">
        <f>'Ввод составов (база)'!L12</f>
        <v>0.03</v>
      </c>
      <c r="L11" s="548">
        <f>'Ввод составов (база)'!M12</f>
        <v>5.0000000000000001E-3</v>
      </c>
      <c r="M11" s="548">
        <f>'Ввод составов (база)'!N12</f>
        <v>0.2</v>
      </c>
      <c r="N11" s="548">
        <f>'Ввод составов (база)'!O12</f>
        <v>0</v>
      </c>
      <c r="O11" s="548">
        <f>'Ввод составов (база)'!P12</f>
        <v>0</v>
      </c>
      <c r="P11" s="548">
        <f>'Ввод составов (база)'!Q12</f>
        <v>6.0000000000000001E-3</v>
      </c>
      <c r="Q11" s="548">
        <f>'Ввод составов (база)'!R12</f>
        <v>7.159904534606204E-2</v>
      </c>
    </row>
    <row r="12" spans="1:17" x14ac:dyDescent="0.2">
      <c r="A12" s="547" t="s">
        <v>30</v>
      </c>
      <c r="B12" s="548">
        <f>'Ввод составов (база)'!C13</f>
        <v>68.599999999999994</v>
      </c>
      <c r="C12" s="548">
        <f>'Ввод составов (база)'!D13</f>
        <v>57.9</v>
      </c>
      <c r="D12" s="548">
        <f>'Ввод составов (база)'!E13</f>
        <v>33.799999999999997</v>
      </c>
      <c r="E12" s="548">
        <f>'Ввод составов (база)'!F13</f>
        <v>4.9000000000000004</v>
      </c>
      <c r="F12" s="548">
        <f>'Ввод составов (база)'!G13</f>
        <v>0.77</v>
      </c>
      <c r="G12" s="548">
        <f>'Ввод составов (база)'!H13</f>
        <v>0.5</v>
      </c>
      <c r="H12" s="548">
        <f>'Ввод составов (база)'!I13</f>
        <v>0.64</v>
      </c>
      <c r="I12" s="548">
        <f>'Ввод составов (база)'!J13</f>
        <v>0.01</v>
      </c>
      <c r="J12" s="548">
        <f>'Ввод составов (база)'!K13</f>
        <v>3.7999999999999999E-2</v>
      </c>
      <c r="K12" s="548">
        <f>'Ввод составов (база)'!L13</f>
        <v>0.76</v>
      </c>
      <c r="L12" s="548">
        <f>'Ввод составов (база)'!M13</f>
        <v>2.7E-2</v>
      </c>
      <c r="M12" s="548">
        <f>'Ввод составов (база)'!N13</f>
        <v>0.1</v>
      </c>
      <c r="N12" s="548">
        <f>'Ввод составов (база)'!O13</f>
        <v>0</v>
      </c>
      <c r="O12" s="548">
        <f>'Ввод составов (база)'!P13</f>
        <v>0</v>
      </c>
      <c r="P12" s="548">
        <f>'Ввод составов (база)'!Q13</f>
        <v>0.43</v>
      </c>
      <c r="Q12" s="548">
        <f>'Ввод составов (база)'!R13</f>
        <v>0.1020408163265306</v>
      </c>
    </row>
    <row r="13" spans="1:17" x14ac:dyDescent="0.2">
      <c r="A13" s="547" t="s">
        <v>88</v>
      </c>
      <c r="B13" s="548">
        <f>'Ввод составов (база)'!C14</f>
        <v>67.099999999999994</v>
      </c>
      <c r="C13" s="548">
        <f>'Ввод составов (база)'!D14</f>
        <v>10.435</v>
      </c>
      <c r="D13" s="548">
        <f>'Ввод составов (база)'!E14</f>
        <v>7.74</v>
      </c>
      <c r="E13" s="548">
        <f>'Ввод составов (база)'!F14</f>
        <v>6.5250000000000004</v>
      </c>
      <c r="F13" s="548">
        <f>'Ввод составов (база)'!G14</f>
        <v>1.4850000000000001</v>
      </c>
      <c r="G13" s="548">
        <f>'Ввод составов (база)'!H14</f>
        <v>9.3249999999999993</v>
      </c>
      <c r="H13" s="548">
        <f>'Ввод составов (база)'!I14</f>
        <v>4.8</v>
      </c>
      <c r="I13" s="548">
        <f>'Ввод составов (база)'!J14</f>
        <v>0.121</v>
      </c>
      <c r="J13" s="548">
        <f>'Ввод составов (база)'!K14</f>
        <v>4.9000000000000002E-2</v>
      </c>
      <c r="K13" s="548">
        <f>'Ввод составов (база)'!L14</f>
        <v>1.5249999999999999</v>
      </c>
      <c r="L13" s="548">
        <f>'Ввод составов (база)'!M14</f>
        <v>0.27</v>
      </c>
      <c r="M13" s="548">
        <f>'Ввод составов (база)'!N14</f>
        <v>0</v>
      </c>
      <c r="N13" s="548">
        <f>'Ввод составов (база)'!O14</f>
        <v>0.55000000000000004</v>
      </c>
      <c r="O13" s="548">
        <f>'Ввод составов (база)'!P14</f>
        <v>0.35</v>
      </c>
      <c r="P13" s="548">
        <f>'Ввод составов (база)'!Q14</f>
        <v>0.26</v>
      </c>
      <c r="Q13" s="548">
        <f>'Ввод составов (база)'!R14</f>
        <v>1.42911877394636</v>
      </c>
    </row>
    <row r="14" spans="1:17" x14ac:dyDescent="0.2">
      <c r="A14" s="547" t="s">
        <v>89</v>
      </c>
      <c r="B14" s="548">
        <f>'Ввод составов (база)'!C15</f>
        <v>0</v>
      </c>
      <c r="C14" s="548">
        <f>'Ввод составов (база)'!D15</f>
        <v>0</v>
      </c>
      <c r="D14" s="548">
        <f>'Ввод составов (база)'!E15</f>
        <v>0</v>
      </c>
      <c r="E14" s="548">
        <f>'Ввод составов (база)'!F15</f>
        <v>0</v>
      </c>
      <c r="F14" s="548">
        <f>'Ввод составов (база)'!G15</f>
        <v>0</v>
      </c>
      <c r="G14" s="548">
        <f>'Ввод составов (база)'!H15</f>
        <v>0</v>
      </c>
      <c r="H14" s="548">
        <f>'Ввод составов (база)'!I15</f>
        <v>0</v>
      </c>
      <c r="I14" s="548">
        <f>'Ввод составов (база)'!J15</f>
        <v>0</v>
      </c>
      <c r="J14" s="548">
        <f>'Ввод составов (база)'!K15</f>
        <v>0</v>
      </c>
      <c r="K14" s="548">
        <f>'Ввод составов (база)'!L15</f>
        <v>0</v>
      </c>
      <c r="L14" s="548">
        <f>'Ввод составов (база)'!M15</f>
        <v>0</v>
      </c>
      <c r="M14" s="548">
        <f>'Ввод составов (база)'!N15</f>
        <v>0</v>
      </c>
      <c r="N14" s="548">
        <f>'Ввод составов (база)'!O15</f>
        <v>0</v>
      </c>
      <c r="O14" s="548">
        <f>'Ввод составов (база)'!P15</f>
        <v>0</v>
      </c>
      <c r="P14" s="548">
        <f>'Ввод составов (база)'!Q15</f>
        <v>0</v>
      </c>
      <c r="Q14" s="548">
        <f>'Ввод составов (база)'!R15</f>
        <v>0</v>
      </c>
    </row>
    <row r="15" spans="1:17" x14ac:dyDescent="0.2">
      <c r="A15" s="547" t="s">
        <v>466</v>
      </c>
      <c r="B15" s="548">
        <f>'Ввод составов (база)'!C16</f>
        <v>41.3</v>
      </c>
      <c r="C15" s="548">
        <f>'Ввод составов (база)'!D16</f>
        <v>8.4</v>
      </c>
      <c r="D15" s="548">
        <f>'Ввод составов (база)'!E16</f>
        <v>49.7</v>
      </c>
      <c r="E15" s="548">
        <f>'Ввод составов (база)'!F16</f>
        <v>38</v>
      </c>
      <c r="F15" s="548">
        <f>'Ввод составов (база)'!G16</f>
        <v>0.18</v>
      </c>
      <c r="G15" s="548">
        <f>'Ввод составов (база)'!H16</f>
        <v>0.83</v>
      </c>
      <c r="H15" s="548">
        <f>'Ввод составов (база)'!I16</f>
        <v>0.41</v>
      </c>
      <c r="I15" s="548">
        <f>'Ввод составов (база)'!J16</f>
        <v>4.1000000000000002E-2</v>
      </c>
      <c r="J15" s="548">
        <f>'Ввод составов (база)'!K16</f>
        <v>2.9000000000000001E-2</v>
      </c>
      <c r="K15" s="548">
        <f>'Ввод составов (база)'!L16</f>
        <v>0.03</v>
      </c>
      <c r="L15" s="548">
        <f>'Ввод составов (база)'!M16</f>
        <v>1.4999999999999999E-2</v>
      </c>
      <c r="M15" s="548">
        <f>'Ввод составов (база)'!N16</f>
        <v>2</v>
      </c>
      <c r="N15" s="548">
        <f>'Ввод составов (база)'!O16</f>
        <v>0.9</v>
      </c>
      <c r="O15" s="548">
        <f>'Ввод составов (база)'!P16</f>
        <v>0</v>
      </c>
      <c r="P15" s="548">
        <f>'Ввод составов (база)'!Q16</f>
        <v>0.31</v>
      </c>
      <c r="Q15" s="548">
        <f>'Ввод составов (база)'!R16</f>
        <v>2.1842105263157895E-2</v>
      </c>
    </row>
    <row r="16" spans="1:17" x14ac:dyDescent="0.2">
      <c r="A16" s="547" t="s">
        <v>467</v>
      </c>
      <c r="B16" s="548">
        <f>'Ввод составов (база)'!C17</f>
        <v>24.6</v>
      </c>
      <c r="C16" s="548">
        <f>'Ввод составов (база)'!D17</f>
        <v>0</v>
      </c>
      <c r="D16" s="548">
        <f>'Ввод составов (база)'!E17</f>
        <v>0</v>
      </c>
      <c r="E16" s="548">
        <f>'Ввод составов (база)'!F17</f>
        <v>13.34</v>
      </c>
      <c r="F16" s="548">
        <f>'Ввод составов (база)'!G17</f>
        <v>0.92</v>
      </c>
      <c r="G16" s="548">
        <f>'Ввод составов (база)'!H17</f>
        <v>4.8600000000000003</v>
      </c>
      <c r="H16" s="548">
        <f>'Ввод составов (база)'!I17</f>
        <v>0.4</v>
      </c>
      <c r="I16" s="548">
        <f>'Ввод составов (база)'!J17</f>
        <v>3.4000000000000002E-2</v>
      </c>
      <c r="J16" s="548">
        <f>'Ввод составов (база)'!K17</f>
        <v>8.1000000000000003E-2</v>
      </c>
      <c r="K16" s="548">
        <f>'Ввод составов (база)'!L17</f>
        <v>23.23</v>
      </c>
      <c r="L16" s="548">
        <f>'Ввод составов (база)'!M17</f>
        <v>0</v>
      </c>
      <c r="M16" s="548">
        <f>'Ввод составов (база)'!N17</f>
        <v>0</v>
      </c>
      <c r="N16" s="548">
        <f>'Ввод составов (база)'!O17</f>
        <v>1.7</v>
      </c>
      <c r="O16" s="548">
        <f>'Ввод составов (база)'!P17</f>
        <v>0</v>
      </c>
      <c r="P16" s="548">
        <f>'Ввод составов (база)'!Q17</f>
        <v>0</v>
      </c>
      <c r="Q16" s="548">
        <f>'Ввод составов (база)'!R17</f>
        <v>0.3643178410794603</v>
      </c>
    </row>
    <row r="17" spans="1:17" x14ac:dyDescent="0.2">
      <c r="A17" s="549" t="s">
        <v>482</v>
      </c>
      <c r="B17" s="548">
        <f>'Ввод составов (база)'!C18</f>
        <v>55.8</v>
      </c>
      <c r="C17" s="548">
        <f>'Ввод составов (база)'!D18</f>
        <v>11.4</v>
      </c>
      <c r="D17" s="548">
        <f>'Ввод составов (база)'!E18</f>
        <v>67.14</v>
      </c>
      <c r="E17" s="548">
        <f>'Ввод составов (база)'!F18</f>
        <v>5.95</v>
      </c>
      <c r="F17" s="548">
        <f>'Ввод составов (база)'!G18</f>
        <v>2.09</v>
      </c>
      <c r="G17" s="548">
        <f>'Ввод составов (база)'!H18</f>
        <v>10.33</v>
      </c>
      <c r="H17" s="548">
        <f>'Ввод составов (база)'!I18</f>
        <v>2.0499999999999998</v>
      </c>
      <c r="I17" s="548">
        <f>'Ввод составов (база)'!J18</f>
        <v>3.7999999999999999E-2</v>
      </c>
      <c r="J17" s="548">
        <f>'Ввод составов (база)'!K18</f>
        <v>4.5999999999999999E-2</v>
      </c>
      <c r="K17" s="548">
        <f>'Ввод составов (база)'!L18</f>
        <v>0</v>
      </c>
      <c r="L17" s="548">
        <f>'Ввод составов (база)'!M18</f>
        <v>3.9E-2</v>
      </c>
      <c r="M17" s="548">
        <f>'Ввод составов (база)'!N18</f>
        <v>0</v>
      </c>
      <c r="N17" s="548">
        <f>'Ввод составов (база)'!O18</f>
        <v>0</v>
      </c>
      <c r="O17" s="548">
        <f>'Ввод составов (база)'!P18</f>
        <v>0.32</v>
      </c>
      <c r="P17" s="548">
        <f>'Ввод составов (база)'!Q18</f>
        <v>3.7999999999999999E-2</v>
      </c>
      <c r="Q17" s="548">
        <f>'Ввод составов (база)'!R18</f>
        <v>1.7361344537815127</v>
      </c>
    </row>
    <row r="18" spans="1:17" x14ac:dyDescent="0.2">
      <c r="A18" s="549" t="s">
        <v>716</v>
      </c>
      <c r="B18" s="548">
        <f>База!A3</f>
        <v>58.267282326654183</v>
      </c>
      <c r="C18" s="548">
        <f>База!B3</f>
        <v>6.4238321200326762</v>
      </c>
      <c r="D18" s="548">
        <f>База!C3</f>
        <v>41.410913098841959</v>
      </c>
      <c r="E18" s="548">
        <f>База!D3</f>
        <v>6.5190328792465531</v>
      </c>
      <c r="F18" s="548">
        <f>База!E3</f>
        <v>1.4829939755417814</v>
      </c>
      <c r="G18" s="548">
        <f>База!F3</f>
        <v>7.3530281942242102</v>
      </c>
      <c r="H18" s="548" t="e">
        <f>База!#REF!</f>
        <v>#REF!</v>
      </c>
      <c r="I18" s="548">
        <f>База!I3</f>
        <v>2.2673946470616501E-2</v>
      </c>
      <c r="J18" s="548">
        <f>База!J3</f>
        <v>3.384537624333285E-2</v>
      </c>
      <c r="K18" s="548">
        <f>База!K3</f>
        <v>0.29338210561722167</v>
      </c>
      <c r="L18" s="548">
        <f>База!L3</f>
        <v>2.8175688337898235E-2</v>
      </c>
      <c r="M18" s="548">
        <f>База!M3</f>
        <v>2.7048796309643942E-2</v>
      </c>
      <c r="N18" s="548">
        <f>База!N3</f>
        <v>0.10956844997837684</v>
      </c>
      <c r="O18" s="548">
        <f>База!O3</f>
        <v>0.3371555307289415</v>
      </c>
      <c r="P18" s="548">
        <f>База!P3</f>
        <v>3.3808911152755756E-2</v>
      </c>
      <c r="Q18" s="548">
        <f>G18/E18</f>
        <v>1.1279323682555269</v>
      </c>
    </row>
    <row r="19" spans="1:17" x14ac:dyDescent="0.2">
      <c r="A19" s="558"/>
      <c r="B19" s="559"/>
      <c r="C19" s="559"/>
      <c r="D19" s="559"/>
      <c r="E19" s="559"/>
      <c r="F19" s="559"/>
      <c r="G19" s="559"/>
      <c r="H19" s="559"/>
      <c r="I19" s="559"/>
      <c r="J19" s="559"/>
      <c r="K19" s="559"/>
      <c r="L19" s="559"/>
      <c r="M19" s="559"/>
      <c r="N19" s="559"/>
      <c r="O19" s="559"/>
      <c r="P19" s="559"/>
      <c r="Q19" s="554"/>
    </row>
    <row r="20" spans="1:17" x14ac:dyDescent="0.2">
      <c r="A20" s="552" t="s">
        <v>720</v>
      </c>
      <c r="B20" s="553"/>
      <c r="C20" s="553"/>
      <c r="D20" s="553"/>
      <c r="E20" s="553"/>
      <c r="F20" s="553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</row>
    <row r="21" spans="1:17" x14ac:dyDescent="0.2">
      <c r="A21" s="546" t="s">
        <v>474</v>
      </c>
      <c r="B21" s="546" t="s">
        <v>8</v>
      </c>
      <c r="C21" s="546" t="s">
        <v>6</v>
      </c>
      <c r="D21" s="546" t="s">
        <v>7</v>
      </c>
      <c r="E21" s="546" t="s">
        <v>9</v>
      </c>
      <c r="F21" s="546" t="s">
        <v>16</v>
      </c>
      <c r="G21" s="546" t="s">
        <v>12</v>
      </c>
      <c r="H21" s="546" t="s">
        <v>10</v>
      </c>
      <c r="I21" s="546" t="s">
        <v>11</v>
      </c>
      <c r="J21" s="546" t="s">
        <v>94</v>
      </c>
      <c r="K21" s="554"/>
      <c r="L21" s="554"/>
      <c r="M21" s="555"/>
      <c r="N21" s="554"/>
      <c r="O21" s="554"/>
      <c r="P21" s="554"/>
      <c r="Q21" s="554"/>
    </row>
    <row r="22" spans="1:17" x14ac:dyDescent="0.2">
      <c r="A22" s="547" t="s">
        <v>196</v>
      </c>
      <c r="B22" s="548">
        <f>'Ввод составов (база)'!C24</f>
        <v>52.7</v>
      </c>
      <c r="C22" s="548">
        <f>'Ввод составов (база)'!D24</f>
        <v>0.09</v>
      </c>
      <c r="D22" s="548">
        <f>'Ввод составов (база)'!E24</f>
        <v>0.04</v>
      </c>
      <c r="E22" s="548">
        <f>'Ввод составов (база)'!F24</f>
        <v>2.6</v>
      </c>
      <c r="F22" s="548">
        <f>'Ввод составов (база)'!G24</f>
        <v>0</v>
      </c>
      <c r="G22" s="548">
        <f>'Ввод составов (база)'!H24</f>
        <v>0</v>
      </c>
      <c r="H22" s="548">
        <f>'Ввод составов (база)'!I24</f>
        <v>0</v>
      </c>
      <c r="I22" s="548">
        <f>'Ввод составов (база)'!J24</f>
        <v>0</v>
      </c>
      <c r="J22" s="548">
        <f>'Ввод составов (база)'!K24</f>
        <v>44.3</v>
      </c>
      <c r="K22" s="554"/>
      <c r="L22" s="554"/>
      <c r="M22" s="555"/>
      <c r="N22" s="554"/>
      <c r="O22" s="554"/>
      <c r="P22" s="554"/>
      <c r="Q22" s="554"/>
    </row>
    <row r="23" spans="1:17" x14ac:dyDescent="0.2">
      <c r="A23" s="547" t="s">
        <v>98</v>
      </c>
      <c r="B23" s="548">
        <f>'Ввод составов (база)'!C25</f>
        <v>34.799999999999997</v>
      </c>
      <c r="C23" s="548">
        <f>'Ввод составов (база)'!D25</f>
        <v>0.13</v>
      </c>
      <c r="D23" s="548">
        <f>'Ввод составов (база)'!E25</f>
        <v>0.04</v>
      </c>
      <c r="E23" s="548">
        <f>'Ввод составов (база)'!F25</f>
        <v>18</v>
      </c>
      <c r="F23" s="548">
        <f>'Ввод составов (база)'!G25</f>
        <v>0</v>
      </c>
      <c r="G23" s="548">
        <f>'Ввод составов (база)'!H25</f>
        <v>0</v>
      </c>
      <c r="H23" s="548">
        <f>'Ввод составов (база)'!I25</f>
        <v>0</v>
      </c>
      <c r="I23" s="548">
        <f>'Ввод составов (база)'!J25</f>
        <v>0</v>
      </c>
      <c r="J23" s="548">
        <f>'Ввод составов (база)'!K25</f>
        <v>47.03</v>
      </c>
      <c r="K23" s="554"/>
      <c r="L23" s="554"/>
      <c r="M23" s="554"/>
      <c r="N23" s="554"/>
      <c r="O23" s="554"/>
      <c r="P23" s="554"/>
      <c r="Q23" s="554"/>
    </row>
    <row r="24" spans="1:17" x14ac:dyDescent="0.2">
      <c r="A24" s="547" t="s">
        <v>99</v>
      </c>
      <c r="B24" s="548">
        <f>'Ввод составов (база)'!C26</f>
        <v>0</v>
      </c>
      <c r="C24" s="548">
        <f>'Ввод составов (база)'!D26</f>
        <v>97.5</v>
      </c>
      <c r="D24" s="548">
        <f>'Ввод составов (база)'!E26</f>
        <v>0.8</v>
      </c>
      <c r="E24" s="548">
        <f>'Ввод составов (база)'!F26</f>
        <v>0</v>
      </c>
      <c r="F24" s="548">
        <f>'Ввод составов (база)'!G26</f>
        <v>0</v>
      </c>
      <c r="G24" s="548">
        <f>'Ввод составов (база)'!H26</f>
        <v>0</v>
      </c>
      <c r="H24" s="548">
        <f>'Ввод составов (база)'!I26</f>
        <v>0</v>
      </c>
      <c r="I24" s="548">
        <f>'Ввод составов (база)'!J26</f>
        <v>0</v>
      </c>
      <c r="J24" s="548">
        <f>'Ввод составов (база)'!K26</f>
        <v>0</v>
      </c>
      <c r="K24" s="554"/>
      <c r="L24" s="554"/>
      <c r="M24" s="554"/>
      <c r="N24" s="554"/>
      <c r="O24" s="554"/>
      <c r="P24" s="554"/>
      <c r="Q24" s="554"/>
    </row>
    <row r="25" spans="1:17" x14ac:dyDescent="0.2">
      <c r="A25" s="547" t="s">
        <v>483</v>
      </c>
      <c r="B25" s="548">
        <f>'Ввод составов (база)'!C27</f>
        <v>38.5</v>
      </c>
      <c r="C25" s="548">
        <f>'Ввод составов (база)'!D27</f>
        <v>36.1</v>
      </c>
      <c r="D25" s="548">
        <f>'Ввод составов (база)'!E27</f>
        <v>12</v>
      </c>
      <c r="E25" s="548">
        <f>'Ввод составов (база)'!F27</f>
        <v>7.7</v>
      </c>
      <c r="F25" s="548">
        <f>'Ввод составов (база)'!G27</f>
        <v>1.1599999999999999</v>
      </c>
      <c r="G25" s="548">
        <f>'Ввод составов (база)'!H27</f>
        <v>0</v>
      </c>
      <c r="H25" s="548">
        <f>'Ввод составов (база)'!I27</f>
        <v>0</v>
      </c>
      <c r="I25" s="548">
        <f>'Ввод составов (база)'!J27</f>
        <v>0.88</v>
      </c>
      <c r="J25" s="548">
        <f>'Ввод составов (база)'!K27</f>
        <v>0</v>
      </c>
      <c r="K25" s="554"/>
      <c r="L25" s="554"/>
      <c r="M25" s="554"/>
      <c r="N25" s="554"/>
      <c r="O25" s="554"/>
      <c r="P25" s="554"/>
      <c r="Q25" s="554"/>
    </row>
    <row r="26" spans="1:17" x14ac:dyDescent="0.2">
      <c r="A26" s="547" t="s">
        <v>90</v>
      </c>
      <c r="B26" s="548">
        <f>'Ввод составов (база)'!C28</f>
        <v>0</v>
      </c>
      <c r="C26" s="548">
        <f>'Ввод составов (база)'!D28</f>
        <v>0</v>
      </c>
      <c r="D26" s="548">
        <f>'Ввод составов (база)'!E28</f>
        <v>0</v>
      </c>
      <c r="E26" s="548">
        <f>'Ввод составов (база)'!F28</f>
        <v>0</v>
      </c>
      <c r="F26" s="548">
        <f>'Ввод составов (база)'!G28</f>
        <v>0</v>
      </c>
      <c r="G26" s="548">
        <f>'Ввод составов (база)'!H28</f>
        <v>0</v>
      </c>
      <c r="H26" s="548">
        <f>'Ввод составов (база)'!I28</f>
        <v>0</v>
      </c>
      <c r="I26" s="548">
        <f>'Ввод составов (база)'!J28</f>
        <v>0</v>
      </c>
      <c r="J26" s="548">
        <f>'Ввод составов (база)'!K28</f>
        <v>0</v>
      </c>
      <c r="K26" s="554"/>
      <c r="L26" s="554"/>
      <c r="M26" s="554"/>
      <c r="N26" s="554"/>
      <c r="O26" s="554"/>
      <c r="P26" s="554"/>
      <c r="Q26" s="554"/>
    </row>
    <row r="27" spans="1:17" x14ac:dyDescent="0.2">
      <c r="A27" s="554"/>
      <c r="B27" s="554"/>
      <c r="C27" s="554"/>
      <c r="D27" s="554"/>
      <c r="E27" s="554"/>
      <c r="F27" s="554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</row>
    <row r="28" spans="1:17" x14ac:dyDescent="0.2">
      <c r="A28" s="555" t="s">
        <v>198</v>
      </c>
      <c r="B28" s="556"/>
      <c r="C28" s="556"/>
      <c r="D28" s="556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</row>
    <row r="29" spans="1:17" x14ac:dyDescent="0.2">
      <c r="A29" s="546" t="s">
        <v>100</v>
      </c>
      <c r="B29" s="546" t="s">
        <v>101</v>
      </c>
      <c r="C29" s="546" t="s">
        <v>102</v>
      </c>
      <c r="D29" s="546" t="s">
        <v>103</v>
      </c>
      <c r="E29" s="554"/>
      <c r="F29" s="554"/>
      <c r="G29" s="554"/>
      <c r="H29" s="554"/>
      <c r="I29" s="554"/>
      <c r="J29" s="554"/>
      <c r="K29" s="554"/>
      <c r="L29" s="554"/>
      <c r="M29" s="554"/>
      <c r="N29" s="554"/>
      <c r="O29" s="554"/>
      <c r="P29" s="554"/>
      <c r="Q29" s="554"/>
    </row>
    <row r="30" spans="1:17" x14ac:dyDescent="0.2">
      <c r="A30" s="546">
        <f>'Ввод составов (база)'!A33</f>
        <v>13.07</v>
      </c>
      <c r="B30" s="546">
        <f>'Ввод составов (база)'!B33</f>
        <v>0.44</v>
      </c>
      <c r="C30" s="546">
        <f>'Ввод составов (база)'!C33</f>
        <v>1.31</v>
      </c>
      <c r="D30" s="546">
        <f>'Ввод составов (база)'!D33</f>
        <v>85.18</v>
      </c>
      <c r="E30" s="554"/>
      <c r="F30" s="554"/>
      <c r="G30" s="554"/>
      <c r="H30" s="554"/>
      <c r="I30" s="554"/>
      <c r="J30" s="554"/>
      <c r="K30" s="554"/>
      <c r="L30" s="554"/>
      <c r="M30" s="554"/>
      <c r="N30" s="554"/>
      <c r="O30" s="554"/>
      <c r="P30" s="554"/>
      <c r="Q30" s="554"/>
    </row>
    <row r="31" spans="1:17" x14ac:dyDescent="0.2">
      <c r="A31" s="554"/>
      <c r="B31" s="554"/>
      <c r="C31" s="554"/>
      <c r="D31" s="554"/>
      <c r="E31" s="554"/>
      <c r="F31" s="554"/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</row>
    <row r="32" spans="1:17" x14ac:dyDescent="0.2">
      <c r="A32" s="555" t="s">
        <v>717</v>
      </c>
      <c r="B32" s="556"/>
      <c r="C32" s="556"/>
      <c r="D32" s="556"/>
      <c r="E32" s="556"/>
      <c r="F32" s="556"/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</row>
    <row r="33" spans="1:17" x14ac:dyDescent="0.2">
      <c r="A33" s="546" t="s">
        <v>3</v>
      </c>
      <c r="B33" s="546" t="s">
        <v>8</v>
      </c>
      <c r="C33" s="546" t="s">
        <v>6</v>
      </c>
      <c r="D33" s="546" t="s">
        <v>7</v>
      </c>
      <c r="E33" s="546" t="s">
        <v>9</v>
      </c>
      <c r="F33" s="546" t="s">
        <v>10</v>
      </c>
      <c r="G33" s="554"/>
      <c r="H33" s="554"/>
      <c r="I33" s="554"/>
      <c r="J33" s="554"/>
      <c r="K33" s="554"/>
      <c r="L33" s="554"/>
      <c r="M33" s="554"/>
      <c r="N33" s="554"/>
      <c r="O33" s="554"/>
      <c r="P33" s="554"/>
      <c r="Q33" s="554"/>
    </row>
    <row r="34" spans="1:17" x14ac:dyDescent="0.2">
      <c r="A34" s="542">
        <f>'Ввод составов (база)'!A37</f>
        <v>8.8000000000000007</v>
      </c>
      <c r="B34" s="542">
        <f>'Ввод составов (база)'!B37</f>
        <v>6.093</v>
      </c>
      <c r="C34" s="542">
        <f>'Ввод составов (база)'!C37</f>
        <v>50.274999999999999</v>
      </c>
      <c r="D34" s="542">
        <f>'Ввод составов (база)'!D37</f>
        <v>24.65</v>
      </c>
      <c r="E34" s="542">
        <f>'Ввод составов (база)'!E37</f>
        <v>2.0369999999999999</v>
      </c>
      <c r="F34" s="542">
        <f>'Ввод составов (база)'!F37</f>
        <v>0</v>
      </c>
      <c r="G34" s="543"/>
      <c r="H34" s="543"/>
      <c r="I34" s="543"/>
      <c r="J34" s="543"/>
      <c r="K34" s="543"/>
      <c r="L34" s="543"/>
      <c r="M34" s="543"/>
      <c r="N34" s="543"/>
      <c r="O34" s="543"/>
      <c r="P34" s="543"/>
      <c r="Q34" s="543"/>
    </row>
    <row r="36" spans="1:17" ht="15.75" x14ac:dyDescent="0.2">
      <c r="B36" s="399"/>
      <c r="C36" s="399"/>
      <c r="D36" s="399"/>
      <c r="E36" s="399"/>
      <c r="F36" s="399"/>
      <c r="G36" s="557" t="s">
        <v>647</v>
      </c>
      <c r="H36" s="399"/>
      <c r="I36" s="399"/>
      <c r="J36" s="399"/>
      <c r="K36" s="399"/>
      <c r="L36" s="399"/>
      <c r="M36" s="399"/>
      <c r="N36" s="399"/>
      <c r="O36" s="399"/>
      <c r="P36" s="399"/>
      <c r="Q36" s="399"/>
    </row>
    <row r="37" spans="1:17" x14ac:dyDescent="0.2">
      <c r="A37" s="544" t="s">
        <v>719</v>
      </c>
      <c r="B37" s="545"/>
      <c r="C37" s="545"/>
      <c r="D37" s="545"/>
      <c r="E37" s="545"/>
      <c r="F37" s="399"/>
      <c r="G37" s="545"/>
      <c r="H37" s="545"/>
      <c r="I37" s="545"/>
      <c r="J37" s="545"/>
      <c r="K37" s="545"/>
      <c r="L37" s="545"/>
      <c r="M37" s="545"/>
      <c r="N37" s="545"/>
      <c r="O37" s="545"/>
      <c r="P37" s="545"/>
      <c r="Q37" s="399"/>
    </row>
    <row r="38" spans="1:17" x14ac:dyDescent="0.2">
      <c r="A38" s="546" t="s">
        <v>474</v>
      </c>
      <c r="B38" s="546" t="s">
        <v>3</v>
      </c>
      <c r="C38" s="546" t="s">
        <v>4</v>
      </c>
      <c r="D38" s="546" t="s">
        <v>5</v>
      </c>
      <c r="E38" s="546" t="s">
        <v>6</v>
      </c>
      <c r="F38" s="546" t="s">
        <v>7</v>
      </c>
      <c r="G38" s="546" t="s">
        <v>8</v>
      </c>
      <c r="H38" s="546" t="s">
        <v>9</v>
      </c>
      <c r="I38" s="546" t="s">
        <v>10</v>
      </c>
      <c r="J38" s="546" t="s">
        <v>11</v>
      </c>
      <c r="K38" s="546" t="s">
        <v>12</v>
      </c>
      <c r="L38" s="546" t="s">
        <v>469</v>
      </c>
      <c r="M38" s="546" t="s">
        <v>94</v>
      </c>
      <c r="N38" s="546" t="s">
        <v>15</v>
      </c>
      <c r="O38" s="546" t="s">
        <v>16</v>
      </c>
      <c r="P38" s="546" t="s">
        <v>17</v>
      </c>
      <c r="Q38" s="546" t="s">
        <v>191</v>
      </c>
    </row>
    <row r="39" spans="1:17" x14ac:dyDescent="0.2">
      <c r="A39" s="547" t="s">
        <v>657</v>
      </c>
      <c r="B39" s="548">
        <f>'Ввод составов (проект)'!C4</f>
        <v>55.79844252614496</v>
      </c>
      <c r="C39" s="548">
        <f>'Ввод составов (проект)'!D4</f>
        <v>11.402831770645509</v>
      </c>
      <c r="D39" s="548">
        <f>'Ввод составов (проект)'!E4</f>
        <v>67.13484617742516</v>
      </c>
      <c r="E39" s="548">
        <f>'Ввод составов (проект)'!F4</f>
        <v>5.950424765596825</v>
      </c>
      <c r="F39" s="548">
        <f>'Ввод составов (проект)'!G4</f>
        <v>2.0901415885322749</v>
      </c>
      <c r="G39" s="548">
        <f>'Ввод составов (проект)'!H4</f>
        <v>10.330424765596826</v>
      </c>
      <c r="H39" s="548">
        <f>'Ввод составов (проект)'!I4</f>
        <v>2.0499999999999998</v>
      </c>
      <c r="I39" s="548">
        <f>'Ввод составов (проект)'!J4</f>
        <v>3.7999999999999999E-2</v>
      </c>
      <c r="J39" s="548">
        <f>'Ввод составов (проект)'!K4</f>
        <v>4.5971682293544897E-2</v>
      </c>
      <c r="K39" s="548">
        <f>'Ввод составов (проект)'!L4</f>
        <v>0</v>
      </c>
      <c r="L39" s="548">
        <f>'Ввод составов (проект)'!M4</f>
        <v>3.9E-2</v>
      </c>
      <c r="M39" s="548">
        <f>'Ввод составов (проект)'!N4</f>
        <v>0</v>
      </c>
      <c r="N39" s="548">
        <f>'Ввод составов (проект)'!O4</f>
        <v>4.8964146231518214E-2</v>
      </c>
      <c r="O39" s="548">
        <f>'Ввод составов (проект)'!P4</f>
        <v>0.32</v>
      </c>
      <c r="P39" s="548">
        <f>'Ввод составов (проект)'!Q4</f>
        <v>3.7943364587089787E-2</v>
      </c>
      <c r="Q39" s="548">
        <f>'Ввод составов (проект)'!R4</f>
        <v>1.7360819055008569</v>
      </c>
    </row>
    <row r="40" spans="1:17" x14ac:dyDescent="0.2">
      <c r="A40" s="547" t="s">
        <v>465</v>
      </c>
      <c r="B40" s="548">
        <f>'Ввод составов (проект)'!C5</f>
        <v>62.7</v>
      </c>
      <c r="C40" s="548">
        <f>'Ввод составов (проект)'!D5</f>
        <v>0</v>
      </c>
      <c r="D40" s="548">
        <f>'Ввод составов (проект)'!E5</f>
        <v>0</v>
      </c>
      <c r="E40" s="548">
        <f>'Ввод составов (проект)'!F5</f>
        <v>5.41</v>
      </c>
      <c r="F40" s="548">
        <f>'Ввод составов (проект)'!G5</f>
        <v>1.8</v>
      </c>
      <c r="G40" s="548">
        <f>'Ввод составов (проект)'!H5</f>
        <v>1.82</v>
      </c>
      <c r="H40" s="548">
        <f>'Ввод составов (проект)'!I5</f>
        <v>1.05</v>
      </c>
      <c r="I40" s="548">
        <f>'Ввод составов (проект)'!J5</f>
        <v>1.2E-2</v>
      </c>
      <c r="J40" s="548">
        <f>'Ввод составов (проект)'!K5</f>
        <v>3.3000000000000002E-2</v>
      </c>
      <c r="K40" s="548">
        <f>'Ввод составов (проект)'!L5</f>
        <v>0.2</v>
      </c>
      <c r="L40" s="548">
        <f>'Ввод составов (проект)'!M5</f>
        <v>0.01</v>
      </c>
      <c r="M40" s="548">
        <f>'Ввод составов (проект)'!N5</f>
        <v>0</v>
      </c>
      <c r="N40" s="548">
        <f>'Ввод составов (проект)'!O5</f>
        <v>0</v>
      </c>
      <c r="O40" s="548">
        <f>'Ввод составов (проект)'!P5</f>
        <v>0.34</v>
      </c>
      <c r="P40" s="548">
        <f>'Ввод составов (проект)'!Q5</f>
        <v>1.2999999999999999E-2</v>
      </c>
      <c r="Q40" s="548">
        <f>'Ввод составов (проект)'!R5</f>
        <v>0.33641404805914971</v>
      </c>
    </row>
    <row r="41" spans="1:17" x14ac:dyDescent="0.2">
      <c r="A41" s="547" t="s">
        <v>95</v>
      </c>
      <c r="B41" s="548">
        <f>'Ввод составов (проект)'!C6</f>
        <v>65.599999999999994</v>
      </c>
      <c r="C41" s="548">
        <f>'Ввод составов (проект)'!D6</f>
        <v>0</v>
      </c>
      <c r="D41" s="548">
        <f>'Ввод составов (проект)'!E6</f>
        <v>0</v>
      </c>
      <c r="E41" s="548">
        <f>'Ввод составов (проект)'!F6</f>
        <v>5.08</v>
      </c>
      <c r="F41" s="548">
        <f>'Ввод составов (проект)'!G6</f>
        <v>0.28999999999999998</v>
      </c>
      <c r="G41" s="548">
        <f>'Ввод составов (проект)'!H6</f>
        <v>0.68</v>
      </c>
      <c r="H41" s="548">
        <f>'Ввод составов (проект)'!I6</f>
        <v>0.38</v>
      </c>
      <c r="I41" s="548">
        <f>'Ввод составов (проект)'!J6</f>
        <v>0.01</v>
      </c>
      <c r="J41" s="548">
        <f>'Ввод составов (проект)'!K6</f>
        <v>1.6E-2</v>
      </c>
      <c r="K41" s="548">
        <f>'Ввод составов (проект)'!L6</f>
        <v>0.02</v>
      </c>
      <c r="L41" s="548">
        <f>'Ввод составов (проект)'!M6</f>
        <v>8.9999999999999993E-3</v>
      </c>
      <c r="M41" s="548">
        <f>'Ввод составов (проект)'!N6</f>
        <v>0.1</v>
      </c>
      <c r="N41" s="548">
        <f>'Ввод составов (проект)'!O6</f>
        <v>0</v>
      </c>
      <c r="O41" s="548">
        <f>'Ввод составов (проект)'!P6</f>
        <v>0</v>
      </c>
      <c r="P41" s="548">
        <f>'Ввод составов (проект)'!Q6</f>
        <v>8.9999999999999993E-3</v>
      </c>
      <c r="Q41" s="548">
        <f>'Ввод составов (проект)'!R6</f>
        <v>0.13385826771653545</v>
      </c>
    </row>
    <row r="42" spans="1:17" x14ac:dyDescent="0.2">
      <c r="A42" s="547" t="s">
        <v>96</v>
      </c>
      <c r="B42" s="548">
        <f>'Ввод составов (проект)'!C7</f>
        <v>60.8</v>
      </c>
      <c r="C42" s="548">
        <f>'Ввод составов (проект)'!D7</f>
        <v>0</v>
      </c>
      <c r="D42" s="548">
        <f>'Ввод составов (проект)'!E7</f>
        <v>0</v>
      </c>
      <c r="E42" s="548">
        <f>'Ввод составов (проект)'!F7</f>
        <v>4.09</v>
      </c>
      <c r="F42" s="548">
        <f>'Ввод составов (проект)'!G7</f>
        <v>2.38</v>
      </c>
      <c r="G42" s="548">
        <f>'Ввод составов (проект)'!H7</f>
        <v>1.26</v>
      </c>
      <c r="H42" s="548">
        <f>'Ввод составов (проект)'!I7</f>
        <v>2.4</v>
      </c>
      <c r="I42" s="548">
        <f>'Ввод составов (проект)'!J7</f>
        <v>0</v>
      </c>
      <c r="J42" s="548">
        <f>'Ввод составов (проект)'!K7</f>
        <v>1.4E-2</v>
      </c>
      <c r="K42" s="548">
        <f>'Ввод составов (проект)'!L7</f>
        <v>0.2</v>
      </c>
      <c r="L42" s="548">
        <f>'Ввод составов (проект)'!M7</f>
        <v>6.2E-2</v>
      </c>
      <c r="M42" s="548">
        <f>'Ввод составов (проект)'!N7</f>
        <v>0.1</v>
      </c>
      <c r="N42" s="548">
        <f>'Ввод составов (проект)'!O7</f>
        <v>0</v>
      </c>
      <c r="O42" s="548">
        <f>'Ввод составов (проект)'!P7</f>
        <v>2.67</v>
      </c>
      <c r="P42" s="548">
        <f>'Ввод составов (проект)'!Q7</f>
        <v>5.8000000000000003E-2</v>
      </c>
      <c r="Q42" s="548">
        <f>'Ввод составов (проект)'!R7</f>
        <v>0.30806845965770174</v>
      </c>
    </row>
    <row r="43" spans="1:17" x14ac:dyDescent="0.2">
      <c r="A43" s="547" t="s">
        <v>97</v>
      </c>
      <c r="B43" s="548">
        <f>'Ввод составов (проект)'!C8</f>
        <v>63.1</v>
      </c>
      <c r="C43" s="548">
        <f>'Ввод составов (проект)'!D8</f>
        <v>0</v>
      </c>
      <c r="D43" s="548">
        <f>'Ввод составов (проект)'!E8</f>
        <v>0</v>
      </c>
      <c r="E43" s="548">
        <f>'Ввод составов (проект)'!F8</f>
        <v>8.3800000000000008</v>
      </c>
      <c r="F43" s="548">
        <f>'Ввод составов (проект)'!G8</f>
        <v>0.23</v>
      </c>
      <c r="G43" s="548">
        <f>'Ввод составов (проект)'!H8</f>
        <v>0.6</v>
      </c>
      <c r="H43" s="548">
        <f>'Ввод составов (проект)'!I8</f>
        <v>0.27</v>
      </c>
      <c r="I43" s="548">
        <f>'Ввод составов (проект)'!J8</f>
        <v>1.0999999999999999E-2</v>
      </c>
      <c r="J43" s="548">
        <f>'Ввод составов (проект)'!K8</f>
        <v>8.9999999999999993E-3</v>
      </c>
      <c r="K43" s="548">
        <f>'Ввод составов (проект)'!L8</f>
        <v>0.03</v>
      </c>
      <c r="L43" s="548">
        <f>'Ввод составов (проект)'!M8</f>
        <v>5.0000000000000001E-3</v>
      </c>
      <c r="M43" s="548">
        <f>'Ввод составов (проект)'!N8</f>
        <v>0.2</v>
      </c>
      <c r="N43" s="548">
        <f>'Ввод составов (проект)'!O8</f>
        <v>0</v>
      </c>
      <c r="O43" s="548">
        <f>'Ввод составов (проект)'!P8</f>
        <v>0</v>
      </c>
      <c r="P43" s="548">
        <f>'Ввод составов (проект)'!Q8</f>
        <v>6.0000000000000001E-3</v>
      </c>
      <c r="Q43" s="548">
        <f>'Ввод составов (проект)'!R8</f>
        <v>7.159904534606204E-2</v>
      </c>
    </row>
    <row r="44" spans="1:17" x14ac:dyDescent="0.2">
      <c r="A44" s="547" t="s">
        <v>30</v>
      </c>
      <c r="B44" s="548">
        <f>'Ввод составов (проект)'!C9</f>
        <v>68.599999999999994</v>
      </c>
      <c r="C44" s="548">
        <f>'Ввод составов (проект)'!D9</f>
        <v>57.9</v>
      </c>
      <c r="D44" s="548">
        <f>'Ввод составов (проект)'!E9</f>
        <v>33.799999999999997</v>
      </c>
      <c r="E44" s="548">
        <f>'Ввод составов (проект)'!F9</f>
        <v>4.9000000000000004</v>
      </c>
      <c r="F44" s="548">
        <f>'Ввод составов (проект)'!G9</f>
        <v>0.77</v>
      </c>
      <c r="G44" s="548">
        <f>'Ввод составов (проект)'!H9</f>
        <v>0.5</v>
      </c>
      <c r="H44" s="548">
        <f>'Ввод составов (проект)'!I9</f>
        <v>0.64</v>
      </c>
      <c r="I44" s="548">
        <f>'Ввод составов (проект)'!J9</f>
        <v>0.01</v>
      </c>
      <c r="J44" s="548">
        <f>'Ввод составов (проект)'!K9</f>
        <v>3.7999999999999999E-2</v>
      </c>
      <c r="K44" s="548">
        <f>'Ввод составов (проект)'!L9</f>
        <v>0.76</v>
      </c>
      <c r="L44" s="548">
        <f>'Ввод составов (проект)'!M9</f>
        <v>2.7E-2</v>
      </c>
      <c r="M44" s="548">
        <f>'Ввод составов (проект)'!N9</f>
        <v>0.1</v>
      </c>
      <c r="N44" s="548">
        <f>'Ввод составов (проект)'!O9</f>
        <v>0</v>
      </c>
      <c r="O44" s="548">
        <f>'Ввод составов (проект)'!P9</f>
        <v>0</v>
      </c>
      <c r="P44" s="548">
        <f>'Ввод составов (проект)'!Q9</f>
        <v>0.43</v>
      </c>
      <c r="Q44" s="548">
        <f>'Ввод составов (проект)'!R9</f>
        <v>0.1020408163265306</v>
      </c>
    </row>
    <row r="45" spans="1:17" x14ac:dyDescent="0.2">
      <c r="A45" s="547" t="s">
        <v>88</v>
      </c>
      <c r="B45" s="548">
        <f>'Ввод составов (проект)'!C10</f>
        <v>67.099999999999994</v>
      </c>
      <c r="C45" s="548">
        <f>'Ввод составов (проект)'!D10</f>
        <v>10.435</v>
      </c>
      <c r="D45" s="548">
        <f>'Ввод составов (проект)'!E10</f>
        <v>7.74</v>
      </c>
      <c r="E45" s="548">
        <f>'Ввод составов (проект)'!F10</f>
        <v>6.5250000000000004</v>
      </c>
      <c r="F45" s="548">
        <f>'Ввод составов (проект)'!G10</f>
        <v>1.4850000000000001</v>
      </c>
      <c r="G45" s="548">
        <f>'Ввод составов (проект)'!H10</f>
        <v>9.3249999999999993</v>
      </c>
      <c r="H45" s="548">
        <f>'Ввод составов (проект)'!I10</f>
        <v>4.8</v>
      </c>
      <c r="I45" s="548">
        <f>'Ввод составов (проект)'!J10</f>
        <v>0.121</v>
      </c>
      <c r="J45" s="548">
        <f>'Ввод составов (проект)'!K10</f>
        <v>4.9000000000000002E-2</v>
      </c>
      <c r="K45" s="548">
        <f>'Ввод составов (проект)'!L10</f>
        <v>1.5249999999999999</v>
      </c>
      <c r="L45" s="548">
        <f>'Ввод составов (проект)'!M10</f>
        <v>0.27</v>
      </c>
      <c r="M45" s="548">
        <f>'Ввод составов (проект)'!N10</f>
        <v>0</v>
      </c>
      <c r="N45" s="548">
        <f>'Ввод составов (проект)'!O10</f>
        <v>0.55000000000000004</v>
      </c>
      <c r="O45" s="548">
        <f>'Ввод составов (проект)'!P10</f>
        <v>0.35</v>
      </c>
      <c r="P45" s="548">
        <f>'Ввод составов (проект)'!Q10</f>
        <v>0.26</v>
      </c>
      <c r="Q45" s="548">
        <f>'Ввод составов (проект)'!R10</f>
        <v>1.42911877394636</v>
      </c>
    </row>
    <row r="46" spans="1:17" x14ac:dyDescent="0.2">
      <c r="A46" s="547" t="s">
        <v>89</v>
      </c>
      <c r="B46" s="548">
        <f>'Ввод составов (проект)'!C11</f>
        <v>0</v>
      </c>
      <c r="C46" s="548">
        <f>'Ввод составов (проект)'!D11</f>
        <v>0</v>
      </c>
      <c r="D46" s="548">
        <f>'Ввод составов (проект)'!E11</f>
        <v>0</v>
      </c>
      <c r="E46" s="548">
        <f>'Ввод составов (проект)'!F11</f>
        <v>0</v>
      </c>
      <c r="F46" s="548">
        <f>'Ввод составов (проект)'!G11</f>
        <v>0</v>
      </c>
      <c r="G46" s="548">
        <f>'Ввод составов (проект)'!H11</f>
        <v>0</v>
      </c>
      <c r="H46" s="548">
        <f>'Ввод составов (проект)'!I11</f>
        <v>0</v>
      </c>
      <c r="I46" s="548">
        <f>'Ввод составов (проект)'!J11</f>
        <v>0</v>
      </c>
      <c r="J46" s="548">
        <f>'Ввод составов (проект)'!K11</f>
        <v>0</v>
      </c>
      <c r="K46" s="548">
        <f>'Ввод составов (проект)'!L11</f>
        <v>0</v>
      </c>
      <c r="L46" s="548">
        <f>'Ввод составов (проект)'!M11</f>
        <v>0</v>
      </c>
      <c r="M46" s="548">
        <f>'Ввод составов (проект)'!N11</f>
        <v>0</v>
      </c>
      <c r="N46" s="548">
        <f>'Ввод составов (проект)'!O11</f>
        <v>0</v>
      </c>
      <c r="O46" s="548">
        <f>'Ввод составов (проект)'!P11</f>
        <v>0</v>
      </c>
      <c r="P46" s="548">
        <f>'Ввод составов (проект)'!Q11</f>
        <v>0</v>
      </c>
      <c r="Q46" s="548">
        <f>'Ввод составов (проект)'!R11</f>
        <v>0</v>
      </c>
    </row>
    <row r="47" spans="1:17" x14ac:dyDescent="0.2">
      <c r="A47" s="547" t="s">
        <v>466</v>
      </c>
      <c r="B47" s="548">
        <f>'Ввод составов (проект)'!C12</f>
        <v>41.3</v>
      </c>
      <c r="C47" s="548">
        <f>'Ввод составов (проект)'!D12</f>
        <v>8.4</v>
      </c>
      <c r="D47" s="548">
        <f>'Ввод составов (проект)'!E12</f>
        <v>49.7</v>
      </c>
      <c r="E47" s="548">
        <f>'Ввод составов (проект)'!F12</f>
        <v>38</v>
      </c>
      <c r="F47" s="548">
        <f>'Ввод составов (проект)'!G12</f>
        <v>0.18</v>
      </c>
      <c r="G47" s="548">
        <f>'Ввод составов (проект)'!H12</f>
        <v>0.83</v>
      </c>
      <c r="H47" s="548">
        <f>'Ввод составов (проект)'!I12</f>
        <v>0.41</v>
      </c>
      <c r="I47" s="548">
        <f>'Ввод составов (проект)'!J12</f>
        <v>4.1000000000000002E-2</v>
      </c>
      <c r="J47" s="548">
        <f>'Ввод составов (проект)'!K12</f>
        <v>2.9000000000000001E-2</v>
      </c>
      <c r="K47" s="548">
        <f>'Ввод составов (проект)'!L12</f>
        <v>0.03</v>
      </c>
      <c r="L47" s="548">
        <f>'Ввод составов (проект)'!M12</f>
        <v>1.4999999999999999E-2</v>
      </c>
      <c r="M47" s="548">
        <f>'Ввод составов (проект)'!N12</f>
        <v>2</v>
      </c>
      <c r="N47" s="548">
        <f>'Ввод составов (проект)'!O12</f>
        <v>0.9</v>
      </c>
      <c r="O47" s="548">
        <f>'Ввод составов (проект)'!P12</f>
        <v>0</v>
      </c>
      <c r="P47" s="548">
        <f>'Ввод составов (проект)'!Q12</f>
        <v>0.31</v>
      </c>
      <c r="Q47" s="548">
        <f>'Ввод составов (проект)'!R12</f>
        <v>2.1842105263157895E-2</v>
      </c>
    </row>
    <row r="48" spans="1:17" x14ac:dyDescent="0.2">
      <c r="A48" s="547" t="s">
        <v>467</v>
      </c>
      <c r="B48" s="548">
        <f>'Ввод составов (проект)'!C13</f>
        <v>24.6</v>
      </c>
      <c r="C48" s="548">
        <f>'Ввод составов (проект)'!D13</f>
        <v>0</v>
      </c>
      <c r="D48" s="548">
        <f>'Ввод составов (проект)'!E13</f>
        <v>0</v>
      </c>
      <c r="E48" s="548">
        <f>'Ввод составов (проект)'!F13</f>
        <v>13.34</v>
      </c>
      <c r="F48" s="548">
        <f>'Ввод составов (проект)'!G13</f>
        <v>0.92</v>
      </c>
      <c r="G48" s="548">
        <f>'Ввод составов (проект)'!H13</f>
        <v>4.8600000000000003</v>
      </c>
      <c r="H48" s="548">
        <f>'Ввод составов (проект)'!I13</f>
        <v>0.4</v>
      </c>
      <c r="I48" s="548">
        <f>'Ввод составов (проект)'!J13</f>
        <v>3.4000000000000002E-2</v>
      </c>
      <c r="J48" s="548">
        <f>'Ввод составов (проект)'!K13</f>
        <v>8.1000000000000003E-2</v>
      </c>
      <c r="K48" s="548">
        <f>'Ввод составов (проект)'!L13</f>
        <v>23.23</v>
      </c>
      <c r="L48" s="548">
        <f>'Ввод составов (проект)'!M13</f>
        <v>0</v>
      </c>
      <c r="M48" s="548">
        <f>'Ввод составов (проект)'!N13</f>
        <v>0</v>
      </c>
      <c r="N48" s="548">
        <f>'Ввод составов (проект)'!O13</f>
        <v>1.7</v>
      </c>
      <c r="O48" s="548">
        <f>'Ввод составов (проект)'!P13</f>
        <v>0</v>
      </c>
      <c r="P48" s="548">
        <f>'Ввод составов (проект)'!Q13</f>
        <v>0</v>
      </c>
      <c r="Q48" s="548">
        <f>'Ввод составов (проект)'!R13</f>
        <v>0.3643178410794603</v>
      </c>
    </row>
    <row r="49" spans="1:17" x14ac:dyDescent="0.2">
      <c r="A49" s="549" t="s">
        <v>482</v>
      </c>
      <c r="B49" s="548">
        <f>'Ввод составов (проект)'!C14</f>
        <v>55.8</v>
      </c>
      <c r="C49" s="548">
        <f>'Ввод составов (проект)'!D14</f>
        <v>11.4</v>
      </c>
      <c r="D49" s="548">
        <f>'Ввод составов (проект)'!E14</f>
        <v>67.14</v>
      </c>
      <c r="E49" s="548">
        <f>'Ввод составов (проект)'!F14</f>
        <v>5.95</v>
      </c>
      <c r="F49" s="548">
        <f>'Ввод составов (проект)'!G14</f>
        <v>2.09</v>
      </c>
      <c r="G49" s="548">
        <f>'Ввод составов (проект)'!H14</f>
        <v>10.33</v>
      </c>
      <c r="H49" s="548">
        <f>'Ввод составов (проект)'!I14</f>
        <v>2.0499999999999998</v>
      </c>
      <c r="I49" s="548">
        <f>'Ввод составов (проект)'!J14</f>
        <v>3.7999999999999999E-2</v>
      </c>
      <c r="J49" s="548">
        <f>'Ввод составов (проект)'!K14</f>
        <v>4.5999999999999999E-2</v>
      </c>
      <c r="K49" s="548">
        <f>'Ввод составов (проект)'!L14</f>
        <v>0</v>
      </c>
      <c r="L49" s="548">
        <f>'Ввод составов (проект)'!M14</f>
        <v>3.9E-2</v>
      </c>
      <c r="M49" s="548">
        <f>'Ввод составов (проект)'!N14</f>
        <v>0</v>
      </c>
      <c r="N49" s="548">
        <f>'Ввод составов (проект)'!O14</f>
        <v>0</v>
      </c>
      <c r="O49" s="548">
        <f>'Ввод составов (проект)'!P14</f>
        <v>0.32</v>
      </c>
      <c r="P49" s="548">
        <f>'Ввод составов (проект)'!Q14</f>
        <v>3.7999999999999999E-2</v>
      </c>
      <c r="Q49" s="548">
        <f>'Ввод составов (проект)'!R14</f>
        <v>1.7361344537815127</v>
      </c>
    </row>
    <row r="50" spans="1:17" x14ac:dyDescent="0.2">
      <c r="A50" s="547" t="s">
        <v>656</v>
      </c>
      <c r="B50" s="548">
        <f>'Ввод составов (проект)'!C15</f>
        <v>55.264066909891923</v>
      </c>
      <c r="C50" s="548">
        <f>'Ввод составов (проект)'!D15</f>
        <v>10.12404529496799</v>
      </c>
      <c r="D50" s="548">
        <f>'Ввод составов (проект)'!E15</f>
        <v>67.507404144007708</v>
      </c>
      <c r="E50" s="548">
        <f>'Ввод составов (проект)'!F15</f>
        <v>6.6273503132098845</v>
      </c>
      <c r="F50" s="548">
        <f>'Ввод составов (проект)'!G15</f>
        <v>1.5912200041302402</v>
      </c>
      <c r="G50" s="548">
        <f>'Ввод составов (проект)'!H15</f>
        <v>10.864343222964136</v>
      </c>
      <c r="H50" s="548">
        <f>'Ввод составов (проект)'!I15</f>
        <v>2.0806403249122325</v>
      </c>
      <c r="I50" s="548">
        <f>'Ввод составов (проект)'!J15</f>
        <v>2.600474977627865E-2</v>
      </c>
      <c r="J50" s="548">
        <f>'Ввод составов (проект)'!K15</f>
        <v>3.934804157775177E-2</v>
      </c>
      <c r="K50" s="548">
        <f>'Ввод составов (проект)'!L15</f>
        <v>0.33753080470847391</v>
      </c>
      <c r="L50" s="548">
        <f>'Ввод составов (проект)'!M15</f>
        <v>2.9099676464514349E-2</v>
      </c>
      <c r="M50" s="548">
        <f>'Ввод составов (проект)'!N15</f>
        <v>0</v>
      </c>
      <c r="N50" s="548">
        <f>'Ввод составов (проект)'!O15</f>
        <v>0.15866251118606731</v>
      </c>
      <c r="O50" s="548">
        <f>'Ввод составов (проект)'!P15</f>
        <v>0.32</v>
      </c>
      <c r="P50" s="548">
        <f>'Ввод составов (проект)'!Q15</f>
        <v>3.7560198251531625E-2</v>
      </c>
      <c r="Q50" s="548">
        <f>'Ввод составов (проект)'!R15</f>
        <v>1.639319291951252</v>
      </c>
    </row>
    <row r="51" spans="1:17" x14ac:dyDescent="0.2">
      <c r="A51" s="550"/>
      <c r="B51" s="551"/>
      <c r="C51" s="551"/>
      <c r="D51" s="551"/>
      <c r="E51" s="551"/>
      <c r="F51" s="551"/>
      <c r="G51" s="551"/>
      <c r="H51" s="551"/>
      <c r="I51" s="551"/>
      <c r="J51" s="551"/>
      <c r="K51" s="551"/>
      <c r="L51" s="551"/>
      <c r="M51" s="551"/>
      <c r="N51" s="551"/>
      <c r="O51" s="551"/>
      <c r="P51" s="551"/>
      <c r="Q51" s="551"/>
    </row>
    <row r="52" spans="1:17" x14ac:dyDescent="0.2">
      <c r="A52" s="552" t="s">
        <v>720</v>
      </c>
      <c r="B52" s="553"/>
      <c r="C52" s="553"/>
      <c r="D52" s="553"/>
      <c r="E52" s="553"/>
      <c r="F52" s="553"/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</row>
    <row r="53" spans="1:17" x14ac:dyDescent="0.2">
      <c r="A53" s="546" t="s">
        <v>474</v>
      </c>
      <c r="B53" s="546" t="s">
        <v>8</v>
      </c>
      <c r="C53" s="546" t="s">
        <v>6</v>
      </c>
      <c r="D53" s="546" t="s">
        <v>7</v>
      </c>
      <c r="E53" s="546" t="s">
        <v>9</v>
      </c>
      <c r="F53" s="546" t="s">
        <v>16</v>
      </c>
      <c r="G53" s="546" t="s">
        <v>12</v>
      </c>
      <c r="H53" s="546" t="s">
        <v>10</v>
      </c>
      <c r="I53" s="546" t="s">
        <v>11</v>
      </c>
      <c r="J53" s="546" t="s">
        <v>94</v>
      </c>
      <c r="K53" s="554"/>
      <c r="L53" s="554"/>
      <c r="M53" s="554"/>
      <c r="N53" s="554"/>
      <c r="O53" s="554"/>
      <c r="P53" s="554"/>
      <c r="Q53" s="554"/>
    </row>
    <row r="54" spans="1:17" x14ac:dyDescent="0.2">
      <c r="A54" s="547" t="s">
        <v>196</v>
      </c>
      <c r="B54" s="548">
        <f>'Ввод составов (проект)'!C18</f>
        <v>52.7</v>
      </c>
      <c r="C54" s="548">
        <f>'Ввод составов (проект)'!D18</f>
        <v>0.09</v>
      </c>
      <c r="D54" s="548">
        <f>'Ввод составов (проект)'!E18</f>
        <v>0.04</v>
      </c>
      <c r="E54" s="548">
        <f>'Ввод составов (проект)'!F18</f>
        <v>2.6</v>
      </c>
      <c r="F54" s="548">
        <f>'Ввод составов (проект)'!G18</f>
        <v>0</v>
      </c>
      <c r="G54" s="548">
        <f>'Ввод составов (проект)'!H18</f>
        <v>0</v>
      </c>
      <c r="H54" s="548">
        <f>'Ввод составов (проект)'!I18</f>
        <v>0</v>
      </c>
      <c r="I54" s="548">
        <f>'Ввод составов (проект)'!J18</f>
        <v>0</v>
      </c>
      <c r="J54" s="548">
        <f>'Ввод составов (проект)'!K18</f>
        <v>44.3</v>
      </c>
      <c r="K54" s="554"/>
      <c r="L54" s="554"/>
      <c r="M54" s="555"/>
      <c r="N54" s="554"/>
      <c r="O54" s="554"/>
      <c r="P54" s="554"/>
      <c r="Q54" s="554"/>
    </row>
    <row r="55" spans="1:17" x14ac:dyDescent="0.2">
      <c r="A55" s="547" t="s">
        <v>98</v>
      </c>
      <c r="B55" s="548">
        <f>'Ввод составов (проект)'!C19</f>
        <v>34.799999999999997</v>
      </c>
      <c r="C55" s="548">
        <f>'Ввод составов (проект)'!D19</f>
        <v>0.13</v>
      </c>
      <c r="D55" s="548">
        <f>'Ввод составов (проект)'!E19</f>
        <v>0.04</v>
      </c>
      <c r="E55" s="548">
        <f>'Ввод составов (проект)'!F19</f>
        <v>18</v>
      </c>
      <c r="F55" s="548">
        <f>'Ввод составов (проект)'!G19</f>
        <v>0</v>
      </c>
      <c r="G55" s="548">
        <f>'Ввод составов (проект)'!H19</f>
        <v>0</v>
      </c>
      <c r="H55" s="548">
        <f>'Ввод составов (проект)'!I19</f>
        <v>0</v>
      </c>
      <c r="I55" s="548">
        <f>'Ввод составов (проект)'!J19</f>
        <v>0</v>
      </c>
      <c r="J55" s="548">
        <f>'Ввод составов (проект)'!K19</f>
        <v>47.03</v>
      </c>
      <c r="K55" s="554"/>
      <c r="L55" s="554"/>
      <c r="M55" s="555"/>
      <c r="N55" s="554"/>
      <c r="O55" s="554"/>
      <c r="P55" s="554"/>
      <c r="Q55" s="554"/>
    </row>
    <row r="56" spans="1:17" x14ac:dyDescent="0.2">
      <c r="A56" s="547" t="s">
        <v>99</v>
      </c>
      <c r="B56" s="548">
        <f>'Ввод составов (проект)'!C20</f>
        <v>0</v>
      </c>
      <c r="C56" s="548">
        <f>'Ввод составов (проект)'!D20</f>
        <v>97.5</v>
      </c>
      <c r="D56" s="548">
        <f>'Ввод составов (проект)'!E20</f>
        <v>0.8</v>
      </c>
      <c r="E56" s="548">
        <f>'Ввод составов (проект)'!F20</f>
        <v>0</v>
      </c>
      <c r="F56" s="548">
        <f>'Ввод составов (проект)'!G20</f>
        <v>0</v>
      </c>
      <c r="G56" s="548">
        <f>'Ввод составов (проект)'!H20</f>
        <v>0</v>
      </c>
      <c r="H56" s="548">
        <f>'Ввод составов (проект)'!I20</f>
        <v>0</v>
      </c>
      <c r="I56" s="548">
        <f>'Ввод составов (проект)'!J20</f>
        <v>0</v>
      </c>
      <c r="J56" s="548">
        <f>'Ввод составов (проект)'!K20</f>
        <v>0</v>
      </c>
      <c r="K56" s="554"/>
      <c r="L56" s="554"/>
      <c r="M56" s="555"/>
      <c r="N56" s="554"/>
      <c r="O56" s="554"/>
      <c r="P56" s="554"/>
      <c r="Q56" s="554"/>
    </row>
    <row r="57" spans="1:17" x14ac:dyDescent="0.2">
      <c r="A57" s="547" t="s">
        <v>483</v>
      </c>
      <c r="B57" s="548">
        <f>'Ввод составов (проект)'!C21</f>
        <v>38.5</v>
      </c>
      <c r="C57" s="548">
        <f>'Ввод составов (проект)'!D21</f>
        <v>36.1</v>
      </c>
      <c r="D57" s="548">
        <f>'Ввод составов (проект)'!E21</f>
        <v>12</v>
      </c>
      <c r="E57" s="548">
        <f>'Ввод составов (проект)'!F21</f>
        <v>7.7</v>
      </c>
      <c r="F57" s="548">
        <f>'Ввод составов (проект)'!G21</f>
        <v>1.1599999999999999</v>
      </c>
      <c r="G57" s="548">
        <f>'Ввод составов (проект)'!H21</f>
        <v>0</v>
      </c>
      <c r="H57" s="548">
        <f>'Ввод составов (проект)'!I21</f>
        <v>0</v>
      </c>
      <c r="I57" s="548">
        <f>'Ввод составов (проект)'!J21</f>
        <v>0.88</v>
      </c>
      <c r="J57" s="548">
        <f>'Ввод составов (проект)'!K21</f>
        <v>0</v>
      </c>
      <c r="K57" s="554"/>
      <c r="L57" s="554"/>
      <c r="M57" s="554"/>
      <c r="N57" s="554"/>
      <c r="O57" s="554"/>
      <c r="P57" s="554"/>
      <c r="Q57" s="554"/>
    </row>
    <row r="58" spans="1:17" x14ac:dyDescent="0.2">
      <c r="A58" s="547" t="s">
        <v>90</v>
      </c>
      <c r="B58" s="548">
        <f>'Ввод составов (проект)'!C23</f>
        <v>0</v>
      </c>
      <c r="C58" s="548">
        <f>'Ввод составов (проект)'!D23</f>
        <v>0</v>
      </c>
      <c r="D58" s="548">
        <f>'Ввод составов (проект)'!E23</f>
        <v>0</v>
      </c>
      <c r="E58" s="548">
        <f>'Ввод составов (проект)'!F23</f>
        <v>0</v>
      </c>
      <c r="F58" s="548">
        <f>'Ввод составов (проект)'!G23</f>
        <v>0</v>
      </c>
      <c r="G58" s="548">
        <f>'Ввод составов (проект)'!H23</f>
        <v>0</v>
      </c>
      <c r="H58" s="548">
        <f>'Ввод составов (проект)'!I23</f>
        <v>0</v>
      </c>
      <c r="I58" s="548">
        <f>'Ввод составов (проект)'!J23</f>
        <v>0</v>
      </c>
      <c r="J58" s="548">
        <f>'Ввод составов (проект)'!K23</f>
        <v>0</v>
      </c>
      <c r="K58" s="554"/>
      <c r="L58" s="554"/>
      <c r="M58" s="554"/>
      <c r="N58" s="554"/>
      <c r="O58" s="554"/>
      <c r="P58" s="554"/>
      <c r="Q58" s="554"/>
    </row>
    <row r="59" spans="1:17" x14ac:dyDescent="0.2">
      <c r="A59" s="554"/>
      <c r="B59" s="554"/>
      <c r="C59" s="554"/>
      <c r="D59" s="554"/>
      <c r="E59" s="554"/>
      <c r="F59" s="55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</row>
    <row r="60" spans="1:17" x14ac:dyDescent="0.2">
      <c r="A60" s="555" t="s">
        <v>718</v>
      </c>
      <c r="B60" s="556"/>
      <c r="C60" s="556"/>
      <c r="D60" s="556"/>
      <c r="E60" s="554"/>
      <c r="F60" s="554"/>
      <c r="G60" s="554"/>
      <c r="H60" s="554"/>
      <c r="I60" s="554"/>
      <c r="J60" s="554"/>
      <c r="K60" s="554"/>
      <c r="L60" s="554"/>
      <c r="M60" s="554"/>
      <c r="N60" s="554"/>
      <c r="O60" s="554"/>
      <c r="P60" s="554"/>
      <c r="Q60" s="554"/>
    </row>
    <row r="61" spans="1:17" x14ac:dyDescent="0.2">
      <c r="A61" s="546" t="s">
        <v>100</v>
      </c>
      <c r="B61" s="546" t="s">
        <v>101</v>
      </c>
      <c r="C61" s="546" t="s">
        <v>102</v>
      </c>
      <c r="D61" s="546" t="s">
        <v>103</v>
      </c>
      <c r="E61" s="554"/>
      <c r="F61" s="554"/>
      <c r="G61" s="554"/>
      <c r="H61" s="554"/>
      <c r="I61" s="554"/>
      <c r="J61" s="554"/>
      <c r="K61" s="554"/>
      <c r="L61" s="554"/>
      <c r="M61" s="554"/>
      <c r="N61" s="554"/>
      <c r="O61" s="554"/>
      <c r="P61" s="554"/>
      <c r="Q61" s="554"/>
    </row>
    <row r="62" spans="1:17" x14ac:dyDescent="0.2">
      <c r="A62" s="546">
        <f>'Ввод составов (проект)'!A28</f>
        <v>13.07</v>
      </c>
      <c r="B62" s="546">
        <f>'Ввод составов (проект)'!B28</f>
        <v>0.44</v>
      </c>
      <c r="C62" s="546">
        <f>'Ввод составов (проект)'!C28</f>
        <v>1.31</v>
      </c>
      <c r="D62" s="546">
        <f>'Ввод составов (проект)'!D28</f>
        <v>85.18</v>
      </c>
      <c r="E62" s="554"/>
      <c r="F62" s="554"/>
      <c r="G62" s="554"/>
      <c r="H62" s="554"/>
      <c r="I62" s="554"/>
      <c r="J62" s="554"/>
      <c r="K62" s="554"/>
      <c r="L62" s="554"/>
      <c r="M62" s="554"/>
      <c r="N62" s="554"/>
      <c r="O62" s="554"/>
      <c r="P62" s="554"/>
      <c r="Q62" s="554"/>
    </row>
    <row r="63" spans="1:17" x14ac:dyDescent="0.2">
      <c r="A63" s="554"/>
      <c r="B63" s="554"/>
      <c r="C63" s="554"/>
      <c r="D63" s="554"/>
      <c r="E63" s="554"/>
      <c r="F63" s="554"/>
      <c r="G63" s="554"/>
      <c r="H63" s="554"/>
      <c r="I63" s="554"/>
      <c r="J63" s="554"/>
      <c r="K63" s="554"/>
      <c r="L63" s="554"/>
      <c r="M63" s="554"/>
      <c r="N63" s="554"/>
      <c r="O63" s="554"/>
      <c r="P63" s="554"/>
      <c r="Q63" s="554"/>
    </row>
    <row r="64" spans="1:17" x14ac:dyDescent="0.2">
      <c r="A64" s="555" t="s">
        <v>717</v>
      </c>
      <c r="B64" s="556"/>
      <c r="C64" s="556"/>
      <c r="D64" s="556"/>
      <c r="E64" s="556"/>
      <c r="F64" s="556"/>
      <c r="G64" s="554"/>
      <c r="H64" s="554"/>
      <c r="I64" s="554"/>
      <c r="J64" s="554"/>
      <c r="K64" s="554"/>
      <c r="L64" s="554"/>
      <c r="M64" s="554"/>
      <c r="N64" s="554"/>
      <c r="O64" s="554"/>
      <c r="P64" s="554"/>
      <c r="Q64" s="554"/>
    </row>
    <row r="65" spans="1:17" x14ac:dyDescent="0.2">
      <c r="A65" s="546" t="s">
        <v>3</v>
      </c>
      <c r="B65" s="546" t="s">
        <v>8</v>
      </c>
      <c r="C65" s="546" t="s">
        <v>6</v>
      </c>
      <c r="D65" s="546" t="s">
        <v>7</v>
      </c>
      <c r="E65" s="546" t="s">
        <v>9</v>
      </c>
      <c r="F65" s="546" t="s">
        <v>10</v>
      </c>
      <c r="G65" s="554"/>
      <c r="H65" s="554"/>
      <c r="I65" s="554"/>
      <c r="J65" s="554"/>
      <c r="K65" s="554"/>
      <c r="L65" s="554"/>
      <c r="M65" s="554"/>
      <c r="N65" s="554"/>
      <c r="O65" s="554"/>
      <c r="P65" s="554"/>
      <c r="Q65" s="554"/>
    </row>
    <row r="66" spans="1:17" x14ac:dyDescent="0.2">
      <c r="A66" s="548">
        <f>'Ввод составов (проект)'!A32</f>
        <v>8.8000000000000007</v>
      </c>
      <c r="B66" s="548">
        <f>'Ввод составов (проект)'!B32</f>
        <v>6.093</v>
      </c>
      <c r="C66" s="548">
        <f>'Ввод составов (проект)'!C32</f>
        <v>50.274999999999999</v>
      </c>
      <c r="D66" s="548">
        <f>'Ввод составов (проект)'!D32</f>
        <v>24.65</v>
      </c>
      <c r="E66" s="548">
        <f>'Ввод составов (проект)'!E32</f>
        <v>2.0369999999999999</v>
      </c>
      <c r="F66" s="548">
        <f>'Ввод составов (проект)'!F32</f>
        <v>0</v>
      </c>
      <c r="G66" s="554"/>
      <c r="H66" s="554"/>
      <c r="I66" s="554"/>
      <c r="J66" s="554"/>
      <c r="K66" s="554"/>
      <c r="L66" s="554"/>
      <c r="M66" s="554"/>
      <c r="N66" s="554"/>
      <c r="O66" s="554"/>
      <c r="P66" s="554"/>
      <c r="Q66" s="554"/>
    </row>
    <row r="67" spans="1:17" x14ac:dyDescent="0.2">
      <c r="A67" s="554"/>
      <c r="B67" s="554"/>
      <c r="C67" s="554"/>
      <c r="D67" s="554"/>
      <c r="E67" s="554"/>
      <c r="F67" s="554"/>
      <c r="G67" s="554"/>
      <c r="H67" s="554"/>
      <c r="I67" s="554"/>
      <c r="J67" s="554"/>
      <c r="K67" s="554"/>
      <c r="L67" s="554"/>
      <c r="M67" s="554"/>
      <c r="N67" s="554"/>
      <c r="O67" s="554"/>
      <c r="P67" s="554"/>
      <c r="Q67" s="554"/>
    </row>
  </sheetData>
  <phoneticPr fontId="44" type="noConversion"/>
  <dataValidations count="1">
    <dataValidation type="decimal" operator="greaterThanOrEqual" allowBlank="1" showInputMessage="1" showErrorMessage="1" sqref="A62:D62 A66:F66 B54:J58 B39:Q51 B22:J26 B4:Q17 A30:D30 A34:F34">
      <formula1>0</formula1>
    </dataValidation>
  </dataValidations>
  <pageMargins left="0.75" right="0.75" top="0.55000000000000004" bottom="0.39" header="0.39" footer="0.26"/>
  <pageSetup paperSize="9" scale="52" orientation="landscape" horizontalDpi="200" verticalDpi="200" r:id="rId1"/>
  <headerFooter alignWithMargins="0"/>
  <colBreaks count="1" manualBreakCount="1">
    <brk id="17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7"/>
  <sheetViews>
    <sheetView zoomScale="85" workbookViewId="0"/>
  </sheetViews>
  <sheetFormatPr defaultRowHeight="12.75" x14ac:dyDescent="0.2"/>
  <cols>
    <col min="1" max="1" width="52.140625" customWidth="1"/>
    <col min="2" max="2" width="12" customWidth="1"/>
    <col min="3" max="3" width="11" customWidth="1"/>
    <col min="4" max="4" width="41.140625" customWidth="1"/>
    <col min="5" max="5" width="31" customWidth="1"/>
    <col min="6" max="6" width="36.42578125" customWidth="1"/>
  </cols>
  <sheetData>
    <row r="1" spans="1:6" ht="33" customHeight="1" x14ac:dyDescent="0.25">
      <c r="A1" s="380" t="s">
        <v>530</v>
      </c>
      <c r="B1" s="134"/>
      <c r="C1" t="s">
        <v>538</v>
      </c>
    </row>
    <row r="2" spans="1:6" s="357" customFormat="1" x14ac:dyDescent="0.2">
      <c r="A2" s="354" t="s">
        <v>53</v>
      </c>
      <c r="B2" s="354" t="s">
        <v>438</v>
      </c>
      <c r="C2" s="354" t="s">
        <v>439</v>
      </c>
      <c r="D2" s="354" t="s">
        <v>527</v>
      </c>
      <c r="E2" s="354" t="s">
        <v>528</v>
      </c>
      <c r="F2" s="354" t="s">
        <v>529</v>
      </c>
    </row>
    <row r="3" spans="1:6" s="357" customFormat="1" ht="102" x14ac:dyDescent="0.2">
      <c r="A3" s="355" t="s">
        <v>531</v>
      </c>
      <c r="B3" s="133">
        <v>2</v>
      </c>
      <c r="C3" s="133">
        <v>6.5</v>
      </c>
      <c r="D3" s="355" t="s">
        <v>532</v>
      </c>
      <c r="E3" s="355" t="s">
        <v>533</v>
      </c>
      <c r="F3" s="355" t="s">
        <v>534</v>
      </c>
    </row>
    <row r="4" spans="1:6" s="357" customFormat="1" ht="102" x14ac:dyDescent="0.2">
      <c r="A4" s="355" t="s">
        <v>501</v>
      </c>
      <c r="B4" s="133">
        <v>0.1</v>
      </c>
      <c r="C4" s="133">
        <v>0.35</v>
      </c>
      <c r="D4" s="355" t="s">
        <v>535</v>
      </c>
      <c r="E4" s="355" t="s">
        <v>536</v>
      </c>
      <c r="F4" s="355" t="s">
        <v>537</v>
      </c>
    </row>
    <row r="5" spans="1:6" s="357" customFormat="1" ht="89.25" x14ac:dyDescent="0.2">
      <c r="A5" s="355" t="s">
        <v>494</v>
      </c>
      <c r="B5" s="133">
        <v>0.85</v>
      </c>
      <c r="C5" s="133">
        <v>1.25</v>
      </c>
      <c r="D5" s="355" t="s">
        <v>539</v>
      </c>
      <c r="E5" s="358" t="s">
        <v>540</v>
      </c>
      <c r="F5" s="355" t="s">
        <v>541</v>
      </c>
    </row>
    <row r="6" spans="1:6" s="357" customFormat="1" ht="76.5" x14ac:dyDescent="0.2">
      <c r="A6" s="358" t="s">
        <v>543</v>
      </c>
      <c r="B6" s="133">
        <v>10</v>
      </c>
      <c r="C6" s="133">
        <v>15</v>
      </c>
      <c r="D6" s="355" t="s">
        <v>544</v>
      </c>
      <c r="E6" s="355" t="s">
        <v>545</v>
      </c>
      <c r="F6" s="355" t="s">
        <v>546</v>
      </c>
    </row>
    <row r="7" spans="1:6" ht="89.25" x14ac:dyDescent="0.2">
      <c r="A7" s="355" t="s">
        <v>542</v>
      </c>
      <c r="B7" s="133">
        <v>7</v>
      </c>
      <c r="C7" s="133">
        <v>12</v>
      </c>
      <c r="D7" s="355" t="s">
        <v>547</v>
      </c>
      <c r="E7" s="355" t="s">
        <v>548</v>
      </c>
      <c r="F7" s="355" t="s">
        <v>549</v>
      </c>
    </row>
  </sheetData>
  <phoneticPr fontId="44" type="noConversion"/>
  <dataValidations count="1">
    <dataValidation type="decimal" operator="greaterThanOrEqual" allowBlank="1" showInputMessage="1" showErrorMessage="1" error="Величина в ячейке должна быть больше или равна 0!" sqref="B3:C7">
      <formula1>0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37"/>
  <sheetViews>
    <sheetView topLeftCell="A7" zoomScale="85" workbookViewId="0">
      <selection activeCell="O36" sqref="O36"/>
    </sheetView>
  </sheetViews>
  <sheetFormatPr defaultRowHeight="12.75" x14ac:dyDescent="0.2"/>
  <cols>
    <col min="5" max="5" width="12.140625" customWidth="1"/>
    <col min="9" max="9" width="11.5703125" customWidth="1"/>
    <col min="10" max="10" width="20.5703125" customWidth="1"/>
    <col min="11" max="11" width="17.85546875" customWidth="1"/>
    <col min="12" max="12" width="11.85546875" customWidth="1"/>
  </cols>
  <sheetData>
    <row r="1" spans="1:21" ht="18" x14ac:dyDescent="0.25">
      <c r="A1" s="315" t="s">
        <v>394</v>
      </c>
      <c r="B1" s="315"/>
      <c r="C1" s="315"/>
      <c r="D1" s="315"/>
      <c r="E1" s="315"/>
      <c r="F1" s="315"/>
      <c r="I1" s="315" t="s">
        <v>395</v>
      </c>
      <c r="J1" s="315"/>
      <c r="K1" s="315"/>
      <c r="L1" s="315"/>
    </row>
    <row r="2" spans="1:21" ht="15" x14ac:dyDescent="0.2">
      <c r="A2" s="316" t="s">
        <v>396</v>
      </c>
      <c r="B2" s="317" t="s">
        <v>397</v>
      </c>
      <c r="C2" s="318"/>
      <c r="D2" s="318"/>
      <c r="E2" s="318"/>
      <c r="I2" s="319" t="s">
        <v>435</v>
      </c>
      <c r="J2" s="319"/>
      <c r="K2" s="319"/>
      <c r="L2" s="319"/>
      <c r="M2" s="319"/>
      <c r="N2" s="319"/>
    </row>
    <row r="3" spans="1:21" ht="15" x14ac:dyDescent="0.2">
      <c r="B3" s="319" t="s">
        <v>398</v>
      </c>
      <c r="C3" s="319"/>
      <c r="D3" s="319"/>
      <c r="F3" s="42"/>
      <c r="I3" s="319" t="s">
        <v>399</v>
      </c>
      <c r="J3" s="319"/>
      <c r="K3" s="319"/>
      <c r="L3" s="319"/>
      <c r="M3" s="319"/>
    </row>
    <row r="4" spans="1:21" x14ac:dyDescent="0.2">
      <c r="A4" s="320" t="s">
        <v>400</v>
      </c>
      <c r="B4" s="320"/>
      <c r="C4" s="320"/>
      <c r="D4" s="320"/>
      <c r="E4" s="320">
        <v>1.2</v>
      </c>
      <c r="F4" s="42"/>
      <c r="I4" s="4" t="s">
        <v>401</v>
      </c>
      <c r="J4" s="4" t="s">
        <v>402</v>
      </c>
      <c r="K4" s="4" t="s">
        <v>403</v>
      </c>
      <c r="L4" s="4" t="s">
        <v>404</v>
      </c>
      <c r="M4" s="4" t="s">
        <v>405</v>
      </c>
      <c r="N4" s="4" t="s">
        <v>406</v>
      </c>
      <c r="O4" s="4"/>
      <c r="P4" s="4" t="s">
        <v>407</v>
      </c>
      <c r="Q4" s="6" t="s">
        <v>428</v>
      </c>
      <c r="R4" s="4" t="s">
        <v>429</v>
      </c>
      <c r="S4" s="4"/>
      <c r="T4" s="4" t="s">
        <v>430</v>
      </c>
      <c r="U4" s="4"/>
    </row>
    <row r="5" spans="1:21" x14ac:dyDescent="0.2">
      <c r="A5" s="321" t="s">
        <v>408</v>
      </c>
      <c r="B5" s="322"/>
      <c r="C5" s="321"/>
      <c r="D5" s="321"/>
      <c r="E5" s="321"/>
      <c r="F5" s="321"/>
      <c r="I5" s="4" t="s">
        <v>409</v>
      </c>
      <c r="J5" s="12">
        <v>5</v>
      </c>
      <c r="K5" s="17">
        <v>1.17</v>
      </c>
      <c r="L5" s="4">
        <v>0.5</v>
      </c>
      <c r="M5" s="4">
        <v>0.02</v>
      </c>
      <c r="N5" s="17">
        <v>7</v>
      </c>
      <c r="O5" s="4"/>
      <c r="P5" s="4">
        <v>0.35</v>
      </c>
      <c r="R5" s="4">
        <v>440</v>
      </c>
      <c r="S5" s="4"/>
      <c r="T5" s="4">
        <v>4000</v>
      </c>
      <c r="U5" s="4"/>
    </row>
    <row r="6" spans="1:21" x14ac:dyDescent="0.2">
      <c r="A6" t="s">
        <v>410</v>
      </c>
      <c r="E6" s="18">
        <f>'Исходные данные и результаты'!$C$5*'Исходные данные и результаты'!$C$21/100</f>
        <v>113.93132969794397</v>
      </c>
      <c r="I6" s="4" t="s">
        <v>411</v>
      </c>
      <c r="J6" s="12">
        <v>1</v>
      </c>
      <c r="K6" s="17">
        <v>1</v>
      </c>
      <c r="L6" s="4">
        <v>1.7</v>
      </c>
      <c r="M6" s="4">
        <v>0</v>
      </c>
      <c r="N6" s="4">
        <v>1.2</v>
      </c>
      <c r="O6" s="4"/>
      <c r="P6" s="4">
        <v>0.1</v>
      </c>
      <c r="R6" s="4">
        <v>0</v>
      </c>
      <c r="S6" s="4"/>
      <c r="T6" s="4">
        <v>3500</v>
      </c>
      <c r="U6" s="4"/>
    </row>
    <row r="7" spans="1:21" x14ac:dyDescent="0.2">
      <c r="A7" t="s">
        <v>412</v>
      </c>
      <c r="E7" s="18">
        <f>'Исходные данные и результаты'!$C$5*'Исходные данные и результаты'!$C$22/100</f>
        <v>113.38619788013089</v>
      </c>
    </row>
    <row r="8" spans="1:21" x14ac:dyDescent="0.2">
      <c r="A8" t="s">
        <v>413</v>
      </c>
      <c r="C8" t="s">
        <v>75</v>
      </c>
      <c r="E8" s="57">
        <f>$E$6/$E$7</f>
        <v>1.0048077440464964</v>
      </c>
      <c r="I8" s="4" t="s">
        <v>414</v>
      </c>
      <c r="J8" s="4"/>
      <c r="K8" s="323">
        <f>'Исходные данные и результаты'!C15</f>
        <v>1.9069990455539643E-2</v>
      </c>
      <c r="M8" t="s">
        <v>448</v>
      </c>
    </row>
    <row r="9" spans="1:21" x14ac:dyDescent="0.2">
      <c r="A9" t="s">
        <v>415</v>
      </c>
      <c r="E9" s="57">
        <f>'Аглошихта по ММК'!J35</f>
        <v>1.3999999999999997</v>
      </c>
      <c r="I9" s="4" t="s">
        <v>416</v>
      </c>
      <c r="J9" s="4"/>
      <c r="K9" s="17">
        <f>'Исходные данные и результаты'!H12</f>
        <v>2.9950355868012957</v>
      </c>
      <c r="O9" t="s">
        <v>431</v>
      </c>
    </row>
    <row r="10" spans="1:21" x14ac:dyDescent="0.2">
      <c r="A10" s="42" t="s">
        <v>417</v>
      </c>
      <c r="B10" s="42"/>
      <c r="C10" s="42" t="s">
        <v>418</v>
      </c>
      <c r="E10">
        <f>'Аглошихта по ММК'!$N$76/100*'Исходные данные и результаты'!$C$34</f>
        <v>85.116720742796531</v>
      </c>
      <c r="I10" s="4" t="s">
        <v>413</v>
      </c>
      <c r="J10" s="4"/>
      <c r="K10" s="324">
        <f>'Исходные данные и результаты'!C27</f>
        <v>1.0048077440464966</v>
      </c>
      <c r="O10" t="s">
        <v>432</v>
      </c>
    </row>
    <row r="11" spans="1:21" x14ac:dyDescent="0.2">
      <c r="A11" s="42"/>
      <c r="B11" s="42"/>
      <c r="C11" s="42" t="s">
        <v>419</v>
      </c>
      <c r="E11">
        <f>'Аглошихта по ММК'!$P$76/100*'Исходные данные и результаты'!$C$34</f>
        <v>60.797657673426109</v>
      </c>
      <c r="I11" s="4" t="s">
        <v>415</v>
      </c>
      <c r="J11" s="4"/>
      <c r="K11" s="323">
        <v>1.5759497165815823</v>
      </c>
      <c r="O11" t="s">
        <v>433</v>
      </c>
    </row>
    <row r="12" spans="1:21" x14ac:dyDescent="0.2">
      <c r="E12" s="58"/>
      <c r="I12" s="4" t="s">
        <v>420</v>
      </c>
      <c r="J12" s="4"/>
      <c r="K12" s="324" t="e">
        <f>'Исходные данные и результаты'!#REF!</f>
        <v>#REF!</v>
      </c>
      <c r="O12" t="s">
        <v>434</v>
      </c>
    </row>
    <row r="13" spans="1:21" x14ac:dyDescent="0.2">
      <c r="A13" s="2"/>
      <c r="B13" s="2"/>
      <c r="C13" s="2"/>
      <c r="E13" s="325"/>
      <c r="I13" s="4" t="s">
        <v>421</v>
      </c>
      <c r="J13" s="4"/>
      <c r="K13" s="324">
        <f>'Исходные данные и результаты'!H23</f>
        <v>0.18193255584730716</v>
      </c>
    </row>
    <row r="14" spans="1:21" x14ac:dyDescent="0.2">
      <c r="I14" s="4" t="s">
        <v>426</v>
      </c>
      <c r="J14" s="4"/>
      <c r="K14" s="17">
        <f>'Исходные данные и результаты'!C74</f>
        <v>415.52082902585983</v>
      </c>
    </row>
    <row r="15" spans="1:21" x14ac:dyDescent="0.2">
      <c r="I15" s="4" t="s">
        <v>427</v>
      </c>
      <c r="J15" s="4"/>
      <c r="K15" s="17">
        <f>'Исходные данные и результаты'!C3</f>
        <v>3536.397264854344</v>
      </c>
    </row>
    <row r="17" spans="1:21" ht="15" x14ac:dyDescent="0.2">
      <c r="A17" s="319" t="s">
        <v>422</v>
      </c>
      <c r="B17" s="319"/>
      <c r="C17" s="319"/>
      <c r="D17" s="319"/>
      <c r="I17" s="319" t="s">
        <v>436</v>
      </c>
      <c r="J17" s="319"/>
      <c r="K17" s="319"/>
    </row>
    <row r="18" spans="1:21" ht="15" x14ac:dyDescent="0.2">
      <c r="I18" s="319"/>
      <c r="J18" s="319"/>
      <c r="K18" s="319"/>
    </row>
    <row r="19" spans="1:21" x14ac:dyDescent="0.2">
      <c r="A19" s="320" t="s">
        <v>400</v>
      </c>
      <c r="B19" s="320"/>
      <c r="C19" s="320"/>
      <c r="D19" s="320"/>
      <c r="E19" s="326">
        <v>1</v>
      </c>
      <c r="I19" s="38"/>
      <c r="J19" s="38"/>
      <c r="K19" s="38"/>
      <c r="L19" s="38"/>
      <c r="M19" s="38"/>
      <c r="N19" s="38"/>
      <c r="O19" s="38"/>
      <c r="P19" s="38"/>
      <c r="Q19" s="53"/>
      <c r="R19" s="38"/>
      <c r="S19" s="38"/>
      <c r="T19" s="38"/>
      <c r="U19" s="38"/>
    </row>
    <row r="20" spans="1:21" x14ac:dyDescent="0.2">
      <c r="A20" s="321" t="s">
        <v>408</v>
      </c>
      <c r="B20" s="322"/>
      <c r="C20" s="321"/>
      <c r="D20" s="321"/>
      <c r="E20" s="321"/>
      <c r="I20" s="38"/>
      <c r="J20" s="327"/>
      <c r="K20" s="39"/>
      <c r="L20" s="38"/>
      <c r="M20" s="38"/>
      <c r="N20" s="39"/>
      <c r="O20" s="38"/>
      <c r="P20" s="38"/>
      <c r="Q20" s="38"/>
      <c r="R20" s="38"/>
      <c r="S20" s="38"/>
      <c r="T20" s="38"/>
      <c r="U20" s="38"/>
    </row>
    <row r="21" spans="1:21" x14ac:dyDescent="0.2">
      <c r="A21" t="s">
        <v>410</v>
      </c>
      <c r="E21" s="18">
        <f>'Исходные данные и результаты'!$C$5*'Исходные данные и результаты'!$C$21/100</f>
        <v>113.93132969794397</v>
      </c>
      <c r="I21" s="38"/>
      <c r="J21" s="327"/>
      <c r="K21" s="39"/>
      <c r="L21" s="38"/>
      <c r="M21" s="38"/>
      <c r="N21" s="38"/>
      <c r="O21" s="38"/>
      <c r="P21" s="38"/>
      <c r="Q21" s="38"/>
      <c r="R21" s="38"/>
      <c r="S21" s="38"/>
      <c r="T21" s="38"/>
      <c r="U21" s="38"/>
    </row>
    <row r="22" spans="1:21" x14ac:dyDescent="0.2">
      <c r="A22" t="s">
        <v>412</v>
      </c>
      <c r="E22" s="18">
        <f>'Исходные данные и результаты'!$C$5*'Исходные данные и результаты'!$C$22/100</f>
        <v>113.38619788013089</v>
      </c>
      <c r="K22" t="s">
        <v>437</v>
      </c>
      <c r="L22" t="s">
        <v>438</v>
      </c>
      <c r="M22" s="57" t="s">
        <v>439</v>
      </c>
    </row>
    <row r="23" spans="1:21" x14ac:dyDescent="0.2">
      <c r="A23" t="s">
        <v>413</v>
      </c>
      <c r="C23" t="s">
        <v>75</v>
      </c>
      <c r="E23" s="57">
        <f>$E$21/$E$22</f>
        <v>1.0048077440464964</v>
      </c>
      <c r="I23" s="4" t="s">
        <v>444</v>
      </c>
      <c r="J23" s="4"/>
      <c r="K23" s="323">
        <f>'Исходные данные и результаты'!C15</f>
        <v>1.9069990455539643E-2</v>
      </c>
      <c r="L23">
        <v>0</v>
      </c>
      <c r="M23">
        <v>0.02</v>
      </c>
      <c r="P23" t="s">
        <v>448</v>
      </c>
    </row>
    <row r="24" spans="1:21" x14ac:dyDescent="0.2">
      <c r="A24" s="42" t="s">
        <v>425</v>
      </c>
      <c r="B24" s="42"/>
      <c r="C24" s="42"/>
      <c r="E24" s="49">
        <f>'Исходные данные и результаты'!C69</f>
        <v>0</v>
      </c>
      <c r="I24" s="4" t="s">
        <v>416</v>
      </c>
      <c r="J24" s="4"/>
      <c r="K24" s="17">
        <f>'Исходные данные и результаты'!H12</f>
        <v>2.9950355868012957</v>
      </c>
      <c r="L24">
        <v>1.95</v>
      </c>
      <c r="M24">
        <v>2</v>
      </c>
      <c r="Q24" t="s">
        <v>431</v>
      </c>
    </row>
    <row r="25" spans="1:21" x14ac:dyDescent="0.2">
      <c r="A25" s="42" t="s">
        <v>415</v>
      </c>
      <c r="B25" s="42"/>
      <c r="C25" t="s">
        <v>75</v>
      </c>
      <c r="E25" s="23">
        <f>'Аглошихта по ММК'!$J$35</f>
        <v>1.3999999999999997</v>
      </c>
      <c r="I25" s="4" t="s">
        <v>413</v>
      </c>
      <c r="J25" s="4"/>
      <c r="K25" s="324">
        <f>'Исходные данные и результаты'!C27</f>
        <v>1.0048077440464966</v>
      </c>
      <c r="L25">
        <v>1</v>
      </c>
      <c r="M25">
        <v>1.17</v>
      </c>
      <c r="Q25" t="s">
        <v>432</v>
      </c>
    </row>
    <row r="26" spans="1:21" x14ac:dyDescent="0.2">
      <c r="A26" s="42"/>
      <c r="B26" s="42"/>
      <c r="E26" s="23"/>
      <c r="I26" s="4" t="s">
        <v>447</v>
      </c>
      <c r="J26" s="4"/>
      <c r="K26" s="324">
        <v>8.0000107734401631</v>
      </c>
      <c r="L26">
        <v>0</v>
      </c>
      <c r="Q26" t="s">
        <v>433</v>
      </c>
    </row>
    <row r="27" spans="1:21" x14ac:dyDescent="0.2">
      <c r="E27" s="57"/>
      <c r="I27" s="4" t="s">
        <v>415</v>
      </c>
      <c r="J27" s="4"/>
      <c r="K27" s="324" t="e">
        <f>Проект!#REF!/Проект!#REF!</f>
        <v>#REF!</v>
      </c>
      <c r="L27">
        <v>0.5</v>
      </c>
      <c r="M27">
        <v>1.7</v>
      </c>
      <c r="Q27" t="s">
        <v>434</v>
      </c>
    </row>
    <row r="28" spans="1:21" x14ac:dyDescent="0.2">
      <c r="E28" s="66"/>
      <c r="I28" s="4" t="s">
        <v>443</v>
      </c>
      <c r="J28" s="4"/>
      <c r="K28" s="324" t="e">
        <f>'Исходные данные и результаты'!#REF!</f>
        <v>#REF!</v>
      </c>
      <c r="L28">
        <v>1.2</v>
      </c>
      <c r="M28">
        <v>7</v>
      </c>
    </row>
    <row r="29" spans="1:21" ht="15" x14ac:dyDescent="0.2">
      <c r="A29" s="319" t="s">
        <v>423</v>
      </c>
      <c r="B29" s="319"/>
      <c r="C29" s="319"/>
      <c r="D29" s="319"/>
      <c r="I29" s="4" t="s">
        <v>442</v>
      </c>
      <c r="J29" s="4"/>
      <c r="K29" s="324">
        <f>'Исходные данные и результаты'!H23</f>
        <v>0.18193255584730716</v>
      </c>
      <c r="L29">
        <v>0.1</v>
      </c>
      <c r="M29">
        <v>0.35</v>
      </c>
      <c r="S29" s="18"/>
    </row>
    <row r="30" spans="1:21" x14ac:dyDescent="0.2">
      <c r="I30" s="4" t="s">
        <v>441</v>
      </c>
      <c r="J30" s="4"/>
      <c r="K30" s="17">
        <f>'Исходные данные и результаты'!C74</f>
        <v>415.52082902585983</v>
      </c>
      <c r="L30">
        <v>0</v>
      </c>
      <c r="M30">
        <v>440</v>
      </c>
    </row>
    <row r="31" spans="1:21" x14ac:dyDescent="0.2">
      <c r="A31" s="320" t="s">
        <v>400</v>
      </c>
      <c r="B31" s="320"/>
      <c r="C31" s="320"/>
      <c r="D31" s="320"/>
      <c r="E31" s="326">
        <v>1.1100000000000001</v>
      </c>
      <c r="I31" s="4" t="s">
        <v>440</v>
      </c>
      <c r="J31" s="4"/>
      <c r="K31" s="17">
        <f>'Исходные данные и результаты'!C3</f>
        <v>3536.397264854344</v>
      </c>
      <c r="L31">
        <v>3500</v>
      </c>
      <c r="M31">
        <v>4000</v>
      </c>
    </row>
    <row r="32" spans="1:21" x14ac:dyDescent="0.2">
      <c r="A32" s="321" t="s">
        <v>408</v>
      </c>
      <c r="B32" s="322"/>
      <c r="C32" s="321"/>
      <c r="D32" s="321"/>
      <c r="E32" s="321"/>
    </row>
    <row r="33" spans="1:5" x14ac:dyDescent="0.2">
      <c r="A33" t="s">
        <v>410</v>
      </c>
      <c r="E33" s="18">
        <f>'Исходные данные и результаты'!$C$5*'Исходные данные и результаты'!$C$21/100</f>
        <v>113.93132969794397</v>
      </c>
    </row>
    <row r="34" spans="1:5" x14ac:dyDescent="0.2">
      <c r="A34" t="s">
        <v>412</v>
      </c>
      <c r="E34" s="18">
        <f>'Исходные данные и результаты'!$C$5*'Исходные данные и результаты'!$C$22/100</f>
        <v>113.38619788013089</v>
      </c>
    </row>
    <row r="35" spans="1:5" x14ac:dyDescent="0.2">
      <c r="A35" t="s">
        <v>413</v>
      </c>
      <c r="C35" t="s">
        <v>75</v>
      </c>
      <c r="E35" s="57">
        <f>$E$33/$E$34</f>
        <v>1.0048077440464964</v>
      </c>
    </row>
    <row r="36" spans="1:5" x14ac:dyDescent="0.2">
      <c r="A36" s="42" t="s">
        <v>424</v>
      </c>
      <c r="B36" s="42"/>
      <c r="C36" s="42"/>
      <c r="E36" s="49">
        <v>8.0566657782854261</v>
      </c>
    </row>
    <row r="37" spans="1:5" x14ac:dyDescent="0.2">
      <c r="A37" s="42" t="s">
        <v>415</v>
      </c>
      <c r="B37" s="42"/>
      <c r="C37" t="s">
        <v>75</v>
      </c>
      <c r="E37" s="23">
        <f>'Аглошихта по ММК'!$J$35</f>
        <v>1.3999999999999997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F21"/>
  <sheetViews>
    <sheetView workbookViewId="0">
      <selection activeCell="C15" sqref="C15"/>
    </sheetView>
  </sheetViews>
  <sheetFormatPr defaultRowHeight="12.75" x14ac:dyDescent="0.2"/>
  <cols>
    <col min="2" max="2" width="30" customWidth="1"/>
    <col min="3" max="3" width="15" customWidth="1"/>
  </cols>
  <sheetData>
    <row r="2" spans="2:6" x14ac:dyDescent="0.2">
      <c r="B2" s="356" t="s">
        <v>561</v>
      </c>
    </row>
    <row r="3" spans="2:6" ht="15.75" x14ac:dyDescent="0.25">
      <c r="B3" s="4" t="s">
        <v>8</v>
      </c>
      <c r="C3" s="373">
        <f>'Исходные данные и результаты'!B21</f>
        <v>37.57</v>
      </c>
      <c r="E3" s="374"/>
      <c r="F3" t="s">
        <v>562</v>
      </c>
    </row>
    <row r="4" spans="2:6" ht="15.75" x14ac:dyDescent="0.25">
      <c r="B4" s="4" t="s">
        <v>6</v>
      </c>
      <c r="C4" s="373">
        <f>'Исходные данные и результаты'!B22</f>
        <v>37.85</v>
      </c>
      <c r="E4" s="48"/>
      <c r="F4" t="s">
        <v>564</v>
      </c>
    </row>
    <row r="5" spans="2:6" ht="15.75" x14ac:dyDescent="0.25">
      <c r="B5" s="4" t="s">
        <v>7</v>
      </c>
      <c r="C5" s="373">
        <f>'Исходные данные и результаты'!B23</f>
        <v>11.05</v>
      </c>
    </row>
    <row r="6" spans="2:6" ht="15.75" x14ac:dyDescent="0.25">
      <c r="B6" s="4" t="s">
        <v>9</v>
      </c>
      <c r="C6" s="373">
        <f>'Исходные данные и результаты'!B24</f>
        <v>9.01</v>
      </c>
    </row>
    <row r="7" spans="2:6" ht="15.75" x14ac:dyDescent="0.25">
      <c r="B7" s="377" t="s">
        <v>563</v>
      </c>
      <c r="C7" s="378"/>
    </row>
    <row r="8" spans="2:6" x14ac:dyDescent="0.2">
      <c r="B8" s="4" t="s">
        <v>75</v>
      </c>
      <c r="C8" s="378">
        <f>C3/C4</f>
        <v>0.99260237780713334</v>
      </c>
    </row>
    <row r="9" spans="2:6" x14ac:dyDescent="0.2">
      <c r="B9" s="4" t="s">
        <v>62</v>
      </c>
      <c r="C9" s="378">
        <f>(C3+C6)/C4</f>
        <v>1.2306472919418758</v>
      </c>
    </row>
    <row r="10" spans="2:6" x14ac:dyDescent="0.2">
      <c r="B10" s="4" t="s">
        <v>65</v>
      </c>
      <c r="C10" s="378">
        <f>(C3+C6)/(C4+C5)</f>
        <v>0.95255623721881377</v>
      </c>
    </row>
    <row r="11" spans="2:6" x14ac:dyDescent="0.2">
      <c r="B11" s="4" t="s">
        <v>565</v>
      </c>
      <c r="C11" s="378">
        <f>'Расчет вязкости'!B10</f>
        <v>15.332994708491549</v>
      </c>
    </row>
    <row r="12" spans="2:6" x14ac:dyDescent="0.2">
      <c r="B12" s="4" t="s">
        <v>566</v>
      </c>
      <c r="C12" s="378">
        <f>'Расчет вязкости'!C10</f>
        <v>7.7541650886555962</v>
      </c>
    </row>
    <row r="13" spans="2:6" x14ac:dyDescent="0.2">
      <c r="B13" s="4" t="s">
        <v>567</v>
      </c>
      <c r="C13" s="378">
        <f>'Расчет вязкости'!D10</f>
        <v>4.6492989115507202</v>
      </c>
    </row>
    <row r="14" spans="2:6" x14ac:dyDescent="0.2">
      <c r="B14" s="4" t="s">
        <v>568</v>
      </c>
      <c r="C14" s="378">
        <f>'Расчет вязкости'!E10</f>
        <v>3.1675086091472906</v>
      </c>
    </row>
    <row r="15" spans="2:6" x14ac:dyDescent="0.2">
      <c r="B15" s="4" t="s">
        <v>569</v>
      </c>
      <c r="C15" s="378">
        <f>'Расчет вязкости'!F10</f>
        <v>2.3750420427765384</v>
      </c>
    </row>
    <row r="16" spans="2:6" x14ac:dyDescent="0.2">
      <c r="B16" s="4" t="s">
        <v>570</v>
      </c>
      <c r="C16" s="379">
        <f>'Расчет вязкости'!B14</f>
        <v>1321.3345150315538</v>
      </c>
    </row>
    <row r="17" spans="2:3" x14ac:dyDescent="0.2">
      <c r="B17" s="4" t="s">
        <v>571</v>
      </c>
      <c r="C17" s="379">
        <f>'Расчет вязкости'!E11</f>
        <v>1408.9177243795398</v>
      </c>
    </row>
    <row r="18" spans="2:3" x14ac:dyDescent="0.2">
      <c r="B18" s="4" t="s">
        <v>572</v>
      </c>
      <c r="C18" s="378">
        <f>'Расчет вязкости'!D16</f>
        <v>0.20551884469638834</v>
      </c>
    </row>
    <row r="19" spans="2:3" x14ac:dyDescent="0.2">
      <c r="B19" s="4" t="s">
        <v>573</v>
      </c>
      <c r="C19" s="378">
        <f>'Расчет вязкости'!D17</f>
        <v>4.5866564795083056</v>
      </c>
    </row>
    <row r="20" spans="2:3" x14ac:dyDescent="0.2">
      <c r="B20" s="6" t="s">
        <v>477</v>
      </c>
      <c r="C20" s="378">
        <f>'Расчет вязкости'!B21</f>
        <v>1527.6</v>
      </c>
    </row>
    <row r="21" spans="2:3" x14ac:dyDescent="0.2">
      <c r="B21" s="4" t="s">
        <v>625</v>
      </c>
      <c r="C21" s="378">
        <f>'Расчет вязкости'!B23</f>
        <v>2.6747251112974917</v>
      </c>
    </row>
  </sheetData>
  <phoneticPr fontId="44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F21"/>
  <sheetViews>
    <sheetView workbookViewId="0">
      <selection activeCell="C12" sqref="C12"/>
    </sheetView>
  </sheetViews>
  <sheetFormatPr defaultRowHeight="12.75" x14ac:dyDescent="0.2"/>
  <cols>
    <col min="2" max="2" width="25.5703125" customWidth="1"/>
    <col min="3" max="3" width="15" customWidth="1"/>
  </cols>
  <sheetData>
    <row r="2" spans="2:6" x14ac:dyDescent="0.2">
      <c r="B2" s="356" t="s">
        <v>561</v>
      </c>
    </row>
    <row r="3" spans="2:6" ht="15.75" x14ac:dyDescent="0.25">
      <c r="B3" s="4" t="s">
        <v>8</v>
      </c>
      <c r="C3" s="373">
        <f>'Исходные данные и результаты'!C21</f>
        <v>36.930450887031938</v>
      </c>
      <c r="E3" s="374"/>
      <c r="F3" t="s">
        <v>562</v>
      </c>
    </row>
    <row r="4" spans="2:6" x14ac:dyDescent="0.2">
      <c r="B4" s="4" t="s">
        <v>6</v>
      </c>
      <c r="C4" s="375">
        <f>'Исходные данные и результаты'!C22</f>
        <v>36.75374827258797</v>
      </c>
      <c r="E4" s="48"/>
      <c r="F4" t="s">
        <v>564</v>
      </c>
    </row>
    <row r="5" spans="2:6" x14ac:dyDescent="0.2">
      <c r="B5" s="4" t="s">
        <v>7</v>
      </c>
      <c r="C5" s="375">
        <f>'Исходные данные и результаты'!C23</f>
        <v>12.967515306414976</v>
      </c>
    </row>
    <row r="6" spans="2:6" x14ac:dyDescent="0.2">
      <c r="B6" s="4" t="s">
        <v>9</v>
      </c>
      <c r="C6" s="376">
        <f>'Исходные данные и результаты'!C24</f>
        <v>9.1590619531119692</v>
      </c>
    </row>
    <row r="7" spans="2:6" ht="15.75" x14ac:dyDescent="0.25">
      <c r="B7" s="377" t="s">
        <v>563</v>
      </c>
      <c r="C7" s="378"/>
    </row>
    <row r="8" spans="2:6" x14ac:dyDescent="0.2">
      <c r="B8" s="4" t="s">
        <v>75</v>
      </c>
      <c r="C8" s="378">
        <f>C3/C4</f>
        <v>1.0048077440464966</v>
      </c>
    </row>
    <row r="9" spans="2:6" x14ac:dyDescent="0.2">
      <c r="B9" s="4" t="s">
        <v>62</v>
      </c>
      <c r="C9" s="378">
        <f>(C3+C6)/C4</f>
        <v>1.2540085027060717</v>
      </c>
    </row>
    <row r="10" spans="2:6" x14ac:dyDescent="0.2">
      <c r="B10" s="4" t="s">
        <v>65</v>
      </c>
      <c r="C10" s="378">
        <f>(C3+C6)/(C4+C5)</f>
        <v>0.92695779476544304</v>
      </c>
    </row>
    <row r="11" spans="2:6" x14ac:dyDescent="0.2">
      <c r="B11" s="4" t="s">
        <v>565</v>
      </c>
      <c r="C11" s="378">
        <f>'Расчет вязкости (про)'!B10</f>
        <v>14.990750246272908</v>
      </c>
    </row>
    <row r="12" spans="2:6" x14ac:dyDescent="0.2">
      <c r="B12" s="4" t="s">
        <v>566</v>
      </c>
      <c r="C12" s="378">
        <f>'Расчет вязкости (про)'!C10</f>
        <v>8.1612113920771989</v>
      </c>
    </row>
    <row r="13" spans="2:6" x14ac:dyDescent="0.2">
      <c r="B13" s="4" t="s">
        <v>567</v>
      </c>
      <c r="C13" s="378">
        <f>'Расчет вязкости (про)'!D10</f>
        <v>5.0932027711492323</v>
      </c>
    </row>
    <row r="14" spans="2:6" x14ac:dyDescent="0.2">
      <c r="B14" s="4" t="s">
        <v>568</v>
      </c>
      <c r="C14" s="378">
        <f>'Расчет вязкости (про)'!E10</f>
        <v>3.5335686630809051</v>
      </c>
    </row>
    <row r="15" spans="2:6" x14ac:dyDescent="0.2">
      <c r="B15" s="4" t="s">
        <v>569</v>
      </c>
      <c r="C15" s="378">
        <f>'Расчет вязкости (про)'!F10</f>
        <v>2.6613050195154915</v>
      </c>
    </row>
    <row r="16" spans="2:6" x14ac:dyDescent="0.2">
      <c r="B16" s="4" t="s">
        <v>570</v>
      </c>
      <c r="C16" s="379">
        <f>'Расчет вязкости (про)'!B14</f>
        <v>1315.9860354649315</v>
      </c>
    </row>
    <row r="17" spans="2:3" x14ac:dyDescent="0.2">
      <c r="B17" s="4" t="s">
        <v>571</v>
      </c>
      <c r="C17" s="379">
        <f>'Расчет вязкости (про)'!E11</f>
        <v>1414.9237979570228</v>
      </c>
    </row>
    <row r="18" spans="2:3" x14ac:dyDescent="0.2">
      <c r="B18" s="4" t="s">
        <v>572</v>
      </c>
      <c r="C18" s="378">
        <f>'Расчет вязкости (про)'!D16</f>
        <v>0.18193255584730716</v>
      </c>
    </row>
    <row r="19" spans="2:3" x14ac:dyDescent="0.2">
      <c r="B19" s="4" t="s">
        <v>573</v>
      </c>
      <c r="C19" s="378">
        <f>'Расчет вязкости (про)'!D17</f>
        <v>4.6276427289962943</v>
      </c>
    </row>
    <row r="20" spans="2:3" x14ac:dyDescent="0.2">
      <c r="B20" s="6" t="s">
        <v>477</v>
      </c>
      <c r="C20" s="378">
        <f>'Расчет вязкости (про)'!B21</f>
        <v>1527.6</v>
      </c>
    </row>
    <row r="21" spans="2:3" x14ac:dyDescent="0.2">
      <c r="B21" s="4" t="s">
        <v>625</v>
      </c>
      <c r="C21" s="378">
        <f>'Расчет вязкости (про)'!B23</f>
        <v>2.9950355868012957</v>
      </c>
    </row>
  </sheetData>
  <phoneticPr fontId="44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2:F23"/>
  <sheetViews>
    <sheetView topLeftCell="A2" workbookViewId="0">
      <selection activeCell="C10" sqref="C10"/>
    </sheetView>
  </sheetViews>
  <sheetFormatPr defaultRowHeight="12.75" x14ac:dyDescent="0.2"/>
  <cols>
    <col min="2" max="3" width="10.5703125" bestFit="1" customWidth="1"/>
    <col min="4" max="6" width="9.5703125" bestFit="1" customWidth="1"/>
  </cols>
  <sheetData>
    <row r="2" spans="1:6" x14ac:dyDescent="0.2">
      <c r="A2" s="2" t="s">
        <v>120</v>
      </c>
    </row>
    <row r="3" spans="1:6" x14ac:dyDescent="0.2">
      <c r="A3" t="s">
        <v>121</v>
      </c>
    </row>
    <row r="4" spans="1:6" x14ac:dyDescent="0.2">
      <c r="A4" s="13" t="s">
        <v>107</v>
      </c>
      <c r="B4">
        <f>-0.01*(LOG10(LOG10('Расчет при 1400 С'!H155)) -LOG10(LOG10('Расчет при 1500 С'!H155)))</f>
        <v>-2.4957002787370933E-3</v>
      </c>
    </row>
    <row r="5" spans="1:6" x14ac:dyDescent="0.2">
      <c r="A5" s="13" t="s">
        <v>122</v>
      </c>
      <c r="B5">
        <f>LOG10(LOG10('Расчет при 1500 С'!H155))-1500*'Расчет вязкости'!B4</f>
        <v>3.4431434519248278</v>
      </c>
    </row>
    <row r="7" spans="1:6" x14ac:dyDescent="0.2">
      <c r="A7" s="2" t="s">
        <v>123</v>
      </c>
    </row>
    <row r="8" spans="1:6" ht="38.25" x14ac:dyDescent="0.2">
      <c r="A8" s="81" t="s">
        <v>124</v>
      </c>
      <c r="B8" s="83" t="s">
        <v>125</v>
      </c>
      <c r="C8" s="84"/>
      <c r="D8" s="84"/>
      <c r="E8" s="84"/>
      <c r="F8" s="85"/>
    </row>
    <row r="9" spans="1:6" x14ac:dyDescent="0.2">
      <c r="A9" s="82"/>
      <c r="B9" s="5">
        <v>1350</v>
      </c>
      <c r="C9" s="5">
        <v>1400</v>
      </c>
      <c r="D9" s="5">
        <v>1450</v>
      </c>
      <c r="E9" s="5">
        <v>1500</v>
      </c>
      <c r="F9" s="5">
        <v>1550</v>
      </c>
    </row>
    <row r="10" spans="1:6" x14ac:dyDescent="0.2">
      <c r="A10" s="4" t="s">
        <v>56</v>
      </c>
      <c r="B10" s="324">
        <f>POWER(10,POWER(10,$B$5+$B$4*B9))</f>
        <v>15.332994708491549</v>
      </c>
      <c r="C10" s="324">
        <f>POWER(10,POWER(10,$B$5+$B$4*C9))</f>
        <v>7.7541650886555962</v>
      </c>
      <c r="D10" s="324">
        <f>POWER(10,POWER(10,$B$5+$B$4*D9))</f>
        <v>4.6492989115507202</v>
      </c>
      <c r="E10" s="324">
        <f>POWER(10,POWER(10,$B$5+$B$4*E9))</f>
        <v>3.1675086091472906</v>
      </c>
      <c r="F10" s="324">
        <f>POWER(10,POWER(10,$B$5+$B$4*F9))</f>
        <v>2.3750420427765384</v>
      </c>
    </row>
    <row r="11" spans="1:6" x14ac:dyDescent="0.2">
      <c r="A11" t="s">
        <v>237</v>
      </c>
      <c r="E11" s="18">
        <f>(B5-LOG10(LOG10(7)))/-B4</f>
        <v>1408.9177243795398</v>
      </c>
    </row>
    <row r="12" spans="1:6" x14ac:dyDescent="0.2">
      <c r="A12" s="2" t="s">
        <v>126</v>
      </c>
    </row>
    <row r="13" spans="1:6" x14ac:dyDescent="0.2">
      <c r="A13" s="15" t="s">
        <v>127</v>
      </c>
    </row>
    <row r="14" spans="1:6" x14ac:dyDescent="0.2">
      <c r="A14" t="s">
        <v>128</v>
      </c>
      <c r="B14" s="18">
        <f>(B5-LOG10(LOG10(25)))/-B4</f>
        <v>1321.3345150315538</v>
      </c>
      <c r="C14" t="s">
        <v>591</v>
      </c>
    </row>
    <row r="15" spans="1:6" x14ac:dyDescent="0.2">
      <c r="A15" s="15"/>
    </row>
    <row r="16" spans="1:6" x14ac:dyDescent="0.2">
      <c r="A16" s="4" t="s">
        <v>572</v>
      </c>
      <c r="B16" s="56"/>
      <c r="D16">
        <f>(25-7)/(E11-B14)</f>
        <v>0.20551884469638834</v>
      </c>
    </row>
    <row r="17" spans="1:4" x14ac:dyDescent="0.2">
      <c r="A17" s="4" t="s">
        <v>573</v>
      </c>
      <c r="D17" s="57">
        <f>C10-E10</f>
        <v>4.5866564795083056</v>
      </c>
    </row>
    <row r="18" spans="1:4" x14ac:dyDescent="0.2">
      <c r="A18" s="14"/>
    </row>
    <row r="20" spans="1:4" x14ac:dyDescent="0.2">
      <c r="A20" s="15" t="s">
        <v>125</v>
      </c>
    </row>
    <row r="21" spans="1:4" x14ac:dyDescent="0.2">
      <c r="A21" t="s">
        <v>130</v>
      </c>
      <c r="B21" s="56">
        <f>'Исходные данные и результаты'!B75+80*'Исходные данные и результаты'!B14-10*'Исходные данные и результаты'!B14*'Исходные данные и результаты'!B14</f>
        <v>1527.6</v>
      </c>
    </row>
    <row r="22" spans="1:4" x14ac:dyDescent="0.2">
      <c r="A22" s="4" t="s">
        <v>624</v>
      </c>
    </row>
    <row r="23" spans="1:4" ht="14.25" x14ac:dyDescent="0.2">
      <c r="A23" s="14" t="s">
        <v>132</v>
      </c>
      <c r="B23">
        <f>POWER(10,POWER(10,B5+B4*B21))</f>
        <v>2.6747251112974917</v>
      </c>
    </row>
  </sheetData>
  <phoneticPr fontId="44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2:F23"/>
  <sheetViews>
    <sheetView workbookViewId="0">
      <selection activeCell="J30" sqref="J30"/>
    </sheetView>
  </sheetViews>
  <sheetFormatPr defaultRowHeight="12.75" x14ac:dyDescent="0.2"/>
  <cols>
    <col min="2" max="3" width="10.5703125" bestFit="1" customWidth="1"/>
    <col min="4" max="6" width="9.5703125" bestFit="1" customWidth="1"/>
  </cols>
  <sheetData>
    <row r="2" spans="1:6" x14ac:dyDescent="0.2">
      <c r="A2" s="2" t="s">
        <v>120</v>
      </c>
    </row>
    <row r="3" spans="1:6" x14ac:dyDescent="0.2">
      <c r="A3" t="s">
        <v>121</v>
      </c>
    </row>
    <row r="4" spans="1:6" x14ac:dyDescent="0.2">
      <c r="A4" s="13" t="s">
        <v>107</v>
      </c>
      <c r="B4">
        <f>-0.01*(LOG10(LOG10('Расчет при 1400 С (про)'!H155)) -LOG10(LOG10('Расчет при 1500 С (про)'!H155)))</f>
        <v>-2.2092822242662908E-3</v>
      </c>
    </row>
    <row r="5" spans="1:6" x14ac:dyDescent="0.2">
      <c r="A5" s="13" t="s">
        <v>122</v>
      </c>
      <c r="B5">
        <f>LOG10(LOG10('Расчет при 1500 С (про)'!H155))-1500*'Расчет вязкости (про)'!B4</f>
        <v>3.0528730899909786</v>
      </c>
    </row>
    <row r="7" spans="1:6" x14ac:dyDescent="0.2">
      <c r="A7" s="2" t="s">
        <v>123</v>
      </c>
    </row>
    <row r="8" spans="1:6" ht="38.25" x14ac:dyDescent="0.2">
      <c r="A8" s="81" t="s">
        <v>124</v>
      </c>
      <c r="B8" s="83" t="s">
        <v>125</v>
      </c>
      <c r="C8" s="84"/>
      <c r="D8" s="84"/>
      <c r="E8" s="84"/>
      <c r="F8" s="85"/>
    </row>
    <row r="9" spans="1:6" x14ac:dyDescent="0.2">
      <c r="A9" s="82"/>
      <c r="B9" s="5">
        <v>1350</v>
      </c>
      <c r="C9" s="5">
        <v>1400</v>
      </c>
      <c r="D9" s="5">
        <v>1450</v>
      </c>
      <c r="E9" s="5">
        <v>1500</v>
      </c>
      <c r="F9" s="5">
        <v>1550</v>
      </c>
    </row>
    <row r="10" spans="1:6" x14ac:dyDescent="0.2">
      <c r="A10" s="4" t="s">
        <v>56</v>
      </c>
      <c r="B10" s="324">
        <f>POWER(10,POWER(10,$B$5+$B$4*B9))</f>
        <v>14.990750246272908</v>
      </c>
      <c r="C10" s="324">
        <f>POWER(10,POWER(10,$B$5+$B$4*C9))</f>
        <v>8.1612113920771989</v>
      </c>
      <c r="D10" s="324">
        <f>POWER(10,POWER(10,$B$5+$B$4*D9))</f>
        <v>5.0932027711492323</v>
      </c>
      <c r="E10" s="324">
        <f>POWER(10,POWER(10,$B$5+$B$4*E9))</f>
        <v>3.5335686630809051</v>
      </c>
      <c r="F10" s="324">
        <f>POWER(10,POWER(10,$B$5+$B$4*F9))</f>
        <v>2.6613050195154915</v>
      </c>
    </row>
    <row r="11" spans="1:6" x14ac:dyDescent="0.2">
      <c r="A11" t="s">
        <v>237</v>
      </c>
      <c r="E11" s="18">
        <f>(B5-LOG10(LOG10(7)))/-B4</f>
        <v>1414.9237979570228</v>
      </c>
    </row>
    <row r="12" spans="1:6" x14ac:dyDescent="0.2">
      <c r="A12" s="2" t="s">
        <v>126</v>
      </c>
    </row>
    <row r="13" spans="1:6" x14ac:dyDescent="0.2">
      <c r="A13" s="15" t="s">
        <v>127</v>
      </c>
    </row>
    <row r="14" spans="1:6" x14ac:dyDescent="0.2">
      <c r="A14" t="s">
        <v>128</v>
      </c>
      <c r="B14" s="18">
        <f>(B5-LOG10(LOG10(25)))/-B4</f>
        <v>1315.9860354649315</v>
      </c>
      <c r="C14" t="s">
        <v>591</v>
      </c>
    </row>
    <row r="15" spans="1:6" x14ac:dyDescent="0.2">
      <c r="A15" s="15"/>
    </row>
    <row r="16" spans="1:6" x14ac:dyDescent="0.2">
      <c r="A16" s="4" t="s">
        <v>572</v>
      </c>
      <c r="B16" s="56"/>
      <c r="D16">
        <f>(25-7)/(E11-B14)</f>
        <v>0.18193255584730716</v>
      </c>
    </row>
    <row r="17" spans="1:4" x14ac:dyDescent="0.2">
      <c r="A17" s="4" t="s">
        <v>573</v>
      </c>
      <c r="D17" s="57">
        <f>C10-E10</f>
        <v>4.6276427289962943</v>
      </c>
    </row>
    <row r="18" spans="1:4" x14ac:dyDescent="0.2">
      <c r="A18" s="14"/>
    </row>
    <row r="20" spans="1:4" x14ac:dyDescent="0.2">
      <c r="A20" s="15" t="s">
        <v>125</v>
      </c>
    </row>
    <row r="21" spans="1:4" x14ac:dyDescent="0.2">
      <c r="A21" t="s">
        <v>130</v>
      </c>
      <c r="B21" s="56">
        <f>'Исходные данные и результаты'!C75+80*'Исходные данные и результаты'!C14-10*'Исходные данные и результаты'!C14*'Исходные данные и результаты'!C14</f>
        <v>1527.6</v>
      </c>
    </row>
    <row r="22" spans="1:4" x14ac:dyDescent="0.2">
      <c r="A22" s="4" t="s">
        <v>624</v>
      </c>
    </row>
    <row r="23" spans="1:4" ht="14.25" x14ac:dyDescent="0.2">
      <c r="A23" s="14" t="s">
        <v>132</v>
      </c>
      <c r="B23">
        <f>POWER(10,POWER(10,B5+B4*B21))</f>
        <v>2.9950355868012957</v>
      </c>
    </row>
  </sheetData>
  <phoneticPr fontId="44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Y63"/>
  <sheetViews>
    <sheetView view="pageBreakPreview" topLeftCell="B1" zoomScale="70" zoomScaleNormal="75" workbookViewId="0">
      <selection activeCell="J36" sqref="J36"/>
    </sheetView>
  </sheetViews>
  <sheetFormatPr defaultRowHeight="12.75" x14ac:dyDescent="0.2"/>
  <cols>
    <col min="1" max="1" width="27.140625" customWidth="1"/>
    <col min="2" max="2" width="17.28515625" customWidth="1"/>
    <col min="9" max="9" width="9.85546875" bestFit="1" customWidth="1"/>
    <col min="11" max="11" width="10.5703125" customWidth="1"/>
    <col min="12" max="12" width="13.140625" customWidth="1"/>
  </cols>
  <sheetData>
    <row r="1" spans="1:25" ht="18" x14ac:dyDescent="0.25">
      <c r="B1" s="380" t="s">
        <v>574</v>
      </c>
      <c r="C1" s="381"/>
      <c r="D1" s="381"/>
      <c r="E1" s="381"/>
      <c r="F1" s="381"/>
      <c r="G1" s="381"/>
    </row>
    <row r="2" spans="1:25" x14ac:dyDescent="0.2">
      <c r="A2" s="13" t="s">
        <v>575</v>
      </c>
      <c r="B2" s="382">
        <f ca="1">NOW()</f>
        <v>43269.06675416667</v>
      </c>
    </row>
    <row r="3" spans="1:25" ht="15.75" x14ac:dyDescent="0.25">
      <c r="A3" s="382"/>
      <c r="B3" s="356" t="s">
        <v>576</v>
      </c>
      <c r="C3" s="356"/>
      <c r="H3" s="383" t="s">
        <v>213</v>
      </c>
      <c r="I3" s="384">
        <v>11.013999999999999</v>
      </c>
      <c r="J3" s="383" t="s">
        <v>214</v>
      </c>
      <c r="K3" s="384">
        <v>11.602</v>
      </c>
    </row>
    <row r="4" spans="1:25" x14ac:dyDescent="0.2">
      <c r="A4" s="13" t="s">
        <v>577</v>
      </c>
      <c r="B4" s="385">
        <f t="shared" ref="B4:K4" si="0">72.665</f>
        <v>72.665000000000006</v>
      </c>
      <c r="C4" s="42">
        <f t="shared" si="0"/>
        <v>72.665000000000006</v>
      </c>
      <c r="D4" s="42">
        <f t="shared" si="0"/>
        <v>72.665000000000006</v>
      </c>
      <c r="E4" s="42">
        <f t="shared" si="0"/>
        <v>72.665000000000006</v>
      </c>
      <c r="F4" s="42">
        <f t="shared" si="0"/>
        <v>72.665000000000006</v>
      </c>
      <c r="G4" s="42">
        <f t="shared" si="0"/>
        <v>72.665000000000006</v>
      </c>
      <c r="H4" s="42">
        <f t="shared" si="0"/>
        <v>72.665000000000006</v>
      </c>
      <c r="I4" s="42">
        <f t="shared" si="0"/>
        <v>72.665000000000006</v>
      </c>
      <c r="J4" s="42">
        <f t="shared" si="0"/>
        <v>72.665000000000006</v>
      </c>
      <c r="K4" s="42">
        <f t="shared" si="0"/>
        <v>72.665000000000006</v>
      </c>
    </row>
    <row r="5" spans="1:25" x14ac:dyDescent="0.2">
      <c r="A5" s="13" t="s">
        <v>578</v>
      </c>
      <c r="B5" s="385">
        <v>1.0089999999999999</v>
      </c>
      <c r="C5" s="386">
        <v>0.8</v>
      </c>
      <c r="D5" s="386">
        <v>0.85</v>
      </c>
      <c r="E5" s="386">
        <v>0.9</v>
      </c>
      <c r="F5" s="386">
        <v>0.95</v>
      </c>
      <c r="G5" s="386">
        <v>1</v>
      </c>
      <c r="H5" s="386">
        <v>1.05</v>
      </c>
      <c r="I5" s="386">
        <v>1.1000000000000001</v>
      </c>
      <c r="J5" s="386">
        <v>1.1499999999999999</v>
      </c>
      <c r="K5" s="386">
        <v>1.2</v>
      </c>
    </row>
    <row r="6" spans="1:25" ht="14.25" x14ac:dyDescent="0.25">
      <c r="A6" s="43"/>
      <c r="B6" s="356" t="s">
        <v>621</v>
      </c>
      <c r="C6" s="49"/>
      <c r="D6" s="49"/>
      <c r="E6" s="49"/>
      <c r="F6" s="49"/>
      <c r="G6" s="49"/>
      <c r="H6" s="49"/>
      <c r="I6" s="49"/>
      <c r="J6" s="49"/>
      <c r="K6" s="49"/>
      <c r="Y6" s="356"/>
    </row>
    <row r="7" spans="1:25" ht="15.75" x14ac:dyDescent="0.25">
      <c r="A7" s="387"/>
      <c r="B7" s="11" t="s">
        <v>579</v>
      </c>
      <c r="C7" s="388">
        <f t="shared" ref="C7:K7" si="1">C5</f>
        <v>0.8</v>
      </c>
      <c r="D7" s="388">
        <f t="shared" si="1"/>
        <v>0.85</v>
      </c>
      <c r="E7" s="388">
        <f t="shared" si="1"/>
        <v>0.9</v>
      </c>
      <c r="F7" s="388">
        <f t="shared" si="1"/>
        <v>0.95</v>
      </c>
      <c r="G7" s="388">
        <f t="shared" si="1"/>
        <v>1</v>
      </c>
      <c r="H7" s="388">
        <f t="shared" si="1"/>
        <v>1.05</v>
      </c>
      <c r="I7" s="388">
        <f t="shared" si="1"/>
        <v>1.1000000000000001</v>
      </c>
      <c r="J7" s="388">
        <f t="shared" si="1"/>
        <v>1.1499999999999999</v>
      </c>
      <c r="K7" s="388">
        <f t="shared" si="1"/>
        <v>1.2</v>
      </c>
    </row>
    <row r="8" spans="1:25" x14ac:dyDescent="0.2">
      <c r="A8" s="4" t="s">
        <v>8</v>
      </c>
      <c r="B8" s="324">
        <f t="shared" ref="B8:K8" si="2">B4-B9</f>
        <v>36.495263812842211</v>
      </c>
      <c r="C8" s="324">
        <f t="shared" si="2"/>
        <v>32.295555555555559</v>
      </c>
      <c r="D8" s="324">
        <f t="shared" si="2"/>
        <v>33.386621621621629</v>
      </c>
      <c r="E8" s="324">
        <f t="shared" si="2"/>
        <v>34.420263157894738</v>
      </c>
      <c r="F8" s="324">
        <f t="shared" si="2"/>
        <v>35.400897435897441</v>
      </c>
      <c r="G8" s="324">
        <f t="shared" si="2"/>
        <v>36.332500000000003</v>
      </c>
      <c r="H8" s="324">
        <f t="shared" si="2"/>
        <v>37.218658536585366</v>
      </c>
      <c r="I8" s="324">
        <f t="shared" si="2"/>
        <v>38.062619047619052</v>
      </c>
      <c r="J8" s="324">
        <f t="shared" si="2"/>
        <v>38.867325581395349</v>
      </c>
      <c r="K8" s="324">
        <f t="shared" si="2"/>
        <v>39.63545454545455</v>
      </c>
    </row>
    <row r="9" spans="1:25" x14ac:dyDescent="0.2">
      <c r="A9" s="4" t="s">
        <v>6</v>
      </c>
      <c r="B9" s="324">
        <f t="shared" ref="B9:K9" si="3">B4/(1+B5)</f>
        <v>36.169736187157795</v>
      </c>
      <c r="C9" s="324">
        <f t="shared" si="3"/>
        <v>40.369444444444447</v>
      </c>
      <c r="D9" s="324">
        <f t="shared" si="3"/>
        <v>39.278378378378378</v>
      </c>
      <c r="E9" s="324">
        <f t="shared" si="3"/>
        <v>38.244736842105269</v>
      </c>
      <c r="F9" s="324">
        <f t="shared" si="3"/>
        <v>37.264102564102565</v>
      </c>
      <c r="G9" s="324">
        <f t="shared" si="3"/>
        <v>36.332500000000003</v>
      </c>
      <c r="H9" s="324">
        <f t="shared" si="3"/>
        <v>35.44634146341464</v>
      </c>
      <c r="I9" s="324">
        <f t="shared" si="3"/>
        <v>34.602380952380955</v>
      </c>
      <c r="J9" s="324">
        <f t="shared" si="3"/>
        <v>33.797674418604657</v>
      </c>
      <c r="K9" s="324">
        <f t="shared" si="3"/>
        <v>33.029545454545456</v>
      </c>
    </row>
    <row r="10" spans="1:25" x14ac:dyDescent="0.2">
      <c r="A10" s="4" t="s">
        <v>7</v>
      </c>
      <c r="B10" s="29">
        <v>11.013999999999999</v>
      </c>
      <c r="C10" s="29">
        <v>11.013999999999999</v>
      </c>
      <c r="D10" s="29">
        <v>11.013999999999999</v>
      </c>
      <c r="E10" s="29">
        <v>11.013999999999999</v>
      </c>
      <c r="F10" s="29">
        <v>11.013999999999999</v>
      </c>
      <c r="G10" s="29">
        <v>11.013999999999999</v>
      </c>
      <c r="H10" s="29">
        <v>11.013999999999999</v>
      </c>
      <c r="I10" s="29">
        <v>11.013999999999999</v>
      </c>
      <c r="J10" s="29">
        <v>11.013999999999999</v>
      </c>
      <c r="K10" s="29">
        <v>11.013999999999999</v>
      </c>
    </row>
    <row r="11" spans="1:25" x14ac:dyDescent="0.2">
      <c r="A11" s="4" t="s">
        <v>9</v>
      </c>
      <c r="B11" s="389">
        <v>11.602</v>
      </c>
      <c r="C11" s="389">
        <v>11.602</v>
      </c>
      <c r="D11" s="389">
        <v>11.602</v>
      </c>
      <c r="E11" s="389">
        <v>11.602</v>
      </c>
      <c r="F11" s="389">
        <v>11.602</v>
      </c>
      <c r="G11" s="389">
        <v>11.602</v>
      </c>
      <c r="H11" s="389">
        <v>11.602</v>
      </c>
      <c r="I11" s="389">
        <v>11.602</v>
      </c>
      <c r="J11" s="389">
        <v>11.602</v>
      </c>
      <c r="K11" s="389">
        <v>11.602</v>
      </c>
    </row>
    <row r="12" spans="1:25" x14ac:dyDescent="0.2">
      <c r="A12" s="4" t="s">
        <v>16</v>
      </c>
      <c r="B12" s="29">
        <v>1.147</v>
      </c>
      <c r="C12" s="389">
        <v>1.147</v>
      </c>
      <c r="D12" s="389">
        <v>1.147</v>
      </c>
      <c r="E12" s="389">
        <v>1.147</v>
      </c>
      <c r="F12" s="389">
        <v>1.147</v>
      </c>
      <c r="G12" s="389">
        <v>1.147</v>
      </c>
      <c r="H12" s="389">
        <v>1.147</v>
      </c>
      <c r="I12" s="389">
        <v>1.147</v>
      </c>
      <c r="J12" s="389">
        <v>1.147</v>
      </c>
      <c r="K12" s="389">
        <v>1.147</v>
      </c>
    </row>
    <row r="13" spans="1:25" x14ac:dyDescent="0.2">
      <c r="A13" s="4" t="s">
        <v>75</v>
      </c>
      <c r="B13" s="324">
        <f t="shared" ref="B13:K13" si="4">B8/B9</f>
        <v>1.0089999999999999</v>
      </c>
      <c r="C13" s="324">
        <f t="shared" si="4"/>
        <v>0.8</v>
      </c>
      <c r="D13" s="324">
        <f t="shared" si="4"/>
        <v>0.8500000000000002</v>
      </c>
      <c r="E13" s="324">
        <f t="shared" si="4"/>
        <v>0.89999999999999991</v>
      </c>
      <c r="F13" s="324">
        <f t="shared" si="4"/>
        <v>0.95000000000000018</v>
      </c>
      <c r="G13" s="324">
        <f t="shared" si="4"/>
        <v>1</v>
      </c>
      <c r="H13" s="324">
        <f t="shared" si="4"/>
        <v>1.0499999999999998</v>
      </c>
      <c r="I13" s="324">
        <f t="shared" si="4"/>
        <v>1.1000000000000001</v>
      </c>
      <c r="J13" s="324">
        <f t="shared" si="4"/>
        <v>1.1499999999999997</v>
      </c>
      <c r="K13" s="324">
        <f t="shared" si="4"/>
        <v>1.2000000000000002</v>
      </c>
    </row>
    <row r="14" spans="1:25" x14ac:dyDescent="0.2">
      <c r="A14" s="4" t="s">
        <v>62</v>
      </c>
      <c r="B14" s="324">
        <f t="shared" ref="B14:K14" si="5">(B8+B11)/(B9)</f>
        <v>1.3297654028762127</v>
      </c>
      <c r="C14" s="324">
        <f t="shared" si="5"/>
        <v>1.0873955824674877</v>
      </c>
      <c r="D14" s="324">
        <f t="shared" si="5"/>
        <v>1.1453787930915851</v>
      </c>
      <c r="E14" s="324">
        <f t="shared" si="5"/>
        <v>1.2033620037156816</v>
      </c>
      <c r="F14" s="324">
        <f t="shared" si="5"/>
        <v>1.2613452143397785</v>
      </c>
      <c r="G14" s="324">
        <f t="shared" si="5"/>
        <v>1.3193284249638753</v>
      </c>
      <c r="H14" s="324">
        <f t="shared" si="5"/>
        <v>1.377311635587972</v>
      </c>
      <c r="I14" s="324">
        <f t="shared" si="5"/>
        <v>1.4352948462120692</v>
      </c>
      <c r="J14" s="324">
        <f t="shared" si="5"/>
        <v>1.4932780568361659</v>
      </c>
      <c r="K14" s="324">
        <f t="shared" si="5"/>
        <v>1.551261267460263</v>
      </c>
    </row>
    <row r="15" spans="1:25" x14ac:dyDescent="0.2">
      <c r="A15" s="4" t="s">
        <v>65</v>
      </c>
      <c r="B15" s="324">
        <f t="shared" ref="B15:K15" si="6">(B8+B11)/(B9+B10)</f>
        <v>1.0193610701378299</v>
      </c>
      <c r="C15" s="324">
        <f t="shared" si="6"/>
        <v>0.85431321372426472</v>
      </c>
      <c r="D15" s="324">
        <f t="shared" si="6"/>
        <v>0.89454154033333755</v>
      </c>
      <c r="E15" s="324">
        <f t="shared" si="6"/>
        <v>0.93429645395526961</v>
      </c>
      <c r="F15" s="324">
        <f t="shared" si="6"/>
        <v>0.97358626249836677</v>
      </c>
      <c r="G15" s="324">
        <f t="shared" si="6"/>
        <v>1.012419080607859</v>
      </c>
      <c r="H15" s="324">
        <f t="shared" si="6"/>
        <v>1.0508028352531453</v>
      </c>
      <c r="I15" s="324">
        <f t="shared" si="6"/>
        <v>1.0887452711223204</v>
      </c>
      <c r="J15" s="324">
        <f t="shared" si="6"/>
        <v>1.1262539558316926</v>
      </c>
      <c r="K15" s="324">
        <f t="shared" si="6"/>
        <v>1.1633362849576558</v>
      </c>
    </row>
    <row r="16" spans="1:25" ht="15.75" x14ac:dyDescent="0.25">
      <c r="A16" s="377" t="s">
        <v>563</v>
      </c>
      <c r="B16" s="324"/>
      <c r="C16" s="324"/>
      <c r="D16" s="324"/>
      <c r="E16" s="324"/>
      <c r="F16" s="324"/>
      <c r="G16" s="324"/>
      <c r="H16" s="324"/>
      <c r="I16" s="324"/>
      <c r="J16" s="324"/>
      <c r="K16" s="324"/>
    </row>
    <row r="17" spans="1:11" x14ac:dyDescent="0.2">
      <c r="A17" s="4" t="s">
        <v>565</v>
      </c>
      <c r="B17" s="378">
        <v>20.817703817401881</v>
      </c>
      <c r="C17" s="378">
        <v>36.239880422804561</v>
      </c>
      <c r="D17" s="378">
        <v>30.748604485444847</v>
      </c>
      <c r="E17" s="378">
        <v>25.442791438120029</v>
      </c>
      <c r="F17" s="378">
        <v>22.843755702162458</v>
      </c>
      <c r="G17" s="378">
        <v>21.179268517447905</v>
      </c>
      <c r="H17" s="378">
        <v>18.559224259182688</v>
      </c>
      <c r="I17" s="378">
        <v>15.863633286819288</v>
      </c>
      <c r="J17" s="378">
        <v>21.635722520690134</v>
      </c>
      <c r="K17" s="378">
        <v>132.77716830081991</v>
      </c>
    </row>
    <row r="18" spans="1:11" x14ac:dyDescent="0.2">
      <c r="A18" s="4" t="s">
        <v>566</v>
      </c>
      <c r="B18" s="378">
        <v>7.4489379390905635</v>
      </c>
      <c r="C18" s="378">
        <v>9.8006537684113546</v>
      </c>
      <c r="D18" s="378">
        <v>9.6930548038050137</v>
      </c>
      <c r="E18" s="378">
        <v>9.1960010779080754</v>
      </c>
      <c r="F18" s="378">
        <v>8.5114784519882765</v>
      </c>
      <c r="G18" s="378">
        <v>7.6278464543376003</v>
      </c>
      <c r="H18" s="378">
        <v>6.6180502634422327</v>
      </c>
      <c r="I18" s="378">
        <v>5.9378310579012732</v>
      </c>
      <c r="J18" s="378">
        <v>6.7239363664593412</v>
      </c>
      <c r="K18" s="378">
        <v>11.092330418048185</v>
      </c>
    </row>
    <row r="19" spans="1:11" x14ac:dyDescent="0.2">
      <c r="A19" s="4" t="s">
        <v>567</v>
      </c>
      <c r="B19" s="378">
        <v>3.7744878572970504</v>
      </c>
      <c r="C19" s="378">
        <v>4.2676786487121312</v>
      </c>
      <c r="D19" s="378">
        <v>4.5086333483847225</v>
      </c>
      <c r="E19" s="378">
        <v>4.5772535038590183</v>
      </c>
      <c r="F19" s="378">
        <v>4.3305153943119992</v>
      </c>
      <c r="G19" s="378">
        <v>3.8658406658317221</v>
      </c>
      <c r="H19" s="378">
        <v>3.3962069187320889</v>
      </c>
      <c r="I19" s="378">
        <v>3.151974714595378</v>
      </c>
      <c r="J19" s="378">
        <v>3.2584675111064358</v>
      </c>
      <c r="K19" s="378">
        <v>3.2686677907806816</v>
      </c>
    </row>
    <row r="20" spans="1:11" x14ac:dyDescent="0.2">
      <c r="A20" s="4" t="s">
        <v>568</v>
      </c>
      <c r="B20" s="378">
        <v>2.4075214643985117</v>
      </c>
      <c r="C20" s="378">
        <v>2.5156210207641725</v>
      </c>
      <c r="D20" s="378">
        <v>2.7142261702157073</v>
      </c>
      <c r="E20" s="378">
        <v>2.8371634622133142</v>
      </c>
      <c r="F20" s="378">
        <v>2.7269546765880488</v>
      </c>
      <c r="G20" s="378">
        <v>2.4593168250330391</v>
      </c>
      <c r="H20" s="378">
        <v>2.2056745413299428</v>
      </c>
      <c r="I20" s="378">
        <v>2.095672471490893</v>
      </c>
      <c r="J20" s="378">
        <v>2.079687663771058</v>
      </c>
      <c r="K20" s="378">
        <v>1.7913419590298745</v>
      </c>
    </row>
    <row r="21" spans="1:11" x14ac:dyDescent="0.2">
      <c r="A21" s="4" t="s">
        <v>569</v>
      </c>
      <c r="B21" s="378">
        <v>1.7881110910172267</v>
      </c>
      <c r="C21" s="378">
        <v>1.7976731281257863</v>
      </c>
      <c r="D21" s="378">
        <v>1.9468062727916562</v>
      </c>
      <c r="E21" s="378">
        <v>2.0439930412117651</v>
      </c>
      <c r="F21" s="378">
        <v>1.9870036131743931</v>
      </c>
      <c r="G21" s="378">
        <v>1.8200757119658959</v>
      </c>
      <c r="H21" s="378">
        <v>1.6682597982882359</v>
      </c>
      <c r="I21" s="378">
        <v>1.610958887381164</v>
      </c>
      <c r="J21" s="378">
        <v>1.5744008804398892</v>
      </c>
      <c r="K21" s="378">
        <v>1.332345980272309</v>
      </c>
    </row>
    <row r="22" spans="1:11" x14ac:dyDescent="0.2">
      <c r="A22" s="4" t="s">
        <v>570</v>
      </c>
      <c r="B22" s="379">
        <v>1342.9160718622168</v>
      </c>
      <c r="C22" s="379">
        <v>1362.0504666263196</v>
      </c>
      <c r="D22" s="379">
        <v>1357.5819756648377</v>
      </c>
      <c r="E22" s="379">
        <v>1350.7204208500989</v>
      </c>
      <c r="F22" s="379">
        <v>1346.2518548549367</v>
      </c>
      <c r="G22" s="379">
        <v>1343.5045384850298</v>
      </c>
      <c r="H22" s="379">
        <v>1338.8484356029214</v>
      </c>
      <c r="I22" s="379">
        <v>1332.6615915835505</v>
      </c>
      <c r="J22" s="379">
        <v>1345.1971321460792</v>
      </c>
      <c r="K22" s="379">
        <v>1379.4765330458724</v>
      </c>
    </row>
    <row r="23" spans="1:11" x14ac:dyDescent="0.2">
      <c r="A23" s="4" t="s">
        <v>571</v>
      </c>
      <c r="B23" s="379">
        <v>1403.8041218421761</v>
      </c>
      <c r="C23" s="379">
        <v>1417.6090074627057</v>
      </c>
      <c r="D23" s="379">
        <v>1418.8188077136754</v>
      </c>
      <c r="E23" s="379">
        <v>1417.3795924518779</v>
      </c>
      <c r="F23" s="379">
        <v>1412.6254780542818</v>
      </c>
      <c r="G23" s="379">
        <v>1405.30381205351</v>
      </c>
      <c r="H23" s="379">
        <v>1396.6403911410466</v>
      </c>
      <c r="I23" s="379">
        <v>1389.9433858261034</v>
      </c>
      <c r="J23" s="379">
        <v>1397.815587550303</v>
      </c>
      <c r="K23" s="379">
        <v>1414.9778834705851</v>
      </c>
    </row>
    <row r="24" spans="1:11" x14ac:dyDescent="0.2">
      <c r="A24" s="4" t="s">
        <v>572</v>
      </c>
      <c r="B24" s="378">
        <v>0.29562451098244269</v>
      </c>
      <c r="C24" s="378">
        <v>0.32398259077768177</v>
      </c>
      <c r="D24" s="378">
        <v>0.29394074444681639</v>
      </c>
      <c r="E24" s="378">
        <v>0.27003035842587059</v>
      </c>
      <c r="F24" s="378">
        <v>0.27119206594974038</v>
      </c>
      <c r="G24" s="378">
        <v>0.29126555961946826</v>
      </c>
      <c r="H24" s="378">
        <v>0.31146203364109126</v>
      </c>
      <c r="I24" s="378">
        <v>0.31423596690741135</v>
      </c>
      <c r="J24" s="378">
        <v>0.34208529805219429</v>
      </c>
      <c r="K24" s="378">
        <v>0.50702296630018096</v>
      </c>
    </row>
    <row r="25" spans="1:11" x14ac:dyDescent="0.2">
      <c r="A25" s="4" t="s">
        <v>573</v>
      </c>
      <c r="B25" s="378">
        <v>5.0414164746920518</v>
      </c>
      <c r="C25" s="378">
        <v>7.2850327476471826</v>
      </c>
      <c r="D25" s="378">
        <v>6.9788286335893064</v>
      </c>
      <c r="E25" s="378">
        <v>6.3588376156947612</v>
      </c>
      <c r="F25" s="378">
        <v>5.7845237754002277</v>
      </c>
      <c r="G25" s="378">
        <v>5.1685296293045617</v>
      </c>
      <c r="H25" s="378">
        <v>4.4123757221122899</v>
      </c>
      <c r="I25" s="378">
        <v>3.8421585864103802</v>
      </c>
      <c r="J25" s="378">
        <v>4.6442487026882837</v>
      </c>
      <c r="K25" s="378">
        <v>9.3009884590183098</v>
      </c>
    </row>
    <row r="26" spans="1:11" x14ac:dyDescent="0.2">
      <c r="A26" s="53"/>
      <c r="B26" s="390"/>
      <c r="C26" s="390"/>
      <c r="D26" s="390"/>
      <c r="E26" s="390"/>
      <c r="F26" s="390"/>
      <c r="G26" s="390"/>
      <c r="H26" s="390"/>
      <c r="I26" s="390"/>
      <c r="J26" s="390"/>
      <c r="K26" s="390"/>
    </row>
    <row r="27" spans="1:11" x14ac:dyDescent="0.2">
      <c r="A27" s="53"/>
      <c r="B27" s="390"/>
      <c r="C27" s="390"/>
      <c r="D27" s="390"/>
      <c r="E27" s="390"/>
      <c r="F27" s="390"/>
      <c r="G27" s="390"/>
      <c r="H27" s="390"/>
      <c r="I27" s="390"/>
      <c r="J27" s="390"/>
      <c r="K27" s="390"/>
    </row>
    <row r="28" spans="1:11" x14ac:dyDescent="0.2">
      <c r="A28" s="53"/>
      <c r="B28" s="390"/>
      <c r="C28" s="390"/>
      <c r="D28" s="390"/>
      <c r="E28" s="390"/>
      <c r="F28" s="390"/>
      <c r="G28" s="390"/>
      <c r="H28" s="390"/>
      <c r="I28" s="390"/>
      <c r="J28" s="390"/>
      <c r="K28" s="390"/>
    </row>
    <row r="29" spans="1:11" x14ac:dyDescent="0.2">
      <c r="A29" s="53"/>
      <c r="B29" s="390"/>
      <c r="C29" s="390"/>
      <c r="D29" s="390"/>
      <c r="E29" s="390"/>
      <c r="F29" s="390"/>
      <c r="G29" s="390"/>
      <c r="H29" s="390"/>
      <c r="I29" s="390"/>
      <c r="J29" s="390"/>
      <c r="K29" s="390"/>
    </row>
    <row r="30" spans="1:11" x14ac:dyDescent="0.2">
      <c r="A30" s="53"/>
      <c r="B30" s="390"/>
      <c r="C30" s="390"/>
      <c r="D30" s="390"/>
      <c r="E30" s="390"/>
      <c r="F30" s="390"/>
      <c r="G30" s="390"/>
      <c r="H30" s="390"/>
      <c r="I30" s="390"/>
      <c r="J30" s="390"/>
      <c r="K30" s="390"/>
    </row>
    <row r="31" spans="1:11" x14ac:dyDescent="0.2">
      <c r="A31" s="53"/>
      <c r="B31" s="390"/>
      <c r="C31" s="390"/>
      <c r="D31" s="390"/>
      <c r="E31" s="390"/>
      <c r="F31" s="390"/>
      <c r="G31" s="390"/>
      <c r="H31" s="390"/>
      <c r="I31" s="390"/>
      <c r="J31" s="390"/>
      <c r="K31" s="390"/>
    </row>
    <row r="36" spans="1:11" ht="15.75" x14ac:dyDescent="0.25">
      <c r="A36" s="356" t="s">
        <v>576</v>
      </c>
      <c r="B36" s="356"/>
      <c r="G36" s="383" t="s">
        <v>213</v>
      </c>
      <c r="H36" s="384">
        <v>7</v>
      </c>
      <c r="I36" s="383" t="s">
        <v>214</v>
      </c>
      <c r="J36" s="384">
        <v>10</v>
      </c>
    </row>
    <row r="37" spans="1:11" x14ac:dyDescent="0.2">
      <c r="A37" s="13" t="s">
        <v>580</v>
      </c>
      <c r="B37" s="391">
        <f>B38+B45+B46+B47</f>
        <v>96.428000000000011</v>
      </c>
      <c r="C37" s="42">
        <v>100</v>
      </c>
      <c r="D37" s="42">
        <v>100</v>
      </c>
      <c r="E37" s="42">
        <v>100</v>
      </c>
      <c r="F37" s="42">
        <v>100</v>
      </c>
      <c r="G37" s="42">
        <v>100</v>
      </c>
      <c r="H37" s="42">
        <v>100</v>
      </c>
      <c r="I37" s="42">
        <v>100</v>
      </c>
      <c r="J37" s="42">
        <v>100</v>
      </c>
      <c r="K37" s="42">
        <v>100</v>
      </c>
    </row>
    <row r="38" spans="1:11" x14ac:dyDescent="0.2">
      <c r="A38" s="13" t="s">
        <v>577</v>
      </c>
      <c r="B38" s="385">
        <f>72.665</f>
        <v>72.665000000000006</v>
      </c>
      <c r="C38" s="392">
        <f t="shared" ref="C38:K38" si="7">C37-C45-C46-C47</f>
        <v>81.852999999999994</v>
      </c>
      <c r="D38" s="392">
        <f t="shared" si="7"/>
        <v>81.852999999999994</v>
      </c>
      <c r="E38" s="392">
        <f t="shared" si="7"/>
        <v>81.852999999999994</v>
      </c>
      <c r="F38" s="392">
        <f t="shared" si="7"/>
        <v>81.852999999999994</v>
      </c>
      <c r="G38" s="392">
        <f t="shared" si="7"/>
        <v>81.852999999999994</v>
      </c>
      <c r="H38" s="392">
        <f t="shared" si="7"/>
        <v>81.852999999999994</v>
      </c>
      <c r="I38" s="392">
        <f t="shared" si="7"/>
        <v>81.852999999999994</v>
      </c>
      <c r="J38" s="392">
        <f t="shared" si="7"/>
        <v>81.852999999999994</v>
      </c>
      <c r="K38" s="392">
        <f t="shared" si="7"/>
        <v>81.852999999999994</v>
      </c>
    </row>
    <row r="39" spans="1:11" ht="15.75" x14ac:dyDescent="0.25">
      <c r="A39" s="383" t="s">
        <v>578</v>
      </c>
      <c r="B39" s="393">
        <v>1.0089999999999999</v>
      </c>
      <c r="C39" s="394">
        <v>0.8</v>
      </c>
      <c r="D39" s="394">
        <v>0.85</v>
      </c>
      <c r="E39" s="394">
        <v>0.9</v>
      </c>
      <c r="F39" s="394">
        <v>0.95</v>
      </c>
      <c r="G39" s="394">
        <v>1</v>
      </c>
      <c r="H39" s="394">
        <v>1.05</v>
      </c>
      <c r="I39" s="394">
        <v>1.1000000000000001</v>
      </c>
      <c r="J39" s="394">
        <v>1.1499999999999999</v>
      </c>
      <c r="K39" s="394">
        <v>1.2</v>
      </c>
    </row>
    <row r="40" spans="1:11" x14ac:dyDescent="0.2">
      <c r="A40" s="43"/>
      <c r="B40" s="356"/>
      <c r="C40" s="49"/>
      <c r="D40" s="49"/>
      <c r="E40" s="49"/>
      <c r="F40" s="49"/>
      <c r="G40" s="49"/>
      <c r="H40" s="49"/>
      <c r="I40" s="49"/>
      <c r="J40" s="49"/>
      <c r="K40" s="49"/>
    </row>
    <row r="41" spans="1:11" ht="15.75" x14ac:dyDescent="0.25">
      <c r="A41" s="43"/>
      <c r="B41" s="395" t="s">
        <v>579</v>
      </c>
      <c r="C41" s="49"/>
      <c r="D41" s="49"/>
      <c r="E41" s="49"/>
      <c r="F41" s="49"/>
      <c r="G41" s="49"/>
      <c r="H41" s="49"/>
      <c r="I41" s="49"/>
      <c r="J41" s="49"/>
      <c r="K41" s="49"/>
    </row>
    <row r="42" spans="1:11" ht="15.75" x14ac:dyDescent="0.25">
      <c r="A42" s="396"/>
      <c r="B42" s="397">
        <f>B48</f>
        <v>1.0089999999999999</v>
      </c>
      <c r="C42" s="388">
        <f t="shared" ref="C42:K42" si="8">C39</f>
        <v>0.8</v>
      </c>
      <c r="D42" s="388">
        <f t="shared" si="8"/>
        <v>0.85</v>
      </c>
      <c r="E42" s="388">
        <f t="shared" si="8"/>
        <v>0.9</v>
      </c>
      <c r="F42" s="388">
        <f t="shared" si="8"/>
        <v>0.95</v>
      </c>
      <c r="G42" s="388">
        <f t="shared" si="8"/>
        <v>1</v>
      </c>
      <c r="H42" s="388">
        <f t="shared" si="8"/>
        <v>1.05</v>
      </c>
      <c r="I42" s="388">
        <f t="shared" si="8"/>
        <v>1.1000000000000001</v>
      </c>
      <c r="J42" s="388">
        <f t="shared" si="8"/>
        <v>1.1499999999999999</v>
      </c>
      <c r="K42" s="388">
        <f t="shared" si="8"/>
        <v>1.2</v>
      </c>
    </row>
    <row r="43" spans="1:11" x14ac:dyDescent="0.2">
      <c r="A43" s="4" t="s">
        <v>8</v>
      </c>
      <c r="B43" s="324">
        <f t="shared" ref="B43:K43" si="9">B38-B44</f>
        <v>36.495263812842211</v>
      </c>
      <c r="C43" s="324">
        <f t="shared" si="9"/>
        <v>36.379111111111108</v>
      </c>
      <c r="D43" s="324">
        <f t="shared" si="9"/>
        <v>37.608135135135136</v>
      </c>
      <c r="E43" s="324">
        <f t="shared" si="9"/>
        <v>38.772473684210524</v>
      </c>
      <c r="F43" s="324">
        <f t="shared" si="9"/>
        <v>39.877102564102557</v>
      </c>
      <c r="G43" s="324">
        <f t="shared" si="9"/>
        <v>40.926499999999997</v>
      </c>
      <c r="H43" s="324">
        <f t="shared" si="9"/>
        <v>41.924707317073164</v>
      </c>
      <c r="I43" s="324">
        <f t="shared" si="9"/>
        <v>42.875380952380951</v>
      </c>
      <c r="J43" s="324">
        <f t="shared" si="9"/>
        <v>43.781837209302324</v>
      </c>
      <c r="K43" s="324">
        <f t="shared" si="9"/>
        <v>44.647090909090906</v>
      </c>
    </row>
    <row r="44" spans="1:11" x14ac:dyDescent="0.2">
      <c r="A44" s="4" t="s">
        <v>6</v>
      </c>
      <c r="B44" s="324">
        <f t="shared" ref="B44:K44" si="10">B38/(1+B39)</f>
        <v>36.169736187157795</v>
      </c>
      <c r="C44" s="324">
        <f t="shared" si="10"/>
        <v>45.473888888888887</v>
      </c>
      <c r="D44" s="324">
        <f t="shared" si="10"/>
        <v>44.244864864864859</v>
      </c>
      <c r="E44" s="324">
        <f t="shared" si="10"/>
        <v>43.08052631578947</v>
      </c>
      <c r="F44" s="324">
        <f t="shared" si="10"/>
        <v>41.975897435897437</v>
      </c>
      <c r="G44" s="324">
        <f t="shared" si="10"/>
        <v>40.926499999999997</v>
      </c>
      <c r="H44" s="324">
        <f t="shared" si="10"/>
        <v>39.928292682926831</v>
      </c>
      <c r="I44" s="324">
        <f t="shared" si="10"/>
        <v>38.977619047619044</v>
      </c>
      <c r="J44" s="324">
        <f t="shared" si="10"/>
        <v>38.07116279069767</v>
      </c>
      <c r="K44" s="324">
        <f t="shared" si="10"/>
        <v>37.205909090909088</v>
      </c>
    </row>
    <row r="45" spans="1:11" x14ac:dyDescent="0.2">
      <c r="A45" s="4" t="s">
        <v>7</v>
      </c>
      <c r="B45" s="29">
        <v>11.013999999999999</v>
      </c>
      <c r="C45" s="398">
        <v>7</v>
      </c>
      <c r="D45" s="398">
        <v>7</v>
      </c>
      <c r="E45" s="398">
        <v>7</v>
      </c>
      <c r="F45" s="398">
        <v>7</v>
      </c>
      <c r="G45" s="398">
        <v>7</v>
      </c>
      <c r="H45" s="398">
        <v>7</v>
      </c>
      <c r="I45" s="398">
        <v>7</v>
      </c>
      <c r="J45" s="398">
        <v>7</v>
      </c>
      <c r="K45" s="398">
        <v>7</v>
      </c>
    </row>
    <row r="46" spans="1:11" x14ac:dyDescent="0.2">
      <c r="A46" s="4" t="s">
        <v>9</v>
      </c>
      <c r="B46" s="389">
        <v>11.602</v>
      </c>
      <c r="C46" s="398">
        <v>10</v>
      </c>
      <c r="D46" s="398">
        <v>10</v>
      </c>
      <c r="E46" s="398">
        <v>10</v>
      </c>
      <c r="F46" s="398">
        <v>10</v>
      </c>
      <c r="G46" s="398">
        <v>10</v>
      </c>
      <c r="H46" s="398">
        <v>10</v>
      </c>
      <c r="I46" s="398">
        <v>10</v>
      </c>
      <c r="J46" s="398">
        <v>10</v>
      </c>
      <c r="K46" s="398">
        <v>10</v>
      </c>
    </row>
    <row r="47" spans="1:11" x14ac:dyDescent="0.2">
      <c r="A47" s="4" t="s">
        <v>16</v>
      </c>
      <c r="B47" s="29">
        <v>1.147</v>
      </c>
      <c r="C47" s="389">
        <v>1.147</v>
      </c>
      <c r="D47" s="389">
        <v>1.147</v>
      </c>
      <c r="E47" s="389">
        <v>1.147</v>
      </c>
      <c r="F47" s="389">
        <v>1.147</v>
      </c>
      <c r="G47" s="389">
        <v>1.147</v>
      </c>
      <c r="H47" s="389">
        <v>1.147</v>
      </c>
      <c r="I47" s="389">
        <v>1.147</v>
      </c>
      <c r="J47" s="389">
        <v>1.147</v>
      </c>
      <c r="K47" s="389">
        <v>1.147</v>
      </c>
    </row>
    <row r="48" spans="1:11" x14ac:dyDescent="0.2">
      <c r="A48" s="4" t="s">
        <v>75</v>
      </c>
      <c r="B48" s="324">
        <f t="shared" ref="B48:K48" si="11">B43/B44</f>
        <v>1.0089999999999999</v>
      </c>
      <c r="C48" s="324">
        <f t="shared" si="11"/>
        <v>0.79999999999999993</v>
      </c>
      <c r="D48" s="324">
        <f t="shared" si="11"/>
        <v>0.85000000000000009</v>
      </c>
      <c r="E48" s="324">
        <f t="shared" si="11"/>
        <v>0.9</v>
      </c>
      <c r="F48" s="324">
        <f t="shared" si="11"/>
        <v>0.94999999999999984</v>
      </c>
      <c r="G48" s="324">
        <f t="shared" si="11"/>
        <v>1</v>
      </c>
      <c r="H48" s="324">
        <f t="shared" si="11"/>
        <v>1.0499999999999998</v>
      </c>
      <c r="I48" s="324">
        <f t="shared" si="11"/>
        <v>1.1000000000000001</v>
      </c>
      <c r="J48" s="324">
        <f t="shared" si="11"/>
        <v>1.1500000000000001</v>
      </c>
      <c r="K48" s="324">
        <f t="shared" si="11"/>
        <v>1.2</v>
      </c>
    </row>
    <row r="49" spans="1:11" x14ac:dyDescent="0.2">
      <c r="A49" s="4" t="s">
        <v>62</v>
      </c>
      <c r="B49" s="324">
        <f t="shared" ref="B49:K49" si="12">(B43+B46)/(B44)</f>
        <v>1.3297654028762127</v>
      </c>
      <c r="C49" s="324">
        <f t="shared" si="12"/>
        <v>1.019906417602287</v>
      </c>
      <c r="D49" s="324">
        <f t="shared" si="12"/>
        <v>1.0760149292023506</v>
      </c>
      <c r="E49" s="324">
        <f t="shared" si="12"/>
        <v>1.1321234408024141</v>
      </c>
      <c r="F49" s="324">
        <f t="shared" si="12"/>
        <v>1.1882319524024774</v>
      </c>
      <c r="G49" s="324">
        <f t="shared" si="12"/>
        <v>1.2443404640025411</v>
      </c>
      <c r="H49" s="324">
        <f t="shared" si="12"/>
        <v>1.3004489756026045</v>
      </c>
      <c r="I49" s="324">
        <f t="shared" si="12"/>
        <v>1.3565574872026682</v>
      </c>
      <c r="J49" s="324">
        <f t="shared" si="12"/>
        <v>1.4126659988027319</v>
      </c>
      <c r="K49" s="324">
        <f t="shared" si="12"/>
        <v>1.4687745104027952</v>
      </c>
    </row>
    <row r="50" spans="1:11" x14ac:dyDescent="0.2">
      <c r="A50" s="4" t="s">
        <v>65</v>
      </c>
      <c r="B50" s="324">
        <f t="shared" ref="B50:K50" si="13">(B43+B46)/(B44+B45)</f>
        <v>1.0193610701378299</v>
      </c>
      <c r="C50" s="324">
        <f t="shared" si="13"/>
        <v>0.88385122759467671</v>
      </c>
      <c r="D50" s="324">
        <f t="shared" si="13"/>
        <v>0.92903230910414236</v>
      </c>
      <c r="E50" s="324">
        <f t="shared" si="13"/>
        <v>0.97388101268483396</v>
      </c>
      <c r="F50" s="324">
        <f t="shared" si="13"/>
        <v>1.0184009926389745</v>
      </c>
      <c r="G50" s="324">
        <f t="shared" si="13"/>
        <v>1.062595849895152</v>
      </c>
      <c r="H50" s="324">
        <f t="shared" si="13"/>
        <v>1.1064691329792209</v>
      </c>
      <c r="I50" s="324">
        <f t="shared" si="13"/>
        <v>1.1500243389640923</v>
      </c>
      <c r="J50" s="324">
        <f t="shared" si="13"/>
        <v>1.1932649143989351</v>
      </c>
      <c r="K50" s="324">
        <f t="shared" si="13"/>
        <v>1.2361942562183172</v>
      </c>
    </row>
    <row r="51" spans="1:11" ht="15.75" x14ac:dyDescent="0.25">
      <c r="A51" s="377" t="s">
        <v>563</v>
      </c>
      <c r="B51" s="324"/>
      <c r="C51" s="324"/>
      <c r="D51" s="324"/>
      <c r="E51" s="324"/>
      <c r="F51" s="324"/>
      <c r="G51" s="324"/>
      <c r="H51" s="324"/>
      <c r="I51" s="324"/>
      <c r="J51" s="324"/>
      <c r="K51" s="324"/>
    </row>
    <row r="52" spans="1:11" x14ac:dyDescent="0.2">
      <c r="A52" s="4" t="s">
        <v>565</v>
      </c>
      <c r="B52" s="378">
        <v>20.817703817401881</v>
      </c>
      <c r="C52" s="378">
        <v>23.325470363117844</v>
      </c>
      <c r="D52" s="378">
        <v>27.931389693966501</v>
      </c>
      <c r="E52" s="378">
        <v>27.415478726947292</v>
      </c>
      <c r="F52" s="378">
        <v>25.886375374544858</v>
      </c>
      <c r="G52" s="378">
        <v>24.987522817939286</v>
      </c>
      <c r="H52" s="378">
        <v>25.343587907409969</v>
      </c>
      <c r="I52" s="378">
        <v>27.871096712186795</v>
      </c>
      <c r="J52" s="378">
        <v>34.76657623151106</v>
      </c>
      <c r="K52" s="378">
        <v>52.658569903331852</v>
      </c>
    </row>
    <row r="53" spans="1:11" x14ac:dyDescent="0.2">
      <c r="A53" s="4" t="s">
        <v>566</v>
      </c>
      <c r="B53" s="378">
        <v>7.4489379390905635</v>
      </c>
      <c r="C53" s="378">
        <v>9.2000013548526542</v>
      </c>
      <c r="D53" s="378">
        <v>9.8082810481195928</v>
      </c>
      <c r="E53" s="378">
        <v>9.6190399504744466</v>
      </c>
      <c r="F53" s="378">
        <v>9.0408987422673803</v>
      </c>
      <c r="G53" s="378">
        <v>8.2714270852065859</v>
      </c>
      <c r="H53" s="378">
        <v>7.4751732160171347</v>
      </c>
      <c r="I53" s="378">
        <v>6.9613376497149568</v>
      </c>
      <c r="J53" s="378">
        <v>7.361921403413108</v>
      </c>
      <c r="K53" s="378">
        <v>9.809518329639646</v>
      </c>
    </row>
    <row r="54" spans="1:11" x14ac:dyDescent="0.2">
      <c r="A54" s="4" t="s">
        <v>567</v>
      </c>
      <c r="B54" s="378">
        <v>3.7744878572970504</v>
      </c>
      <c r="C54" s="378">
        <v>4.7763398937754893</v>
      </c>
      <c r="D54" s="378">
        <v>4.7856421424141304</v>
      </c>
      <c r="E54" s="378">
        <v>4.7005575173364269</v>
      </c>
      <c r="F54" s="378">
        <v>4.4366903446278521</v>
      </c>
      <c r="G54" s="378">
        <v>4.002916066576506</v>
      </c>
      <c r="H54" s="378">
        <v>3.4966395523852456</v>
      </c>
      <c r="I54" s="378">
        <v>3.1001859158807021</v>
      </c>
      <c r="J54" s="378">
        <v>3.0741978436052779</v>
      </c>
      <c r="K54" s="378">
        <v>3.7259413614243289</v>
      </c>
    </row>
    <row r="55" spans="1:11" x14ac:dyDescent="0.2">
      <c r="A55" s="4" t="s">
        <v>568</v>
      </c>
      <c r="B55" s="378">
        <v>2.4075214643985117</v>
      </c>
      <c r="C55" s="378">
        <v>3.0095234795275028</v>
      </c>
      <c r="D55" s="378">
        <v>2.9257580935984508</v>
      </c>
      <c r="E55" s="378">
        <v>2.8809542476719718</v>
      </c>
      <c r="F55" s="378">
        <v>2.7406818859001172</v>
      </c>
      <c r="G55" s="378">
        <v>2.4857088739691147</v>
      </c>
      <c r="H55" s="378">
        <v>2.1792731379202093</v>
      </c>
      <c r="I55" s="378">
        <v>1.9343548030129378</v>
      </c>
      <c r="J55" s="378">
        <v>1.8809483324649376</v>
      </c>
      <c r="K55" s="378">
        <v>2.1333346664308226</v>
      </c>
    </row>
    <row r="56" spans="1:11" x14ac:dyDescent="0.2">
      <c r="A56" s="4" t="s">
        <v>569</v>
      </c>
      <c r="B56" s="378">
        <v>1.7881110910172267</v>
      </c>
      <c r="C56" s="378">
        <v>2.1734747872615703</v>
      </c>
      <c r="D56" s="378">
        <v>2.0878630906267777</v>
      </c>
      <c r="E56" s="378">
        <v>2.0614681774251187</v>
      </c>
      <c r="F56" s="378">
        <v>1.9783115545165004</v>
      </c>
      <c r="G56" s="378">
        <v>1.8180532485066105</v>
      </c>
      <c r="H56" s="378">
        <v>1.6237902828145372</v>
      </c>
      <c r="I56" s="378">
        <v>1.4692099274264523</v>
      </c>
      <c r="J56" s="378">
        <v>1.4267654425889582</v>
      </c>
      <c r="K56" s="378">
        <v>1.5472252994344573</v>
      </c>
    </row>
    <row r="57" spans="1:11" x14ac:dyDescent="0.2">
      <c r="A57" s="4" t="s">
        <v>570</v>
      </c>
      <c r="B57" s="379">
        <v>1342.9160718622168</v>
      </c>
      <c r="C57" s="379">
        <v>1346.8904207628589</v>
      </c>
      <c r="D57" s="379">
        <v>1354.4877676487072</v>
      </c>
      <c r="E57" s="379">
        <v>1353.7146943926841</v>
      </c>
      <c r="F57" s="379">
        <v>1351.3783158301533</v>
      </c>
      <c r="G57" s="379">
        <v>1349.981331290777</v>
      </c>
      <c r="H57" s="379">
        <v>1350.4460541151361</v>
      </c>
      <c r="I57" s="379">
        <v>1353.0791729950706</v>
      </c>
      <c r="J57" s="379">
        <v>1358.4775901825333</v>
      </c>
      <c r="K57" s="379">
        <v>1368.8715872496559</v>
      </c>
    </row>
    <row r="58" spans="1:11" x14ac:dyDescent="0.2">
      <c r="A58" s="4" t="s">
        <v>571</v>
      </c>
      <c r="B58" s="379">
        <v>1403.8041218421761</v>
      </c>
      <c r="C58" s="379">
        <v>1418.7681930120045</v>
      </c>
      <c r="D58" s="379">
        <v>1421.1842976423125</v>
      </c>
      <c r="E58" s="379">
        <v>1419.8929378001676</v>
      </c>
      <c r="F58" s="379">
        <v>1415.8147811021252</v>
      </c>
      <c r="G58" s="379">
        <v>1409.776181738386</v>
      </c>
      <c r="H58" s="379">
        <v>1403.4990005909617</v>
      </c>
      <c r="I58" s="379">
        <v>1399.7357758735591</v>
      </c>
      <c r="J58" s="379">
        <v>1402.2229963229784</v>
      </c>
      <c r="K58" s="379">
        <v>1414.4964889598855</v>
      </c>
    </row>
    <row r="59" spans="1:11" x14ac:dyDescent="0.2">
      <c r="A59" s="4" t="s">
        <v>572</v>
      </c>
      <c r="B59" s="378">
        <v>0.29562451098244269</v>
      </c>
      <c r="C59" s="378">
        <v>0.25042512360577435</v>
      </c>
      <c r="D59" s="378">
        <v>0.26987910767960194</v>
      </c>
      <c r="E59" s="378">
        <v>0.27199271351412974</v>
      </c>
      <c r="F59" s="378">
        <v>0.27934493184916387</v>
      </c>
      <c r="G59" s="378">
        <v>0.30102926698965893</v>
      </c>
      <c r="H59" s="378">
        <v>0.3392837004482302</v>
      </c>
      <c r="I59" s="378">
        <v>0.38579748394624547</v>
      </c>
      <c r="J59" s="378">
        <v>0.41147177699552751</v>
      </c>
      <c r="K59" s="378">
        <v>0.39452139786120838</v>
      </c>
    </row>
    <row r="60" spans="1:11" x14ac:dyDescent="0.2">
      <c r="A60" s="4" t="s">
        <v>573</v>
      </c>
      <c r="B60" s="378">
        <v>5.0414164746920518</v>
      </c>
      <c r="C60" s="378">
        <v>6.1904778753251515</v>
      </c>
      <c r="D60" s="378">
        <v>6.8825229545211419</v>
      </c>
      <c r="E60" s="378">
        <v>6.7380938861339859</v>
      </c>
      <c r="F60" s="378">
        <v>6.3002168563672631</v>
      </c>
      <c r="G60" s="378">
        <v>5.7857182112374712</v>
      </c>
      <c r="H60" s="378">
        <v>5.2959000780969259</v>
      </c>
      <c r="I60" s="378">
        <v>5.026982846702019</v>
      </c>
      <c r="J60" s="378">
        <v>5.4809730709481705</v>
      </c>
      <c r="K60" s="378">
        <v>7.6761836632088229</v>
      </c>
    </row>
    <row r="61" spans="1:11" x14ac:dyDescent="0.2">
      <c r="A61" s="53"/>
      <c r="B61" s="390"/>
      <c r="C61" s="390"/>
      <c r="D61" s="390"/>
      <c r="E61" s="390"/>
      <c r="F61" s="390"/>
      <c r="G61" s="390"/>
      <c r="H61" s="390"/>
      <c r="I61" s="390"/>
      <c r="J61" s="390"/>
      <c r="K61" s="390"/>
    </row>
    <row r="62" spans="1:11" x14ac:dyDescent="0.2">
      <c r="A62" s="53"/>
      <c r="B62" s="390"/>
      <c r="C62" s="390"/>
      <c r="D62" s="390"/>
      <c r="E62" s="390"/>
      <c r="F62" s="390"/>
      <c r="G62" s="390"/>
      <c r="H62" s="390"/>
      <c r="I62" s="390"/>
      <c r="J62" s="390"/>
      <c r="K62" s="390"/>
    </row>
    <row r="63" spans="1:11" x14ac:dyDescent="0.2">
      <c r="A63" s="53"/>
      <c r="B63" s="390"/>
      <c r="C63" s="390"/>
      <c r="D63" s="390"/>
      <c r="E63" s="390"/>
      <c r="F63" s="390"/>
      <c r="G63" s="390"/>
      <c r="H63" s="390"/>
      <c r="I63" s="390"/>
      <c r="J63" s="390"/>
      <c r="K63" s="390"/>
    </row>
  </sheetData>
  <phoneticPr fontId="44" type="noConversion"/>
  <pageMargins left="0.78740157480314965" right="0.78740157480314965" top="0.98425196850393704" bottom="1.2598425196850394" header="0.51181102362204722" footer="0.51181102362204722"/>
  <pageSetup paperSize="9" orientation="landscape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AI160"/>
  <sheetViews>
    <sheetView topLeftCell="A121" zoomScale="75" workbookViewId="0">
      <selection activeCell="H155" sqref="H155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8.28515625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1400</v>
      </c>
      <c r="O3" s="18"/>
      <c r="P3" s="18"/>
      <c r="Q3" s="18"/>
      <c r="R3" s="18"/>
    </row>
    <row r="4" spans="1:35" ht="18.75" x14ac:dyDescent="0.3">
      <c r="B4" s="411" t="s">
        <v>8</v>
      </c>
      <c r="C4" s="414">
        <f>'ВВОД данных и р-т'!C3</f>
        <v>37.57</v>
      </c>
      <c r="I4" s="415" t="s">
        <v>594</v>
      </c>
      <c r="K4" s="416"/>
      <c r="M4" s="18"/>
      <c r="N4" s="417" t="s">
        <v>595</v>
      </c>
      <c r="O4" s="18"/>
      <c r="P4" s="18"/>
      <c r="Q4" s="18"/>
      <c r="R4" s="18"/>
      <c r="X4" s="42"/>
      <c r="Y4" s="42"/>
      <c r="Z4" s="42"/>
    </row>
    <row r="5" spans="1:35" ht="18.75" x14ac:dyDescent="0.3">
      <c r="B5" s="411" t="s">
        <v>6</v>
      </c>
      <c r="C5" s="414">
        <f>'ВВОД данных и р-т'!C4</f>
        <v>37.85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'ВВОД данных и р-т'!C6</f>
        <v>9.01</v>
      </c>
      <c r="F6" s="411"/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'ВВОД данных и р-т'!C5</f>
        <v>11.05</v>
      </c>
      <c r="F7" s="411"/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C4/C5</f>
        <v>0.99260237780713334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/>
      <c r="V12" s="13"/>
      <c r="W12" s="430"/>
      <c r="X12" s="431"/>
      <c r="AC12" s="356"/>
      <c r="AD12" s="13"/>
      <c r="AE12" s="430"/>
      <c r="AF12" s="431"/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25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9.5</v>
      </c>
      <c r="H14" s="426">
        <f t="shared" ref="H14:H19" si="4">$G$20+$F$20*B14+$E$20*C14+$D$20*D14+$C$20*E14+$B$20*F14</f>
        <v>9.5000000001018634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4">
        <f t="shared" ref="Q14:Q19" si="8">M14^5</f>
        <v>0.32768000000000019</v>
      </c>
      <c r="R14" s="433">
        <v>11</v>
      </c>
      <c r="S14" s="426">
        <f t="shared" ref="S14:S19" si="9">$R$20+$Q$20*M14+$P$20*N14+$O$20*O14+$N$20*P14+$M$20*Q14</f>
        <v>11.00000000005366</v>
      </c>
      <c r="V14" s="18"/>
      <c r="W14" s="18"/>
      <c r="X14" s="18"/>
      <c r="Y14" s="18"/>
      <c r="Z14" s="23"/>
      <c r="AA14" s="23"/>
      <c r="AD14" s="18"/>
      <c r="AE14" s="18"/>
      <c r="AF14" s="18"/>
      <c r="AG14" s="18"/>
      <c r="AH14" s="23"/>
      <c r="AI14" s="23"/>
    </row>
    <row r="15" spans="1:35" x14ac:dyDescent="0.2">
      <c r="A15" s="427">
        <v>1400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9</v>
      </c>
      <c r="H15" s="426">
        <f t="shared" si="4"/>
        <v>9.0000000000745786</v>
      </c>
      <c r="I15" s="425"/>
      <c r="J15" s="425"/>
      <c r="K15" s="425"/>
      <c r="L15" s="427">
        <v>1400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4">
        <f t="shared" si="8"/>
        <v>0.59049000000000018</v>
      </c>
      <c r="R15" s="433">
        <v>11</v>
      </c>
      <c r="S15" s="426">
        <f t="shared" si="9"/>
        <v>11.000000000025466</v>
      </c>
      <c r="U15" s="356"/>
      <c r="V15" s="18"/>
      <c r="W15" s="18"/>
      <c r="X15" s="18"/>
      <c r="Y15" s="18"/>
      <c r="Z15" s="23"/>
      <c r="AA15" s="23"/>
      <c r="AC15" s="356"/>
      <c r="AD15" s="18"/>
      <c r="AE15" s="18"/>
      <c r="AF15" s="18"/>
      <c r="AG15" s="18"/>
      <c r="AH15" s="23"/>
      <c r="AI15" s="23"/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7.5</v>
      </c>
      <c r="H16" s="426">
        <f t="shared" si="4"/>
        <v>7.5000000000763976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4">
        <f t="shared" si="8"/>
        <v>1</v>
      </c>
      <c r="R16" s="433">
        <v>8</v>
      </c>
      <c r="S16" s="426">
        <f t="shared" si="9"/>
        <v>8.0000000000291038</v>
      </c>
      <c r="V16" s="18"/>
      <c r="W16" s="18"/>
      <c r="X16" s="18"/>
      <c r="Y16" s="18"/>
      <c r="Z16" s="23"/>
      <c r="AA16" s="23"/>
      <c r="AD16" s="18"/>
      <c r="AE16" s="18"/>
      <c r="AF16" s="18"/>
      <c r="AG16" s="18"/>
      <c r="AH16" s="23"/>
      <c r="AI16" s="23"/>
    </row>
    <row r="17" spans="1:19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6.8</v>
      </c>
      <c r="H17" s="426">
        <f t="shared" si="4"/>
        <v>6.800000000061118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4">
        <f t="shared" si="8"/>
        <v>1.4025517307000002</v>
      </c>
      <c r="R17" s="433">
        <v>7.5</v>
      </c>
      <c r="S17" s="426">
        <f t="shared" si="9"/>
        <v>7.5000000000436557</v>
      </c>
    </row>
    <row r="18" spans="1:19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7</v>
      </c>
      <c r="H18" s="426">
        <f t="shared" si="4"/>
        <v>7.0000000000654836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4">
        <f t="shared" si="8"/>
        <v>2.0113571874999994</v>
      </c>
      <c r="R18" s="433">
        <v>7</v>
      </c>
      <c r="S18" s="426">
        <f t="shared" si="9"/>
        <v>7.0000000000582077</v>
      </c>
    </row>
    <row r="19" spans="1:19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12</v>
      </c>
      <c r="H19" s="426">
        <f t="shared" si="4"/>
        <v>12.000000000101863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4">
        <f t="shared" si="8"/>
        <v>2.4883199999999999</v>
      </c>
      <c r="R19" s="433">
        <v>8</v>
      </c>
      <c r="S19" s="426">
        <f t="shared" si="9"/>
        <v>8.000000000007276</v>
      </c>
    </row>
    <row r="20" spans="1:19" x14ac:dyDescent="0.2">
      <c r="A20" s="425"/>
      <c r="B20" s="427">
        <f t="array" ref="B20:H24">LINEST(G14:G19,B14:F19,TRUE,TRUE)</f>
        <v>26540.616244424327</v>
      </c>
      <c r="C20" s="427">
        <v>-130803.9215581805</v>
      </c>
      <c r="D20" s="427">
        <v>257109.90894264</v>
      </c>
      <c r="E20" s="427">
        <v>-251907.0763096376</v>
      </c>
      <c r="F20" s="427">
        <v>122988.8004097979</v>
      </c>
      <c r="G20" s="427">
        <v>-23920.827729044053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23645.526584726467</v>
      </c>
      <c r="N20" s="427">
        <v>-120814.67115765816</v>
      </c>
      <c r="O20" s="427">
        <v>245987.43863071813</v>
      </c>
      <c r="P20" s="427">
        <v>-249388.57326410883</v>
      </c>
      <c r="Q20" s="427">
        <v>125833.18870663385</v>
      </c>
      <c r="R20" s="427">
        <v>-25254.909500311416</v>
      </c>
      <c r="S20" s="425"/>
    </row>
    <row r="21" spans="1:19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</row>
    <row r="22" spans="1:19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</row>
    <row r="23" spans="1:19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</row>
    <row r="24" spans="1:19" x14ac:dyDescent="0.2">
      <c r="A24" s="425"/>
      <c r="B24" s="425">
        <v>19.533333333333331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15.875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</row>
    <row r="25" spans="1:19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</row>
    <row r="26" spans="1:19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19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</row>
    <row r="28" spans="1:19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19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</row>
    <row r="30" spans="1:19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9</v>
      </c>
      <c r="H30" s="426">
        <f t="shared" ref="H30:H35" si="14">$G$36+$F$36*B30+$E$36*C30+$D$36*D30+$C$36*E30+$B$36*F30</f>
        <v>9.0000000001346052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10</v>
      </c>
      <c r="S30" s="426">
        <f t="shared" ref="S30:S35" si="19">$R$36+$Q$36*M30+$P$36*N30+$O$36*O30+$N$36*P30+$M$36*Q30</f>
        <v>9.9999999999947704</v>
      </c>
    </row>
    <row r="31" spans="1:19" x14ac:dyDescent="0.2">
      <c r="A31" s="427">
        <v>1400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9</v>
      </c>
      <c r="H31" s="426">
        <f t="shared" si="14"/>
        <v>9.0000000000727596</v>
      </c>
      <c r="I31" s="425"/>
      <c r="J31" s="425"/>
      <c r="K31" s="425"/>
      <c r="L31" s="427">
        <v>1400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9.5</v>
      </c>
      <c r="S31" s="426">
        <f t="shared" si="19"/>
        <v>9.4999999999995453</v>
      </c>
    </row>
    <row r="32" spans="1:19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7</v>
      </c>
      <c r="H32" s="426">
        <f t="shared" si="14"/>
        <v>7.0000000000509317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7.8</v>
      </c>
      <c r="S32" s="426">
        <f t="shared" si="19"/>
        <v>7.7999999999965439</v>
      </c>
    </row>
    <row r="33" spans="1:19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7</v>
      </c>
      <c r="H33" s="426">
        <f t="shared" si="14"/>
        <v>7.0000000000582077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5">
        <v>6.5</v>
      </c>
      <c r="S33" s="426">
        <f t="shared" si="19"/>
        <v>6.499999999998181</v>
      </c>
    </row>
    <row r="34" spans="1:19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7</v>
      </c>
      <c r="H34" s="426">
        <f t="shared" si="14"/>
        <v>7.0000000001455192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5">
        <v>7.5</v>
      </c>
      <c r="S34" s="426">
        <f t="shared" si="19"/>
        <v>7.4999999999972715</v>
      </c>
    </row>
    <row r="35" spans="1:19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15</v>
      </c>
      <c r="H35" s="426">
        <f t="shared" si="14"/>
        <v>14.999999999941792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11</v>
      </c>
      <c r="S35" s="426">
        <f t="shared" si="19"/>
        <v>10.999999999999091</v>
      </c>
    </row>
    <row r="36" spans="1:19" x14ac:dyDescent="0.2">
      <c r="A36" s="425"/>
      <c r="B36" s="436">
        <f t="array" ref="B36:H41">LINEST(G30:G35,B30:F35,TRUE,TRUE)</f>
        <v>64322.823141236026</v>
      </c>
      <c r="C36" s="427">
        <v>-320115.9711490263</v>
      </c>
      <c r="D36" s="427">
        <v>634919.32648236956</v>
      </c>
      <c r="E36" s="427">
        <v>-627225.30974759697</v>
      </c>
      <c r="F36" s="427">
        <v>308547.14548903878</v>
      </c>
      <c r="G36" s="427">
        <v>-60441.014216021038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-2254.0640185407474</v>
      </c>
      <c r="N36" s="427">
        <v>13025.88043649131</v>
      </c>
      <c r="O36" s="427">
        <v>-28849.622325250726</v>
      </c>
      <c r="P36" s="427">
        <v>30931.502128460284</v>
      </c>
      <c r="Q36" s="427">
        <v>-16169.762801412488</v>
      </c>
      <c r="R36" s="427">
        <v>3323.8665802523642</v>
      </c>
      <c r="S36" s="425"/>
    </row>
    <row r="37" spans="1:19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</row>
    <row r="38" spans="1:19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</row>
    <row r="39" spans="1:19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</row>
    <row r="40" spans="1:19" x14ac:dyDescent="0.2">
      <c r="A40" s="425"/>
      <c r="B40" s="425">
        <v>48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14.708333333333332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</row>
    <row r="41" spans="1:19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19" x14ac:dyDescent="0.2">
      <c r="M42" s="18"/>
      <c r="N42" s="18"/>
      <c r="O42" s="18"/>
      <c r="P42" s="18"/>
      <c r="Q42" s="18"/>
      <c r="R42" s="23"/>
    </row>
    <row r="43" spans="1:19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19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8.1019399791475735</v>
      </c>
      <c r="F44" s="57">
        <f>$E$48+$D$48*B44+$C$48*C44+$B$48*D44</f>
        <v>8.1019399791475735</v>
      </c>
      <c r="L44" s="18"/>
      <c r="M44" s="18"/>
      <c r="N44" s="18"/>
      <c r="O44" s="18"/>
      <c r="P44" s="18"/>
      <c r="Q44" s="23"/>
    </row>
    <row r="45" spans="1:19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7.9654508687208363</v>
      </c>
      <c r="F45" s="57">
        <f>$E$48+$D$48*B45+$C$48*C45+$B$48*D45</f>
        <v>7.9654508687208363</v>
      </c>
      <c r="L45" s="18"/>
      <c r="M45" s="18"/>
      <c r="N45" s="18"/>
      <c r="O45" s="18"/>
      <c r="P45" s="18"/>
      <c r="Q45" s="23"/>
    </row>
    <row r="46" spans="1:19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7.5614628036564682</v>
      </c>
      <c r="F46" s="57">
        <f>$E$48+$D$48*B46+$C$48*C46+$B$48*D46</f>
        <v>7.5614628036564682</v>
      </c>
      <c r="L46" s="18"/>
      <c r="M46" s="18"/>
      <c r="N46" s="18"/>
      <c r="O46" s="18"/>
      <c r="P46" s="18"/>
      <c r="Q46" s="23"/>
    </row>
    <row r="47" spans="1:19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6.9694627477801987</v>
      </c>
      <c r="F47" s="57">
        <f>$E$48+$D$48*B47+$C$48*C47+$B$48*D47</f>
        <v>6.9694627477801987</v>
      </c>
    </row>
    <row r="48" spans="1:19" x14ac:dyDescent="0.2">
      <c r="B48">
        <f t="array" ref="B48:E53">LINEST(E44:E47,B44:D47,TRUE,TRUE)</f>
        <v>1.0598261843430758E-4</v>
      </c>
      <c r="C48" s="18">
        <v>-8.529457645781854E-3</v>
      </c>
      <c r="D48">
        <v>8.2097084375376592E-2</v>
      </c>
      <c r="E48">
        <v>7.8914431711109483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0.77472807349606498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8.3000000000000007</v>
      </c>
      <c r="H61" s="426">
        <f t="shared" ref="H61:H66" si="24">$G$67+$F$67*B61+$E$67*C61+$D$67*D61+$C$67*E61+$B$67*F61</f>
        <v>8.3000000000017735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12.1</v>
      </c>
      <c r="S61" s="426">
        <f t="shared" ref="S61:S66" si="29">$R$67+$Q$67*M61+$P$67*N61+$O$67*O61+$N$67*P61+$M$67*Q61</f>
        <v>12.100000000031741</v>
      </c>
    </row>
    <row r="62" spans="1:19" x14ac:dyDescent="0.2">
      <c r="A62" s="427">
        <v>1400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8.5</v>
      </c>
      <c r="H62" s="426">
        <f t="shared" si="24"/>
        <v>8.5000000000005684</v>
      </c>
      <c r="I62" s="425"/>
      <c r="J62" s="425"/>
      <c r="K62" s="425"/>
      <c r="L62" s="427">
        <v>1400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12</v>
      </c>
      <c r="S62" s="426">
        <f t="shared" si="29"/>
        <v>12.000000000015461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9.1</v>
      </c>
      <c r="H63" s="426">
        <f t="shared" si="24"/>
        <v>9.1000000000015007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10</v>
      </c>
      <c r="S63" s="426">
        <f t="shared" si="29"/>
        <v>10.000000000020009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9</v>
      </c>
      <c r="H64" s="426">
        <f t="shared" si="24"/>
        <v>9.0000000000013642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9.8000000000000007</v>
      </c>
      <c r="S64" s="426">
        <f t="shared" si="29"/>
        <v>9.8000000000338332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9</v>
      </c>
      <c r="H65" s="426">
        <f t="shared" si="24"/>
        <v>9.000000000001819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9.6</v>
      </c>
      <c r="S65" s="426">
        <f t="shared" si="29"/>
        <v>9.6000000000422006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10</v>
      </c>
      <c r="H66" s="426">
        <f t="shared" si="24"/>
        <v>10.000000000001364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9.3000000000000007</v>
      </c>
      <c r="S66" s="426">
        <f t="shared" si="29"/>
        <v>9.3000000000465661</v>
      </c>
    </row>
    <row r="67" spans="1:19" x14ac:dyDescent="0.2">
      <c r="A67" s="425"/>
      <c r="B67" s="427">
        <f t="array" ref="B67:H71">LINEST(G61:G66,B61:F66,TRUE,TRUE)</f>
        <v>1033.6613277370559</v>
      </c>
      <c r="C67" s="427">
        <v>-3803.3230384058179</v>
      </c>
      <c r="D67" s="427">
        <v>4898.9941698934917</v>
      </c>
      <c r="E67" s="427">
        <v>-2267.0069006273056</v>
      </c>
      <c r="F67" s="427">
        <v>-116.27966335788547</v>
      </c>
      <c r="G67" s="427">
        <v>263.05410476046268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10055.064760067462</v>
      </c>
      <c r="N67" s="427">
        <v>-52668.553228829318</v>
      </c>
      <c r="O67" s="427">
        <v>109756.48913378538</v>
      </c>
      <c r="P67" s="427">
        <v>-113695.56645191494</v>
      </c>
      <c r="Q67" s="427">
        <v>58512.149561071907</v>
      </c>
      <c r="R67" s="427">
        <v>-11949.583774180461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1.7483333333333322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7.7933333333333312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7.8</v>
      </c>
      <c r="H77" s="426">
        <f t="shared" ref="H77:H82" si="34">$G$83+$F$83*B77+$E$83*C77+$D$83*D77+$C$83*E77+$B$83*F77</f>
        <v>7.8000000000124601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8.6</v>
      </c>
      <c r="S77" s="426">
        <f t="shared" ref="S77:S82" si="39">$R$83+$Q$83*M77+$P$83*N77+$O$83*O77+$N$83*P77+$M$83*Q77</f>
        <v>8.6000000000009926</v>
      </c>
    </row>
    <row r="78" spans="1:19" x14ac:dyDescent="0.2">
      <c r="A78" s="427">
        <v>1400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8</v>
      </c>
      <c r="H78" s="426">
        <f t="shared" si="34"/>
        <v>8.0000000000081855</v>
      </c>
      <c r="I78" s="425"/>
      <c r="J78" s="425"/>
      <c r="K78" s="425"/>
      <c r="L78" s="427">
        <v>1400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10</v>
      </c>
      <c r="S78" s="426">
        <f t="shared" si="39"/>
        <v>10.000000000000689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8.5</v>
      </c>
      <c r="H79" s="426">
        <f t="shared" si="34"/>
        <v>8.5000000000109139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9.5</v>
      </c>
      <c r="S79" s="426">
        <f t="shared" si="39"/>
        <v>9.5000000000008882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9.1</v>
      </c>
      <c r="H80" s="426">
        <f t="shared" si="34"/>
        <v>9.1000000000003638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9.1999999999999993</v>
      </c>
      <c r="S80" s="426">
        <f t="shared" si="39"/>
        <v>9.2000000000004434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9.3000000000000007</v>
      </c>
      <c r="H81" s="426">
        <f t="shared" si="34"/>
        <v>9.2999999999883585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9.3000000000000007</v>
      </c>
      <c r="S81" s="426">
        <f t="shared" si="39"/>
        <v>9.3000000000014182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10</v>
      </c>
      <c r="H82" s="426">
        <f t="shared" si="34"/>
        <v>10.00000000001819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9.5</v>
      </c>
      <c r="S82" s="426">
        <f t="shared" si="39"/>
        <v>9.500000000000739</v>
      </c>
    </row>
    <row r="83" spans="1:19" x14ac:dyDescent="0.2">
      <c r="A83" s="425"/>
      <c r="B83" s="436">
        <f t="array" ref="B83:H88">LINEST(G77:G82,B77:F82,TRUE,TRUE)</f>
        <v>9337.5469838570389</v>
      </c>
      <c r="C83" s="427">
        <v>-46706.993220869263</v>
      </c>
      <c r="D83" s="427">
        <v>92967.033198884543</v>
      </c>
      <c r="E83" s="427">
        <v>-92023.839777944988</v>
      </c>
      <c r="F83" s="427">
        <v>45296.796642094851</v>
      </c>
      <c r="G83" s="427">
        <v>-8862.0438260221745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-56.381526987738788</v>
      </c>
      <c r="N83" s="427">
        <v>-398.60662204563948</v>
      </c>
      <c r="O83" s="427">
        <v>2372.1760753775211</v>
      </c>
      <c r="P83" s="427">
        <v>-4145.1026537019598</v>
      </c>
      <c r="Q83" s="427">
        <v>3043.7940421430849</v>
      </c>
      <c r="R83" s="427">
        <v>-806.37931478526707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3.5083333333333346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1.055000000000001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M89" s="18"/>
      <c r="N89" s="18"/>
      <c r="O89" s="18"/>
      <c r="P89" s="18"/>
      <c r="Q89" s="18"/>
      <c r="R89" s="23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10.06851509201806</v>
      </c>
      <c r="F91" s="57">
        <f>$E$95+$D$95*B91+$C$95*C91+$B$95*D91</f>
        <v>10.06851509201806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9.5467775593875572</v>
      </c>
      <c r="F92" s="57">
        <f>$E$95+$D$95*B92+$C$95*C92+$B$95*D92</f>
        <v>9.5467775593875572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9.0844734257527762</v>
      </c>
      <c r="F93" s="57">
        <f>$E$95+$D$95*B93+$C$95*C93+$B$95*D93</f>
        <v>9.0844734257527762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8.4269668836641358</v>
      </c>
      <c r="F94" s="57">
        <f>$E$95+$D$95*B94+$C$95*C94+$B$95*D94</f>
        <v>8.4269668836641358</v>
      </c>
    </row>
    <row r="95" spans="1:19" x14ac:dyDescent="0.2">
      <c r="B95">
        <f t="array" ref="B95:E100">LINEST(E91:E94,B91:D94,TRUE,TRUE)</f>
        <v>-3.3951440993277811E-4</v>
      </c>
      <c r="C95" s="18">
        <v>1.1374100277897804E-2</v>
      </c>
      <c r="D95">
        <v>-0.21554398895633159</v>
      </c>
      <c r="E95">
        <v>10.904321831093871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1.4588111221452036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9</v>
      </c>
      <c r="H109" s="426">
        <f t="shared" ref="H109:H114" si="44">$G$115+$F$115*B109+$E$115*C109+$D$115*D109+$C$115*E109+$B$115*F109</f>
        <v>8.9999999999563443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15.1</v>
      </c>
      <c r="S109" s="426">
        <f t="shared" ref="S109:S114" si="49">$R$115+$Q$115*M109+$P$115*N109+$O$115*O109+$N$115*P109+$M$115*Q109</f>
        <v>15.099999999988086</v>
      </c>
    </row>
    <row r="110" spans="1:19" x14ac:dyDescent="0.2">
      <c r="A110" s="427">
        <v>1400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9</v>
      </c>
      <c r="H110" s="426">
        <f t="shared" si="44"/>
        <v>8.9999999999781721</v>
      </c>
      <c r="I110" s="425"/>
      <c r="J110" s="425"/>
      <c r="K110" s="425"/>
      <c r="L110" s="427">
        <v>1400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13</v>
      </c>
      <c r="S110" s="426">
        <f t="shared" si="49"/>
        <v>13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7.5</v>
      </c>
      <c r="H111" s="426">
        <f t="shared" si="44"/>
        <v>7.4999999999690772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12</v>
      </c>
      <c r="S111" s="426">
        <f t="shared" si="49"/>
        <v>11.999999999990905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8</v>
      </c>
      <c r="H112" s="426">
        <f t="shared" si="44"/>
        <v>7.9999999999781721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11</v>
      </c>
      <c r="S112" s="426">
        <f t="shared" si="49"/>
        <v>10.999999999992724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11.5</v>
      </c>
      <c r="H113" s="426">
        <f t="shared" si="44"/>
        <v>11.499999999952706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10</v>
      </c>
      <c r="S113" s="426">
        <f t="shared" si="49"/>
        <v>10.000000000001819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13</v>
      </c>
      <c r="H114" s="426">
        <f t="shared" si="44"/>
        <v>12.999999999970896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9</v>
      </c>
      <c r="S114" s="426">
        <f t="shared" si="49"/>
        <v>9</v>
      </c>
    </row>
    <row r="115" spans="1:19" x14ac:dyDescent="0.2">
      <c r="A115" s="425"/>
      <c r="B115" s="427">
        <f t="array" ref="B115:H119">LINEST(G109:G114,B109:F114,TRUE,TRUE)</f>
        <v>-16190.236777243163</v>
      </c>
      <c r="C115" s="427">
        <v>78784.505248903908</v>
      </c>
      <c r="D115" s="427">
        <v>-152101.14258137936</v>
      </c>
      <c r="E115" s="427">
        <v>145672.93116863858</v>
      </c>
      <c r="F115" s="427">
        <v>-69238.747749367409</v>
      </c>
      <c r="G115" s="427">
        <v>13080.190690447413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-7319.423495285615</v>
      </c>
      <c r="N115" s="427">
        <v>37284.517222629431</v>
      </c>
      <c r="O115" s="427">
        <v>-75688.289454940401</v>
      </c>
      <c r="P115" s="427">
        <v>76525.753992052676</v>
      </c>
      <c r="Q115" s="427">
        <v>-38541.351735090153</v>
      </c>
      <c r="R115" s="427">
        <v>7750.7934706340511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22.833333333333332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24.008333333333333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8</v>
      </c>
      <c r="H125" s="426">
        <f t="shared" ref="H125:H130" si="54">$G$131+$F$131*B125+$E$131*C125+$D$131*D125+$C$131*E125+$B$131*F125</f>
        <v>8.0000000001382432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10</v>
      </c>
      <c r="S125" s="426">
        <f t="shared" ref="S125:S130" si="59">$R$131+$Q$131*M125+$P$131*N125+$O$131*O125+$N$131*P125+$M$131*Q125</f>
        <v>9.9999999999372449</v>
      </c>
    </row>
    <row r="126" spans="1:19" x14ac:dyDescent="0.2">
      <c r="A126" s="427">
        <v>1400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7</v>
      </c>
      <c r="H126" s="426">
        <f t="shared" si="54"/>
        <v>7.0000000000873115</v>
      </c>
      <c r="I126" s="425"/>
      <c r="J126" s="425"/>
      <c r="K126" s="425"/>
      <c r="L126" s="427">
        <v>1400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10</v>
      </c>
      <c r="S126" s="426">
        <f t="shared" si="59"/>
        <v>9.9999999999836291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6</v>
      </c>
      <c r="H127" s="426">
        <f t="shared" si="54"/>
        <v>6.0000000000800355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9.3000000000000007</v>
      </c>
      <c r="S127" s="426">
        <f t="shared" si="59"/>
        <v>9.2999999999665306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8</v>
      </c>
      <c r="H128" s="426">
        <f t="shared" si="54"/>
        <v>8.000000000007276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9</v>
      </c>
      <c r="S128" s="426">
        <f t="shared" si="59"/>
        <v>8.9999999999599822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12</v>
      </c>
      <c r="H129" s="426">
        <f t="shared" si="54"/>
        <v>12.000000000087311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11</v>
      </c>
      <c r="S129" s="426">
        <f t="shared" si="59"/>
        <v>10.99999999996362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20</v>
      </c>
      <c r="H130" s="426">
        <f t="shared" si="54"/>
        <v>20.000000000101863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12</v>
      </c>
      <c r="S130" s="426">
        <f t="shared" si="59"/>
        <v>11.99999999996362</v>
      </c>
    </row>
    <row r="131" spans="1:19" x14ac:dyDescent="0.2">
      <c r="A131" s="425"/>
      <c r="B131" s="436">
        <f t="array" ref="B131:H136">LINEST(G125:G130,B125:F130,TRUE,TRUE)</f>
        <v>40508.51109349107</v>
      </c>
      <c r="C131" s="427">
        <v>-202663.2191174129</v>
      </c>
      <c r="D131" s="427">
        <v>404196.94028171874</v>
      </c>
      <c r="E131" s="427">
        <v>-401491.79052959109</v>
      </c>
      <c r="F131" s="427">
        <v>198523.10060859317</v>
      </c>
      <c r="G131" s="427">
        <v>-39067.542336798906</v>
      </c>
      <c r="H131" s="425" t="e">
        <v>#N/A</v>
      </c>
      <c r="I131" s="425"/>
      <c r="J131" s="425"/>
      <c r="K131" s="425"/>
      <c r="L131" s="425"/>
      <c r="M131" s="439">
        <f t="array" ref="M131:R135">LINEST(R125:R130,M125:Q130,TRUE,TRUE)</f>
        <v>-19486.94007361729</v>
      </c>
      <c r="N131" s="427">
        <v>97385.237847979151</v>
      </c>
      <c r="O131" s="427">
        <v>-193443.81657073143</v>
      </c>
      <c r="P131" s="427">
        <v>190933.90186129641</v>
      </c>
      <c r="Q131" s="427">
        <v>-93655.535293511304</v>
      </c>
      <c r="R131" s="427">
        <v>18276.452228584421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136.83333333333334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6.2083333333333321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12.10025893330203</v>
      </c>
      <c r="F139" s="57">
        <f>$E$143+$D$143*B139+$C$143*C139+$B$143*D139</f>
        <v>12.100258933302028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9.3975905064035032</v>
      </c>
      <c r="F140" s="57">
        <f>$E$143+$D$143*B140+$C$143*C140+$B$143*D140</f>
        <v>9.3975905064035015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7.5791660609393148</v>
      </c>
      <c r="F141" s="57">
        <f>$E$143+$D$143*B141+$C$143*C141+$B$143*D141</f>
        <v>7.5791660609393183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5.8636668906183331</v>
      </c>
      <c r="F142" s="57">
        <f>$E$143+$D$143*B142+$C$143*C142+$B$143*D142</f>
        <v>5.8636668906183314</v>
      </c>
    </row>
    <row r="143" spans="1:19" x14ac:dyDescent="0.2">
      <c r="B143">
        <f t="array" ref="B143:E148">LINEST(E139:E142,B139:D142,TRUE,TRUE)</f>
        <v>-1.0417582750548548E-3</v>
      </c>
      <c r="C143" s="18">
        <v>4.8937627880332485E-2</v>
      </c>
      <c r="D143">
        <v>-1.092290405450093</v>
      </c>
      <c r="E143">
        <v>16.468490047926039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21.344499670646634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9.6372891466815407</v>
      </c>
      <c r="E154" s="57">
        <f>$D$157+$C$157*B154+$B$157*C154</f>
        <v>9.6372891466815425</v>
      </c>
      <c r="H154" s="440" t="s">
        <v>607</v>
      </c>
      <c r="I154" s="440"/>
      <c r="J154" s="440"/>
      <c r="K154" s="117"/>
      <c r="L154" s="440" t="s">
        <v>608</v>
      </c>
      <c r="N154" s="411" t="s">
        <v>8</v>
      </c>
      <c r="O154" s="18">
        <f>C4</f>
        <v>37.57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8.0162348295632135</v>
      </c>
      <c r="E155" s="57">
        <f>$D$157+$C$157*B155+$B$157*C155</f>
        <v>8.0162348295632082</v>
      </c>
      <c r="H155" s="441">
        <f>$D$157+$C$157*C7+$B$157*C7^2</f>
        <v>7.7541650886555846</v>
      </c>
      <c r="I155" s="442"/>
      <c r="J155" s="442"/>
      <c r="K155" s="442"/>
      <c r="N155" s="411" t="s">
        <v>6</v>
      </c>
      <c r="O155" s="18">
        <f>C5</f>
        <v>37.85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9.8377389509964068</v>
      </c>
      <c r="E156" s="57">
        <f>$D$157+$C$157*B156+$B$157*C156</f>
        <v>9.8377389509964104</v>
      </c>
      <c r="N156" s="411" t="s">
        <v>9</v>
      </c>
      <c r="O156" s="18">
        <f>C6</f>
        <v>9.01</v>
      </c>
    </row>
    <row r="157" spans="1:17" ht="15.75" x14ac:dyDescent="0.25">
      <c r="B157">
        <f t="array" ref="B157:D160">LINEST(D154:D156,B154:C156,TRUE,TRUE)</f>
        <v>8.3874722863749418E-2</v>
      </c>
      <c r="C157">
        <v>-1.6574494768435017</v>
      </c>
      <c r="D157">
        <v>15.827668459305315</v>
      </c>
      <c r="N157" s="411" t="s">
        <v>7</v>
      </c>
      <c r="O157" s="18">
        <f>C7</f>
        <v>11.05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0.99260237780713334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AI160"/>
  <sheetViews>
    <sheetView topLeftCell="A121" zoomScale="75" workbookViewId="0">
      <selection activeCell="H155" sqref="H155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8.28515625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1400</v>
      </c>
      <c r="O3" s="18"/>
      <c r="P3" s="18"/>
      <c r="Q3" s="18"/>
      <c r="R3" s="18"/>
    </row>
    <row r="4" spans="1:35" ht="18.75" x14ac:dyDescent="0.3">
      <c r="B4" s="411" t="s">
        <v>8</v>
      </c>
      <c r="C4" s="414">
        <f>'ВВОД данных и р-т (про)'!C3</f>
        <v>36.930450887031938</v>
      </c>
      <c r="I4" s="415" t="s">
        <v>594</v>
      </c>
      <c r="K4" s="416"/>
      <c r="M4" s="18"/>
      <c r="N4" s="18"/>
      <c r="O4" s="18"/>
      <c r="P4" s="18"/>
      <c r="Q4" s="18"/>
      <c r="R4" s="18"/>
      <c r="W4" s="417" t="s">
        <v>595</v>
      </c>
      <c r="X4" s="42"/>
      <c r="Y4" s="42"/>
      <c r="Z4" s="42"/>
    </row>
    <row r="5" spans="1:35" ht="18.75" x14ac:dyDescent="0.3">
      <c r="B5" s="411" t="s">
        <v>6</v>
      </c>
      <c r="C5" s="414">
        <f>'ВВОД данных и р-т (про)'!C4</f>
        <v>36.75374827258797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'ВВОД данных и р-т (про)'!C6</f>
        <v>9.1590619531119692</v>
      </c>
      <c r="F6" s="411"/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'ВВОД данных и р-т (про)'!C5</f>
        <v>12.967515306414976</v>
      </c>
      <c r="F7" s="411"/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C4/C5</f>
        <v>1.0048077440464966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/>
      <c r="V12" s="13"/>
      <c r="W12" s="430"/>
      <c r="X12" s="431"/>
      <c r="AC12" s="356"/>
      <c r="AD12" s="13"/>
      <c r="AE12" s="430"/>
      <c r="AF12" s="431"/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25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9.5</v>
      </c>
      <c r="H14" s="426">
        <f t="shared" ref="H14:H19" si="4">$G$20+$F$20*B14+$E$20*C14+$D$20*D14+$C$20*E14+$B$20*F14</f>
        <v>9.5000000001018634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4">
        <f t="shared" ref="Q14:Q19" si="8">M14^5</f>
        <v>0.32768000000000019</v>
      </c>
      <c r="R14" s="433">
        <v>11</v>
      </c>
      <c r="S14" s="426">
        <f t="shared" ref="S14:S19" si="9">$R$20+$Q$20*M14+$P$20*N14+$O$20*O14+$N$20*P14+$M$20*Q14</f>
        <v>11.00000000005366</v>
      </c>
      <c r="V14" s="18"/>
      <c r="W14" s="18"/>
      <c r="X14" s="18"/>
      <c r="Y14" s="18"/>
      <c r="Z14" s="23"/>
      <c r="AA14" s="23"/>
      <c r="AD14" s="18"/>
      <c r="AE14" s="18"/>
      <c r="AF14" s="18"/>
      <c r="AG14" s="18"/>
      <c r="AH14" s="23"/>
      <c r="AI14" s="23"/>
    </row>
    <row r="15" spans="1:35" x14ac:dyDescent="0.2">
      <c r="A15" s="427">
        <v>1400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9</v>
      </c>
      <c r="H15" s="426">
        <f t="shared" si="4"/>
        <v>9.0000000000745786</v>
      </c>
      <c r="I15" s="425"/>
      <c r="J15" s="425"/>
      <c r="K15" s="425"/>
      <c r="L15" s="427">
        <v>1400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4">
        <f t="shared" si="8"/>
        <v>0.59049000000000018</v>
      </c>
      <c r="R15" s="433">
        <v>11</v>
      </c>
      <c r="S15" s="426">
        <f t="shared" si="9"/>
        <v>11.000000000025466</v>
      </c>
      <c r="U15" s="356"/>
      <c r="V15" s="18"/>
      <c r="W15" s="18"/>
      <c r="X15" s="18"/>
      <c r="Y15" s="18"/>
      <c r="Z15" s="23"/>
      <c r="AA15" s="23"/>
      <c r="AC15" s="356"/>
      <c r="AD15" s="18"/>
      <c r="AE15" s="18"/>
      <c r="AF15" s="18"/>
      <c r="AG15" s="18"/>
      <c r="AH15" s="23"/>
      <c r="AI15" s="23"/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7.5</v>
      </c>
      <c r="H16" s="426">
        <f t="shared" si="4"/>
        <v>7.5000000000763976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4">
        <f t="shared" si="8"/>
        <v>1</v>
      </c>
      <c r="R16" s="433">
        <v>8</v>
      </c>
      <c r="S16" s="426">
        <f t="shared" si="9"/>
        <v>8.0000000000291038</v>
      </c>
      <c r="V16" s="18"/>
      <c r="W16" s="18"/>
      <c r="X16" s="18"/>
      <c r="Y16" s="18"/>
      <c r="Z16" s="23"/>
      <c r="AA16" s="23"/>
      <c r="AD16" s="18"/>
      <c r="AE16" s="18"/>
      <c r="AF16" s="18"/>
      <c r="AG16" s="18"/>
      <c r="AH16" s="23"/>
      <c r="AI16" s="23"/>
    </row>
    <row r="17" spans="1:19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6.8</v>
      </c>
      <c r="H17" s="426">
        <f t="shared" si="4"/>
        <v>6.800000000061118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4">
        <f t="shared" si="8"/>
        <v>1.4025517307000002</v>
      </c>
      <c r="R17" s="433">
        <v>7.5</v>
      </c>
      <c r="S17" s="426">
        <f t="shared" si="9"/>
        <v>7.5000000000436557</v>
      </c>
    </row>
    <row r="18" spans="1:19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7</v>
      </c>
      <c r="H18" s="426">
        <f t="shared" si="4"/>
        <v>7.0000000000654836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4">
        <f t="shared" si="8"/>
        <v>2.0113571874999994</v>
      </c>
      <c r="R18" s="433">
        <v>7</v>
      </c>
      <c r="S18" s="426">
        <f t="shared" si="9"/>
        <v>7.0000000000582077</v>
      </c>
    </row>
    <row r="19" spans="1:19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12</v>
      </c>
      <c r="H19" s="426">
        <f t="shared" si="4"/>
        <v>12.000000000101863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4">
        <f t="shared" si="8"/>
        <v>2.4883199999999999</v>
      </c>
      <c r="R19" s="433">
        <v>8</v>
      </c>
      <c r="S19" s="426">
        <f t="shared" si="9"/>
        <v>8.000000000007276</v>
      </c>
    </row>
    <row r="20" spans="1:19" x14ac:dyDescent="0.2">
      <c r="A20" s="425"/>
      <c r="B20" s="427">
        <f t="array" ref="B20:H24">LINEST(G14:G19,B14:F19,TRUE,TRUE)</f>
        <v>26540.616244424327</v>
      </c>
      <c r="C20" s="427">
        <v>-130803.9215581805</v>
      </c>
      <c r="D20" s="427">
        <v>257109.90894264</v>
      </c>
      <c r="E20" s="427">
        <v>-251907.0763096376</v>
      </c>
      <c r="F20" s="427">
        <v>122988.8004097979</v>
      </c>
      <c r="G20" s="427">
        <v>-23920.827729044053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23645.526584726467</v>
      </c>
      <c r="N20" s="427">
        <v>-120814.67115765816</v>
      </c>
      <c r="O20" s="427">
        <v>245987.43863071813</v>
      </c>
      <c r="P20" s="427">
        <v>-249388.57326410883</v>
      </c>
      <c r="Q20" s="427">
        <v>125833.18870663385</v>
      </c>
      <c r="R20" s="427">
        <v>-25254.909500311416</v>
      </c>
      <c r="S20" s="425"/>
    </row>
    <row r="21" spans="1:19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</row>
    <row r="22" spans="1:19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</row>
    <row r="23" spans="1:19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</row>
    <row r="24" spans="1:19" x14ac:dyDescent="0.2">
      <c r="A24" s="425"/>
      <c r="B24" s="425">
        <v>19.533333333333331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15.875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</row>
    <row r="25" spans="1:19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</row>
    <row r="26" spans="1:19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19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</row>
    <row r="28" spans="1:19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19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</row>
    <row r="30" spans="1:19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9</v>
      </c>
      <c r="H30" s="426">
        <f t="shared" ref="H30:H35" si="14">$G$36+$F$36*B30+$E$36*C30+$D$36*D30+$C$36*E30+$B$36*F30</f>
        <v>9.0000000001346052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10</v>
      </c>
      <c r="S30" s="426">
        <f t="shared" ref="S30:S35" si="19">$R$36+$Q$36*M30+$P$36*N30+$O$36*O30+$N$36*P30+$M$36*Q30</f>
        <v>9.9999999999947704</v>
      </c>
    </row>
    <row r="31" spans="1:19" x14ac:dyDescent="0.2">
      <c r="A31" s="427">
        <v>1400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9</v>
      </c>
      <c r="H31" s="426">
        <f t="shared" si="14"/>
        <v>9.0000000000727596</v>
      </c>
      <c r="I31" s="425"/>
      <c r="J31" s="425"/>
      <c r="K31" s="425"/>
      <c r="L31" s="427">
        <v>1400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9.5</v>
      </c>
      <c r="S31" s="426">
        <f t="shared" si="19"/>
        <v>9.4999999999995453</v>
      </c>
    </row>
    <row r="32" spans="1:19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7</v>
      </c>
      <c r="H32" s="426">
        <f t="shared" si="14"/>
        <v>7.0000000000509317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7.8</v>
      </c>
      <c r="S32" s="426">
        <f t="shared" si="19"/>
        <v>7.7999999999965439</v>
      </c>
    </row>
    <row r="33" spans="1:19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7</v>
      </c>
      <c r="H33" s="426">
        <f t="shared" si="14"/>
        <v>7.0000000000582077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5">
        <v>6.5</v>
      </c>
      <c r="S33" s="426">
        <f t="shared" si="19"/>
        <v>6.499999999998181</v>
      </c>
    </row>
    <row r="34" spans="1:19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7</v>
      </c>
      <c r="H34" s="426">
        <f t="shared" si="14"/>
        <v>7.0000000001455192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5">
        <v>7.5</v>
      </c>
      <c r="S34" s="426">
        <f t="shared" si="19"/>
        <v>7.4999999999972715</v>
      </c>
    </row>
    <row r="35" spans="1:19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15</v>
      </c>
      <c r="H35" s="426">
        <f t="shared" si="14"/>
        <v>14.999999999941792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11</v>
      </c>
      <c r="S35" s="426">
        <f t="shared" si="19"/>
        <v>10.999999999999091</v>
      </c>
    </row>
    <row r="36" spans="1:19" x14ac:dyDescent="0.2">
      <c r="A36" s="425"/>
      <c r="B36" s="436">
        <f t="array" ref="B36:H41">LINEST(G30:G35,B30:F35,TRUE,TRUE)</f>
        <v>64322.823141236026</v>
      </c>
      <c r="C36" s="427">
        <v>-320115.9711490263</v>
      </c>
      <c r="D36" s="427">
        <v>634919.32648236956</v>
      </c>
      <c r="E36" s="427">
        <v>-627225.30974759697</v>
      </c>
      <c r="F36" s="427">
        <v>308547.14548903878</v>
      </c>
      <c r="G36" s="427">
        <v>-60441.014216021038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-2254.0640185407474</v>
      </c>
      <c r="N36" s="427">
        <v>13025.88043649131</v>
      </c>
      <c r="O36" s="427">
        <v>-28849.622325250726</v>
      </c>
      <c r="P36" s="427">
        <v>30931.502128460284</v>
      </c>
      <c r="Q36" s="427">
        <v>-16169.762801412488</v>
      </c>
      <c r="R36" s="427">
        <v>3323.8665802523642</v>
      </c>
      <c r="S36" s="425"/>
    </row>
    <row r="37" spans="1:19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</row>
    <row r="38" spans="1:19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</row>
    <row r="39" spans="1:19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</row>
    <row r="40" spans="1:19" x14ac:dyDescent="0.2">
      <c r="A40" s="425"/>
      <c r="B40" s="425">
        <v>48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14.708333333333332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</row>
    <row r="41" spans="1:19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19" x14ac:dyDescent="0.2">
      <c r="M42" s="18"/>
      <c r="N42" s="18"/>
      <c r="O42" s="18"/>
      <c r="P42" s="18"/>
      <c r="Q42" s="18"/>
      <c r="R42" s="23"/>
    </row>
    <row r="43" spans="1:19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19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7.9421389491399168</v>
      </c>
      <c r="F44" s="57">
        <f>$E$48+$D$48*B44+$C$48*C44+$B$48*D44</f>
        <v>7.9421389491399177</v>
      </c>
      <c r="L44" s="18"/>
      <c r="M44" s="18"/>
      <c r="N44" s="18"/>
      <c r="O44" s="18"/>
      <c r="P44" s="18"/>
      <c r="Q44" s="23"/>
    </row>
    <row r="45" spans="1:19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7.6922090553730413</v>
      </c>
      <c r="F45" s="57">
        <f>$E$48+$D$48*B45+$C$48*C45+$B$48*D45</f>
        <v>7.6922090553730422</v>
      </c>
      <c r="L45" s="18"/>
      <c r="M45" s="18"/>
      <c r="N45" s="18"/>
      <c r="O45" s="18"/>
      <c r="P45" s="18"/>
      <c r="Q45" s="23"/>
    </row>
    <row r="46" spans="1:19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7.4604758446985215</v>
      </c>
      <c r="F46" s="57">
        <f>$E$48+$D$48*B46+$C$48*C46+$B$48*D46</f>
        <v>7.4604758446985215</v>
      </c>
      <c r="L46" s="18"/>
      <c r="M46" s="18"/>
      <c r="N46" s="18"/>
      <c r="O46" s="18"/>
      <c r="P46" s="18"/>
      <c r="Q46" s="23"/>
    </row>
    <row r="47" spans="1:19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7.0240198333049193</v>
      </c>
      <c r="F47" s="57">
        <f>$E$48+$D$48*B47+$C$48*C47+$B$48*D47</f>
        <v>7.0240198333049193</v>
      </c>
    </row>
    <row r="48" spans="1:19" x14ac:dyDescent="0.2">
      <c r="B48">
        <f t="array" ref="B48:E53">LINEST(E44:E47,B44:D47,TRUE,TRUE)</f>
        <v>-2.9722597841525282E-4</v>
      </c>
      <c r="C48" s="18">
        <v>9.2807130143047097E-3</v>
      </c>
      <c r="D48">
        <v>-0.13718212774527655</v>
      </c>
      <c r="E48">
        <v>8.4331850098105896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0.4570194940348043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8.3000000000000007</v>
      </c>
      <c r="H61" s="426">
        <f t="shared" ref="H61:H66" si="24">$G$67+$F$67*B61+$E$67*C61+$D$67*D61+$C$67*E61+$B$67*F61</f>
        <v>8.3000000000017735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12.1</v>
      </c>
      <c r="S61" s="426">
        <f t="shared" ref="S61:S66" si="29">$R$67+$Q$67*M61+$P$67*N61+$O$67*O61+$N$67*P61+$M$67*Q61</f>
        <v>12.100000000031741</v>
      </c>
    </row>
    <row r="62" spans="1:19" x14ac:dyDescent="0.2">
      <c r="A62" s="427">
        <v>1400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8.5</v>
      </c>
      <c r="H62" s="426">
        <f t="shared" si="24"/>
        <v>8.5000000000005684</v>
      </c>
      <c r="I62" s="425"/>
      <c r="J62" s="425"/>
      <c r="K62" s="425"/>
      <c r="L62" s="427">
        <v>1400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12</v>
      </c>
      <c r="S62" s="426">
        <f t="shared" si="29"/>
        <v>12.000000000015461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9.1</v>
      </c>
      <c r="H63" s="426">
        <f t="shared" si="24"/>
        <v>9.1000000000015007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10</v>
      </c>
      <c r="S63" s="426">
        <f t="shared" si="29"/>
        <v>10.000000000020009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9</v>
      </c>
      <c r="H64" s="426">
        <f t="shared" si="24"/>
        <v>9.0000000000013642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9.8000000000000007</v>
      </c>
      <c r="S64" s="426">
        <f t="shared" si="29"/>
        <v>9.8000000000338332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9</v>
      </c>
      <c r="H65" s="426">
        <f t="shared" si="24"/>
        <v>9.000000000001819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9.6</v>
      </c>
      <c r="S65" s="426">
        <f t="shared" si="29"/>
        <v>9.6000000000422006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10</v>
      </c>
      <c r="H66" s="426">
        <f t="shared" si="24"/>
        <v>10.000000000001364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9.3000000000000007</v>
      </c>
      <c r="S66" s="426">
        <f t="shared" si="29"/>
        <v>9.3000000000465661</v>
      </c>
    </row>
    <row r="67" spans="1:19" x14ac:dyDescent="0.2">
      <c r="A67" s="425"/>
      <c r="B67" s="427">
        <f t="array" ref="B67:H71">LINEST(G61:G66,B61:F66,TRUE,TRUE)</f>
        <v>1033.6613277370559</v>
      </c>
      <c r="C67" s="427">
        <v>-3803.3230384058179</v>
      </c>
      <c r="D67" s="427">
        <v>4898.9941698934917</v>
      </c>
      <c r="E67" s="427">
        <v>-2267.0069006273056</v>
      </c>
      <c r="F67" s="427">
        <v>-116.27966335788547</v>
      </c>
      <c r="G67" s="427">
        <v>263.05410476046268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10055.064760067462</v>
      </c>
      <c r="N67" s="427">
        <v>-52668.553228829318</v>
      </c>
      <c r="O67" s="427">
        <v>109756.48913378538</v>
      </c>
      <c r="P67" s="427">
        <v>-113695.56645191494</v>
      </c>
      <c r="Q67" s="427">
        <v>58512.149561071907</v>
      </c>
      <c r="R67" s="427">
        <v>-11949.583774180461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1.7483333333333322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7.7933333333333312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7.8</v>
      </c>
      <c r="H77" s="426">
        <f t="shared" ref="H77:H82" si="34">$G$83+$F$83*B77+$E$83*C77+$D$83*D77+$C$83*E77+$B$83*F77</f>
        <v>7.8000000000124601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8.6</v>
      </c>
      <c r="S77" s="426">
        <f t="shared" ref="S77:S82" si="39">$R$83+$Q$83*M77+$P$83*N77+$O$83*O77+$N$83*P77+$M$83*Q77</f>
        <v>8.6000000000009926</v>
      </c>
    </row>
    <row r="78" spans="1:19" x14ac:dyDescent="0.2">
      <c r="A78" s="427">
        <v>1400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8</v>
      </c>
      <c r="H78" s="426">
        <f t="shared" si="34"/>
        <v>8.0000000000081855</v>
      </c>
      <c r="I78" s="425"/>
      <c r="J78" s="425"/>
      <c r="K78" s="425"/>
      <c r="L78" s="427">
        <v>1400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10</v>
      </c>
      <c r="S78" s="426">
        <f t="shared" si="39"/>
        <v>10.000000000000689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8.5</v>
      </c>
      <c r="H79" s="426">
        <f t="shared" si="34"/>
        <v>8.5000000000109139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9.5</v>
      </c>
      <c r="S79" s="426">
        <f t="shared" si="39"/>
        <v>9.5000000000008882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9.1</v>
      </c>
      <c r="H80" s="426">
        <f t="shared" si="34"/>
        <v>9.1000000000003638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9.1999999999999993</v>
      </c>
      <c r="S80" s="426">
        <f t="shared" si="39"/>
        <v>9.2000000000004434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9.3000000000000007</v>
      </c>
      <c r="H81" s="426">
        <f t="shared" si="34"/>
        <v>9.2999999999883585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9.3000000000000007</v>
      </c>
      <c r="S81" s="426">
        <f t="shared" si="39"/>
        <v>9.3000000000014182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10</v>
      </c>
      <c r="H82" s="426">
        <f t="shared" si="34"/>
        <v>10.00000000001819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9.5</v>
      </c>
      <c r="S82" s="426">
        <f t="shared" si="39"/>
        <v>9.500000000000739</v>
      </c>
    </row>
    <row r="83" spans="1:19" x14ac:dyDescent="0.2">
      <c r="A83" s="425"/>
      <c r="B83" s="436">
        <f t="array" ref="B83:H88">LINEST(G77:G82,B77:F82,TRUE,TRUE)</f>
        <v>9337.5469838570389</v>
      </c>
      <c r="C83" s="427">
        <v>-46706.993220869263</v>
      </c>
      <c r="D83" s="427">
        <v>92967.033198884543</v>
      </c>
      <c r="E83" s="427">
        <v>-92023.839777944988</v>
      </c>
      <c r="F83" s="427">
        <v>45296.796642094851</v>
      </c>
      <c r="G83" s="427">
        <v>-8862.0438260221745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-56.381526987738788</v>
      </c>
      <c r="N83" s="427">
        <v>-398.60662204563948</v>
      </c>
      <c r="O83" s="427">
        <v>2372.1760753775211</v>
      </c>
      <c r="P83" s="427">
        <v>-4145.1026537019598</v>
      </c>
      <c r="Q83" s="427">
        <v>3043.7940421430849</v>
      </c>
      <c r="R83" s="427">
        <v>-806.37931478526707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3.5083333333333346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1.055000000000001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M89" s="18"/>
      <c r="N89" s="18"/>
      <c r="O89" s="18"/>
      <c r="P89" s="18"/>
      <c r="Q89" s="18"/>
      <c r="R89" s="23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9.9621658197393117</v>
      </c>
      <c r="F91" s="57">
        <f>$E$95+$D$95*B91+$C$95*C91+$B$95*D91</f>
        <v>9.9621658197393117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9.4705020357981624</v>
      </c>
      <c r="F92" s="57">
        <f>$E$95+$D$95*B92+$C$95*C92+$B$95*D92</f>
        <v>9.4705020357981624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9.1069602104032583</v>
      </c>
      <c r="F93" s="57">
        <f>$E$95+$D$95*B93+$C$95*C93+$B$95*D93</f>
        <v>9.1069602104032601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8.5481701394037373</v>
      </c>
      <c r="F94" s="57">
        <f>$E$95+$D$95*B94+$C$95*C94+$B$95*D94</f>
        <v>8.548170139403739</v>
      </c>
    </row>
    <row r="95" spans="1:19" x14ac:dyDescent="0.2">
      <c r="B95">
        <f t="array" ref="B95:E100">LINEST(E91:E94,B91:D94,TRUE,TRUE)</f>
        <v>-4.3116027220115228E-4</v>
      </c>
      <c r="C95" s="18">
        <v>1.5497247336959485E-2</v>
      </c>
      <c r="D95">
        <v>-0.25533841920742051</v>
      </c>
      <c r="E95">
        <v>10.905321766377572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1.066899706013122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9</v>
      </c>
      <c r="H109" s="426">
        <f t="shared" ref="H109:H114" si="44">$G$115+$F$115*B109+$E$115*C109+$D$115*D109+$C$115*E109+$B$115*F109</f>
        <v>8.9999999999563443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15.1</v>
      </c>
      <c r="S109" s="426">
        <f t="shared" ref="S109:S114" si="49">$R$115+$Q$115*M109+$P$115*N109+$O$115*O109+$N$115*P109+$M$115*Q109</f>
        <v>15.099999999988086</v>
      </c>
    </row>
    <row r="110" spans="1:19" x14ac:dyDescent="0.2">
      <c r="A110" s="427">
        <v>1400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9</v>
      </c>
      <c r="H110" s="426">
        <f t="shared" si="44"/>
        <v>8.9999999999781721</v>
      </c>
      <c r="I110" s="425"/>
      <c r="J110" s="425"/>
      <c r="K110" s="425"/>
      <c r="L110" s="427">
        <v>1400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13</v>
      </c>
      <c r="S110" s="426">
        <f t="shared" si="49"/>
        <v>13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7.5</v>
      </c>
      <c r="H111" s="426">
        <f t="shared" si="44"/>
        <v>7.4999999999690772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12</v>
      </c>
      <c r="S111" s="426">
        <f t="shared" si="49"/>
        <v>11.999999999990905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8</v>
      </c>
      <c r="H112" s="426">
        <f t="shared" si="44"/>
        <v>7.9999999999781721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11</v>
      </c>
      <c r="S112" s="426">
        <f t="shared" si="49"/>
        <v>10.999999999992724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11.5</v>
      </c>
      <c r="H113" s="426">
        <f t="shared" si="44"/>
        <v>11.499999999952706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10</v>
      </c>
      <c r="S113" s="426">
        <f t="shared" si="49"/>
        <v>10.000000000001819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13</v>
      </c>
      <c r="H114" s="426">
        <f t="shared" si="44"/>
        <v>12.999999999970896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9</v>
      </c>
      <c r="S114" s="426">
        <f t="shared" si="49"/>
        <v>9</v>
      </c>
    </row>
    <row r="115" spans="1:19" x14ac:dyDescent="0.2">
      <c r="A115" s="425"/>
      <c r="B115" s="427">
        <f t="array" ref="B115:H119">LINEST(G109:G114,B109:F114,TRUE,TRUE)</f>
        <v>-16190.236777243163</v>
      </c>
      <c r="C115" s="427">
        <v>78784.505248903908</v>
      </c>
      <c r="D115" s="427">
        <v>-152101.14258137936</v>
      </c>
      <c r="E115" s="427">
        <v>145672.93116863858</v>
      </c>
      <c r="F115" s="427">
        <v>-69238.747749367409</v>
      </c>
      <c r="G115" s="427">
        <v>13080.190690447413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-7319.423495285615</v>
      </c>
      <c r="N115" s="427">
        <v>37284.517222629431</v>
      </c>
      <c r="O115" s="427">
        <v>-75688.289454940401</v>
      </c>
      <c r="P115" s="427">
        <v>76525.753992052676</v>
      </c>
      <c r="Q115" s="427">
        <v>-38541.351735090153</v>
      </c>
      <c r="R115" s="427">
        <v>7750.7934706340511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22.833333333333332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24.008333333333333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8</v>
      </c>
      <c r="H125" s="426">
        <f t="shared" ref="H125:H130" si="54">$G$131+$F$131*B125+$E$131*C125+$D$131*D125+$C$131*E125+$B$131*F125</f>
        <v>8.0000000001382432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10</v>
      </c>
      <c r="S125" s="426">
        <f t="shared" ref="S125:S130" si="59">$R$131+$Q$131*M125+$P$131*N125+$O$131*O125+$N$131*P125+$M$131*Q125</f>
        <v>9.9999999999372449</v>
      </c>
    </row>
    <row r="126" spans="1:19" x14ac:dyDescent="0.2">
      <c r="A126" s="427">
        <v>1400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7</v>
      </c>
      <c r="H126" s="426">
        <f t="shared" si="54"/>
        <v>7.0000000000873115</v>
      </c>
      <c r="I126" s="425"/>
      <c r="J126" s="425"/>
      <c r="K126" s="425"/>
      <c r="L126" s="427">
        <v>1400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10</v>
      </c>
      <c r="S126" s="426">
        <f t="shared" si="59"/>
        <v>9.9999999999836291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6</v>
      </c>
      <c r="H127" s="426">
        <f t="shared" si="54"/>
        <v>6.0000000000800355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9.3000000000000007</v>
      </c>
      <c r="S127" s="426">
        <f t="shared" si="59"/>
        <v>9.2999999999665306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8</v>
      </c>
      <c r="H128" s="426">
        <f t="shared" si="54"/>
        <v>8.000000000007276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9</v>
      </c>
      <c r="S128" s="426">
        <f t="shared" si="59"/>
        <v>8.9999999999599822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12</v>
      </c>
      <c r="H129" s="426">
        <f t="shared" si="54"/>
        <v>12.000000000087311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11</v>
      </c>
      <c r="S129" s="426">
        <f t="shared" si="59"/>
        <v>10.99999999996362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20</v>
      </c>
      <c r="H130" s="426">
        <f t="shared" si="54"/>
        <v>20.000000000101863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12</v>
      </c>
      <c r="S130" s="426">
        <f t="shared" si="59"/>
        <v>11.99999999996362</v>
      </c>
    </row>
    <row r="131" spans="1:19" x14ac:dyDescent="0.2">
      <c r="A131" s="425"/>
      <c r="B131" s="436">
        <f t="array" ref="B131:H136">LINEST(G125:G130,B125:F130,TRUE,TRUE)</f>
        <v>40508.51109349107</v>
      </c>
      <c r="C131" s="427">
        <v>-202663.2191174129</v>
      </c>
      <c r="D131" s="427">
        <v>404196.94028171874</v>
      </c>
      <c r="E131" s="427">
        <v>-401491.79052959109</v>
      </c>
      <c r="F131" s="427">
        <v>198523.10060859317</v>
      </c>
      <c r="G131" s="427">
        <v>-39067.542336798906</v>
      </c>
      <c r="H131" s="425" t="e">
        <v>#N/A</v>
      </c>
      <c r="I131" s="425"/>
      <c r="J131" s="425"/>
      <c r="K131" s="425"/>
      <c r="L131" s="425"/>
      <c r="M131" s="439">
        <f t="array" ref="M131:R135">LINEST(R125:R130,M125:Q130,TRUE,TRUE)</f>
        <v>-19486.94007361729</v>
      </c>
      <c r="N131" s="427">
        <v>97385.237847979151</v>
      </c>
      <c r="O131" s="427">
        <v>-193443.81657073143</v>
      </c>
      <c r="P131" s="427">
        <v>190933.90186129641</v>
      </c>
      <c r="Q131" s="427">
        <v>-93655.535293511304</v>
      </c>
      <c r="R131" s="427">
        <v>18276.452228584421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136.83333333333334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6.2083333333333321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11.933264154504286</v>
      </c>
      <c r="F139" s="57">
        <f>$E$143+$D$143*B139+$C$143*C139+$B$143*D139</f>
        <v>11.93326415450429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9.2389990761948866</v>
      </c>
      <c r="F140" s="57">
        <f>$E$143+$D$143*B140+$C$143*C140+$B$143*D140</f>
        <v>9.2389990761948884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7.4585922386613674</v>
      </c>
      <c r="F141" s="57">
        <f>$E$143+$D$143*B141+$C$143*C141+$B$143*D141</f>
        <v>7.4585922386613719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6.1008302601549076</v>
      </c>
      <c r="F142" s="57">
        <f>$E$143+$D$143*B142+$C$143*C142+$B$143*D142</f>
        <v>6.1008302601549129</v>
      </c>
    </row>
    <row r="143" spans="1:19" x14ac:dyDescent="0.2">
      <c r="B143">
        <f t="array" ref="B143:E148">LINEST(E139:E142,B139:D142,TRUE,TRUE)</f>
        <v>-6.5495117566510613E-4</v>
      </c>
      <c r="C143" s="18">
        <v>3.7925700085470894E-2</v>
      </c>
      <c r="D143">
        <v>-0.99312206120255009</v>
      </c>
      <c r="E143">
        <v>16.032600855338405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19.040126953491502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9.5354235573892847</v>
      </c>
      <c r="E154" s="57">
        <f>$D$157+$C$157*B154+$B$157*C154</f>
        <v>9.5354235573892829</v>
      </c>
      <c r="H154" s="440" t="s">
        <v>607</v>
      </c>
      <c r="I154" s="440"/>
      <c r="J154" s="440"/>
      <c r="K154" s="117"/>
      <c r="L154" s="440" t="s">
        <v>608</v>
      </c>
      <c r="N154" s="411" t="s">
        <v>8</v>
      </c>
      <c r="O154" s="18">
        <f>C4</f>
        <v>36.930450887031938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7.7268993458760145</v>
      </c>
      <c r="E155" s="57">
        <f>$D$157+$C$157*B155+$B$157*C155</f>
        <v>7.7268993458760082</v>
      </c>
      <c r="H155" s="441">
        <f>$D$157+$C$157*C7+$B$157*C7^2</f>
        <v>8.1612113920771847</v>
      </c>
      <c r="I155" s="442"/>
      <c r="J155" s="442"/>
      <c r="K155" s="442"/>
      <c r="N155" s="411" t="s">
        <v>6</v>
      </c>
      <c r="O155" s="18">
        <f>C5</f>
        <v>36.75374827258797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9.6148366093173863</v>
      </c>
      <c r="E156" s="57">
        <f>$D$157+$C$157*B156+$B$157*C156</f>
        <v>9.6148366093173863</v>
      </c>
      <c r="N156" s="411" t="s">
        <v>9</v>
      </c>
      <c r="O156" s="18">
        <f>C6</f>
        <v>9.1590619531119692</v>
      </c>
    </row>
    <row r="157" spans="1:17" ht="15.75" x14ac:dyDescent="0.25">
      <c r="B157">
        <f t="array" ref="B157:D160">LINEST(D154:D156,B154:C156,TRUE,TRUE)</f>
        <v>8.8767302279187901E-2</v>
      </c>
      <c r="C157">
        <v>-1.7674047403909479</v>
      </c>
      <c r="D157">
        <v>16.153264702364325</v>
      </c>
      <c r="N157" s="411" t="s">
        <v>7</v>
      </c>
      <c r="O157" s="18">
        <f>C7</f>
        <v>12.967515306414976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1.0048077440464966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AI160"/>
  <sheetViews>
    <sheetView topLeftCell="A117" zoomScale="70" workbookViewId="0">
      <selection activeCell="C7" sqref="C7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9.28515625" bestFit="1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1500</v>
      </c>
      <c r="O3" s="18"/>
      <c r="P3" s="18"/>
      <c r="Q3" s="18"/>
      <c r="R3" s="18"/>
    </row>
    <row r="4" spans="1:35" ht="18.75" x14ac:dyDescent="0.3">
      <c r="B4" s="411" t="s">
        <v>8</v>
      </c>
      <c r="C4" s="420">
        <f>'Расчет при 1400 С'!C4</f>
        <v>37.57</v>
      </c>
      <c r="I4" s="415" t="s">
        <v>594</v>
      </c>
      <c r="K4" s="416"/>
      <c r="M4" s="18"/>
      <c r="N4" s="18"/>
      <c r="O4" s="18"/>
      <c r="P4" s="18"/>
      <c r="Q4" s="18"/>
      <c r="R4" s="18"/>
      <c r="W4" s="417" t="s">
        <v>595</v>
      </c>
      <c r="X4" s="42"/>
      <c r="Y4" s="42"/>
      <c r="Z4" s="42"/>
    </row>
    <row r="5" spans="1:35" ht="18.75" x14ac:dyDescent="0.3">
      <c r="B5" s="411" t="s">
        <v>6</v>
      </c>
      <c r="C5" s="420">
        <f>'Расчет при 1400 С'!C5</f>
        <v>37.85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'Расчет при 1400 С'!C6</f>
        <v>9.01</v>
      </c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'Расчет при 1400 С'!C7</f>
        <v>11.05</v>
      </c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'Расчет при 1400 С'!C9</f>
        <v>0.99260237780713334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 t="s">
        <v>597</v>
      </c>
      <c r="V12" s="13"/>
      <c r="W12" s="430" t="s">
        <v>598</v>
      </c>
      <c r="X12" s="431">
        <v>5</v>
      </c>
      <c r="AC12" s="356" t="s">
        <v>597</v>
      </c>
      <c r="AD12" s="13"/>
      <c r="AE12" s="430" t="s">
        <v>598</v>
      </c>
      <c r="AF12" s="431">
        <v>15</v>
      </c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43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  <c r="Z13" t="s">
        <v>599</v>
      </c>
      <c r="AA13" t="s">
        <v>64</v>
      </c>
      <c r="AH13" t="s">
        <v>599</v>
      </c>
      <c r="AI13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2.5</v>
      </c>
      <c r="H14" s="426">
        <f t="shared" ref="H14:H19" si="4">$G$20+$F$20*B14+$E$20*C14+$D$20*D14+$C$20*E14+$B$20*F14</f>
        <v>2.4999999999983089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2">
        <f t="shared" ref="Q14:Q19" si="8">M14^5</f>
        <v>0.32768000000000019</v>
      </c>
      <c r="R14" s="433">
        <v>6</v>
      </c>
      <c r="S14" s="426">
        <f t="shared" ref="S14:S19" si="9">$R$20+$Q$20*M14+$P$20*N14+$O$20*O14+$N$20*P14+$M$20*Q14</f>
        <v>5.9999999999363354</v>
      </c>
      <c r="V14" s="18">
        <v>0.8</v>
      </c>
      <c r="W14" s="18">
        <f>V14^2</f>
        <v>0.64000000000000012</v>
      </c>
      <c r="X14" s="18">
        <f>V14^3</f>
        <v>0.51200000000000012</v>
      </c>
      <c r="Y14" s="18">
        <f>V14^4</f>
        <v>0.40960000000000019</v>
      </c>
      <c r="Z14" s="23">
        <v>6</v>
      </c>
      <c r="AA14" s="23">
        <f>$Z$20+$Y$20*V14+$X$20*W14+$W$20*X14+$V$20*Y14</f>
        <v>5.9999999999936335</v>
      </c>
      <c r="AD14" s="18">
        <v>0.8</v>
      </c>
      <c r="AE14" s="18">
        <f>AD14^2</f>
        <v>0.64000000000000012</v>
      </c>
      <c r="AF14" s="18">
        <f>AD14^3</f>
        <v>0.51200000000000012</v>
      </c>
      <c r="AG14" s="18">
        <f>AD14^4</f>
        <v>0.40960000000000019</v>
      </c>
      <c r="AH14" s="23">
        <v>2.5</v>
      </c>
      <c r="AI14" s="23">
        <f>$AH$20+$AG$20*AD14+$AF$20*AE14+$AE$20*AF14+$AD$20*AG14</f>
        <v>2.5</v>
      </c>
    </row>
    <row r="15" spans="1:35" x14ac:dyDescent="0.2">
      <c r="A15" s="427">
        <v>1500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2.5</v>
      </c>
      <c r="H15" s="426">
        <f t="shared" si="4"/>
        <v>2.4999999999990337</v>
      </c>
      <c r="I15" s="425"/>
      <c r="J15" s="425"/>
      <c r="K15" s="425"/>
      <c r="L15" s="427">
        <v>1500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2">
        <f t="shared" si="8"/>
        <v>0.59049000000000018</v>
      </c>
      <c r="R15" s="433">
        <v>6</v>
      </c>
      <c r="S15" s="426">
        <f t="shared" si="9"/>
        <v>5.9999999999272404</v>
      </c>
      <c r="U15" s="356">
        <v>1500</v>
      </c>
      <c r="V15" s="18">
        <v>0.9</v>
      </c>
      <c r="W15" s="18">
        <f>V15^2</f>
        <v>0.81</v>
      </c>
      <c r="X15" s="18">
        <f>V15^3</f>
        <v>0.72900000000000009</v>
      </c>
      <c r="Y15" s="18">
        <f>V15^4</f>
        <v>0.65610000000000013</v>
      </c>
      <c r="Z15" s="23">
        <v>6</v>
      </c>
      <c r="AA15" s="23">
        <f>$Z$20+$Y$20*V15+$X$20*W15+$W$20*X15+$V$20*Y15</f>
        <v>5.9999999999918145</v>
      </c>
      <c r="AC15" s="356">
        <v>1500</v>
      </c>
      <c r="AD15" s="18">
        <v>0.9</v>
      </c>
      <c r="AE15" s="18">
        <f>AD15^2</f>
        <v>0.81</v>
      </c>
      <c r="AF15" s="18">
        <f>AD15^3</f>
        <v>0.72900000000000009</v>
      </c>
      <c r="AG15" s="18">
        <f>AD15^4</f>
        <v>0.65610000000000013</v>
      </c>
      <c r="AH15" s="23">
        <v>2.5</v>
      </c>
      <c r="AI15" s="23">
        <f>$AH$20+$AG$20*AD15+$AF$20*AE15+$AE$20*AF15+$AD$20*AG15</f>
        <v>2.4999999999997158</v>
      </c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2.5</v>
      </c>
      <c r="H16" s="426">
        <f t="shared" si="4"/>
        <v>2.4999999999990337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2">
        <f t="shared" si="8"/>
        <v>1</v>
      </c>
      <c r="R16" s="433">
        <v>6</v>
      </c>
      <c r="S16" s="426">
        <f t="shared" si="9"/>
        <v>5.9999999999199645</v>
      </c>
      <c r="V16" s="18">
        <v>1</v>
      </c>
      <c r="W16" s="18">
        <f>V16^2</f>
        <v>1</v>
      </c>
      <c r="X16" s="18">
        <f>V16^3</f>
        <v>1</v>
      </c>
      <c r="Y16" s="18">
        <f>V16^4</f>
        <v>1</v>
      </c>
      <c r="Z16" s="23">
        <v>6</v>
      </c>
      <c r="AA16" s="23">
        <f>$Z$20+$Y$20*V16+$X$20*W16+$W$20*X16+$V$20*Y16</f>
        <v>5.999999999992724</v>
      </c>
      <c r="AD16" s="18">
        <v>1</v>
      </c>
      <c r="AE16" s="18">
        <f>AD16^2</f>
        <v>1</v>
      </c>
      <c r="AF16" s="18">
        <f>AD16^3</f>
        <v>1</v>
      </c>
      <c r="AG16" s="18">
        <f>AD16^4</f>
        <v>1</v>
      </c>
      <c r="AH16" s="23">
        <v>2.5</v>
      </c>
      <c r="AI16" s="23">
        <f>$AH$20+$AG$20*AD16+$AF$20*AE16+$AE$20*AF16+$AD$20*AG16</f>
        <v>2.4999999999998295</v>
      </c>
    </row>
    <row r="17" spans="1:35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2.2999999999999998</v>
      </c>
      <c r="H17" s="426">
        <f t="shared" si="4"/>
        <v>2.2999999999984766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2">
        <f t="shared" si="8"/>
        <v>1.4025517307000002</v>
      </c>
      <c r="R17" s="433">
        <v>4</v>
      </c>
      <c r="S17" s="426">
        <f t="shared" si="9"/>
        <v>3.9999999999199645</v>
      </c>
      <c r="V17" s="18">
        <v>1.07</v>
      </c>
      <c r="W17" s="18">
        <f>V17^2</f>
        <v>1.1449</v>
      </c>
      <c r="X17" s="18">
        <f>V17^3</f>
        <v>1.2250430000000001</v>
      </c>
      <c r="Y17" s="18">
        <f>V17^4</f>
        <v>1.31079601</v>
      </c>
      <c r="Z17" s="23">
        <v>4</v>
      </c>
      <c r="AA17" s="23">
        <f>$Z$20+$Y$20*V17+$X$20*W17+$W$20*X17+$V$20*Y17</f>
        <v>3.999999999992724</v>
      </c>
      <c r="AD17" s="18">
        <v>1.07</v>
      </c>
      <c r="AE17" s="18">
        <f>AD17^2</f>
        <v>1.1449</v>
      </c>
      <c r="AF17" s="18">
        <f>AD17^3</f>
        <v>1.2250430000000001</v>
      </c>
      <c r="AG17" s="18">
        <f>AD17^4</f>
        <v>1.31079601</v>
      </c>
      <c r="AH17" s="23">
        <v>2.2999999999999998</v>
      </c>
      <c r="AI17" s="23">
        <f>$AH$20+$AG$20*AD17+$AF$20*AE17+$AE$20*AF17+$AD$20*AG17</f>
        <v>2.2999999999997272</v>
      </c>
    </row>
    <row r="18" spans="1:35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2</v>
      </c>
      <c r="H18" s="426">
        <f t="shared" si="4"/>
        <v>1.9999999999985221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2">
        <f t="shared" si="8"/>
        <v>2.0113571874999994</v>
      </c>
      <c r="R18" s="433">
        <v>3.5</v>
      </c>
      <c r="S18" s="426">
        <f t="shared" si="9"/>
        <v>3.4999999998763087</v>
      </c>
      <c r="V18" s="18">
        <v>1.1499999999999999</v>
      </c>
      <c r="W18" s="18">
        <f>V18^2</f>
        <v>1.3224999999999998</v>
      </c>
      <c r="X18" s="18">
        <f>V18^3</f>
        <v>1.5208749999999995</v>
      </c>
      <c r="Y18" s="18">
        <f>V18^4</f>
        <v>1.7490062499999994</v>
      </c>
      <c r="Z18" s="23">
        <v>3.5</v>
      </c>
      <c r="AA18" s="23">
        <f>$Z$20+$Y$20*V18+$X$20*W18+$W$20*X18+$V$20*Y18</f>
        <v>3.499999999996362</v>
      </c>
      <c r="AD18" s="18">
        <v>1.1499999999999999</v>
      </c>
      <c r="AE18" s="18">
        <f>AD18^2</f>
        <v>1.3224999999999998</v>
      </c>
      <c r="AF18" s="18">
        <f>AD18^3</f>
        <v>1.5208749999999995</v>
      </c>
      <c r="AG18" s="18">
        <f>AD18^4</f>
        <v>1.7490062499999994</v>
      </c>
      <c r="AH18" s="23">
        <v>2</v>
      </c>
      <c r="AI18" s="23">
        <f>$AH$20+$AG$20*AD18+$AF$20*AE18+$AE$20*AF18+$AD$20*AG18</f>
        <v>1.9999999999998863</v>
      </c>
    </row>
    <row r="19" spans="1:35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1.9</v>
      </c>
      <c r="H19" s="426">
        <f t="shared" si="4"/>
        <v>1.8999999999983856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2">
        <f t="shared" si="8"/>
        <v>2.4883199999999999</v>
      </c>
      <c r="R19" s="433">
        <v>3</v>
      </c>
      <c r="S19" s="426">
        <f t="shared" si="9"/>
        <v>2.9999999999126885</v>
      </c>
      <c r="V19" s="18"/>
      <c r="W19" s="18"/>
      <c r="X19" s="18"/>
      <c r="Y19" s="18"/>
      <c r="Z19" s="23"/>
      <c r="AA19" s="23"/>
      <c r="AD19" s="18"/>
      <c r="AE19" s="18"/>
      <c r="AF19" s="18"/>
      <c r="AG19" s="18"/>
      <c r="AH19" s="23"/>
      <c r="AI19" s="23"/>
    </row>
    <row r="20" spans="1:35" x14ac:dyDescent="0.2">
      <c r="A20" s="425"/>
      <c r="B20" s="427">
        <f t="array" ref="B20:H24">LINEST(G14:G19,B14:F19,TRUE,TRUE)</f>
        <v>-307.64442525842338</v>
      </c>
      <c r="C20" s="427">
        <v>1815.5091094602994</v>
      </c>
      <c r="D20" s="427">
        <v>-4167.4812656770555</v>
      </c>
      <c r="E20" s="427">
        <v>4667.241913526871</v>
      </c>
      <c r="F20" s="427">
        <v>-2557.5865472744381</v>
      </c>
      <c r="G20" s="427">
        <v>552.46121522274541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-31464.722638585306</v>
      </c>
      <c r="N20" s="427">
        <v>160206.37313441589</v>
      </c>
      <c r="O20" s="427">
        <v>-324441.75402571779</v>
      </c>
      <c r="P20" s="427">
        <v>326581.43925885117</v>
      </c>
      <c r="Q20" s="427">
        <v>-163366.11271410785</v>
      </c>
      <c r="R20" s="427">
        <v>32490.776985143813</v>
      </c>
      <c r="S20" s="425"/>
      <c r="V20" s="427">
        <f t="array" ref="V20:Z24">LINEST(Z14:Z18,V14:Y18,TRUE,TRUE)</f>
        <v>5399.9377528698788</v>
      </c>
      <c r="W20" s="427">
        <v>-20980.2365390259</v>
      </c>
      <c r="X20" s="427">
        <v>30348.9417988938</v>
      </c>
      <c r="Y20" s="427">
        <v>-19376.934329257536</v>
      </c>
      <c r="Z20" s="427">
        <v>4614.2913165197506</v>
      </c>
      <c r="AD20" s="427">
        <f t="array" ref="AD20:AH24">LINEST(AH14:AH18,AD14:AG18,TRUE,TRUE)</f>
        <v>301.89853719212914</v>
      </c>
      <c r="AE20" s="427">
        <v>-1200.4046062849736</v>
      </c>
      <c r="AF20" s="427">
        <v>1770.8465608437702</v>
      </c>
      <c r="AG20" s="427">
        <v>-1149.7410519746163</v>
      </c>
      <c r="AH20" s="427">
        <v>279.90056022369038</v>
      </c>
    </row>
    <row r="21" spans="1:35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  <c r="V21">
        <v>0</v>
      </c>
      <c r="W21">
        <v>0</v>
      </c>
      <c r="X21">
        <v>0</v>
      </c>
      <c r="Y21">
        <v>0</v>
      </c>
      <c r="Z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5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  <c r="V22">
        <v>1</v>
      </c>
      <c r="W22">
        <v>0</v>
      </c>
      <c r="X22" t="e">
        <v>#N/A</v>
      </c>
      <c r="Y22" t="e">
        <v>#N/A</v>
      </c>
      <c r="Z22" t="e">
        <v>#N/A</v>
      </c>
      <c r="AD22">
        <v>1</v>
      </c>
      <c r="AE22">
        <v>0</v>
      </c>
      <c r="AF22" t="e">
        <v>#N/A</v>
      </c>
      <c r="AG22" t="e">
        <v>#N/A</v>
      </c>
      <c r="AH22" t="e">
        <v>#N/A</v>
      </c>
    </row>
    <row r="23" spans="1:35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  <c r="V23" t="e">
        <v>#NUM!</v>
      </c>
      <c r="W23">
        <v>0</v>
      </c>
      <c r="X23" t="e">
        <v>#N/A</v>
      </c>
      <c r="Y23" t="e">
        <v>#N/A</v>
      </c>
      <c r="Z23" t="e">
        <v>#N/A</v>
      </c>
      <c r="AD23" t="e">
        <v>#NUM!</v>
      </c>
      <c r="AE23">
        <v>0</v>
      </c>
      <c r="AF23" t="e">
        <v>#N/A</v>
      </c>
      <c r="AG23" t="e">
        <v>#N/A</v>
      </c>
      <c r="AH23" t="e">
        <v>#N/A</v>
      </c>
    </row>
    <row r="24" spans="1:35" x14ac:dyDescent="0.2">
      <c r="A24" s="425"/>
      <c r="B24" s="425">
        <v>0.3683333333333334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9.875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  <c r="V24">
        <v>6.2</v>
      </c>
      <c r="W24">
        <v>0</v>
      </c>
      <c r="X24" t="e">
        <v>#N/A</v>
      </c>
      <c r="Y24" t="e">
        <v>#N/A</v>
      </c>
      <c r="Z24" t="e">
        <v>#N/A</v>
      </c>
      <c r="AD24">
        <v>0.19200000000000003</v>
      </c>
      <c r="AE24">
        <v>0</v>
      </c>
      <c r="AF24" t="e">
        <v>#N/A</v>
      </c>
      <c r="AG24" t="e">
        <v>#N/A</v>
      </c>
      <c r="AH24" t="e">
        <v>#N/A</v>
      </c>
    </row>
    <row r="25" spans="1:35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  <c r="V25" t="s">
        <v>611</v>
      </c>
      <c r="W25" t="s">
        <v>612</v>
      </c>
      <c r="X25" t="s">
        <v>613</v>
      </c>
      <c r="Y25" t="s">
        <v>614</v>
      </c>
      <c r="Z25" t="s">
        <v>615</v>
      </c>
      <c r="AD25" t="s">
        <v>611</v>
      </c>
      <c r="AE25" t="s">
        <v>612</v>
      </c>
      <c r="AF25" t="s">
        <v>613</v>
      </c>
      <c r="AG25" t="s">
        <v>614</v>
      </c>
      <c r="AH25" t="s">
        <v>615</v>
      </c>
    </row>
    <row r="26" spans="1:35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35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  <c r="U27" s="356" t="s">
        <v>597</v>
      </c>
      <c r="V27" s="13"/>
      <c r="W27" s="430" t="s">
        <v>598</v>
      </c>
      <c r="X27" s="431">
        <v>10</v>
      </c>
      <c r="AC27" s="356" t="s">
        <v>597</v>
      </c>
      <c r="AD27" s="13"/>
      <c r="AE27" s="430" t="s">
        <v>598</v>
      </c>
      <c r="AF27" s="431">
        <v>20</v>
      </c>
    </row>
    <row r="28" spans="1:35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35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  <c r="Z29" t="s">
        <v>599</v>
      </c>
      <c r="AA29" t="s">
        <v>64</v>
      </c>
      <c r="AH29" t="s">
        <v>599</v>
      </c>
      <c r="AI29" t="s">
        <v>64</v>
      </c>
    </row>
    <row r="30" spans="1:35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2.5</v>
      </c>
      <c r="H30" s="426">
        <f t="shared" ref="H30:H35" si="14">$G$36+$F$36*B30+$E$36*C30+$D$36*D30+$C$36*E30+$B$36*F30</f>
        <v>2.4999999999834017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3.2</v>
      </c>
      <c r="S30" s="426">
        <f t="shared" ref="S30:S35" si="19">$R$36+$Q$36*M30+$P$36*N30+$O$36*O30+$N$36*P30+$M$36*Q30</f>
        <v>3.1999999999911779</v>
      </c>
      <c r="V30" s="18">
        <v>0.8</v>
      </c>
      <c r="W30" s="18">
        <f>V30^2</f>
        <v>0.64000000000000012</v>
      </c>
      <c r="X30" s="18">
        <f>V30^3</f>
        <v>0.51200000000000012</v>
      </c>
      <c r="Y30" s="18">
        <f>V30^4</f>
        <v>0.40960000000000019</v>
      </c>
      <c r="Z30" s="23">
        <v>3.5</v>
      </c>
      <c r="AA30" s="23">
        <f>$Z$36+$Y$36*V30+$X$36*W30+$W$36*X30+$V$36*Y30</f>
        <v>3.5</v>
      </c>
      <c r="AD30" s="18">
        <v>0.8</v>
      </c>
      <c r="AE30" s="18">
        <f>AD30^2</f>
        <v>0.64000000000000012</v>
      </c>
      <c r="AF30" s="18">
        <f>AD30^3</f>
        <v>0.51200000000000012</v>
      </c>
      <c r="AG30" s="18">
        <f>AD30^4</f>
        <v>0.40960000000000019</v>
      </c>
      <c r="AH30" s="23">
        <v>2.5</v>
      </c>
      <c r="AI30" s="23">
        <f>$AH$36+$AG$36*AD30+$AF$36*AE30+$AE$36*AF30+$AD$36*AG30</f>
        <v>2.5000000000014211</v>
      </c>
    </row>
    <row r="31" spans="1:35" x14ac:dyDescent="0.2">
      <c r="A31" s="427">
        <v>1500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2.5</v>
      </c>
      <c r="H31" s="426">
        <f t="shared" si="14"/>
        <v>2.4999999999895408</v>
      </c>
      <c r="I31" s="425"/>
      <c r="J31" s="425"/>
      <c r="K31" s="425"/>
      <c r="L31" s="427">
        <v>1500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3.5</v>
      </c>
      <c r="S31" s="426">
        <f t="shared" si="19"/>
        <v>3.5000000000045475</v>
      </c>
      <c r="U31" s="356">
        <v>1500</v>
      </c>
      <c r="V31" s="18">
        <v>0.9</v>
      </c>
      <c r="W31" s="18">
        <f>V31^2</f>
        <v>0.81</v>
      </c>
      <c r="X31" s="18">
        <f>V31^3</f>
        <v>0.72900000000000009</v>
      </c>
      <c r="Y31" s="18">
        <f>V31^4</f>
        <v>0.65610000000000013</v>
      </c>
      <c r="Z31" s="23">
        <v>3.5</v>
      </c>
      <c r="AA31" s="23">
        <f>$Z$36+$Y$36*V31+$X$36*W31+$W$36*X31+$V$36*Y31</f>
        <v>3.4999999999996021</v>
      </c>
      <c r="AC31" s="356">
        <v>1500</v>
      </c>
      <c r="AD31" s="18">
        <v>0.9</v>
      </c>
      <c r="AE31" s="18">
        <f>AD31^2</f>
        <v>0.81</v>
      </c>
      <c r="AF31" s="18">
        <f>AD31^3</f>
        <v>0.72900000000000009</v>
      </c>
      <c r="AG31" s="18">
        <f>AD31^4</f>
        <v>0.65610000000000013</v>
      </c>
      <c r="AH31" s="23">
        <v>2.5</v>
      </c>
      <c r="AI31" s="23">
        <f>$AH$36+$AG$36*AD31+$AF$36*AE31+$AE$36*AF31+$AD$36*AG31</f>
        <v>2.5000000000010232</v>
      </c>
    </row>
    <row r="32" spans="1:35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2.2999999999999998</v>
      </c>
      <c r="H32" s="426">
        <f t="shared" si="14"/>
        <v>2.2999999999879037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3</v>
      </c>
      <c r="S32" s="426">
        <f t="shared" si="19"/>
        <v>2.999999999994543</v>
      </c>
      <c r="V32" s="18">
        <v>1</v>
      </c>
      <c r="W32" s="18">
        <f>V32^2</f>
        <v>1</v>
      </c>
      <c r="X32" s="18">
        <f>V32^3</f>
        <v>1</v>
      </c>
      <c r="Y32" s="18">
        <f>V32^4</f>
        <v>1</v>
      </c>
      <c r="Z32" s="23">
        <v>3</v>
      </c>
      <c r="AA32" s="23">
        <f>$Z$36+$Y$36*V32+$X$36*W32+$W$36*X32+$V$36*Y32</f>
        <v>2.9999999999998863</v>
      </c>
      <c r="AD32" s="18">
        <v>1</v>
      </c>
      <c r="AE32" s="18">
        <f>AD32^2</f>
        <v>1</v>
      </c>
      <c r="AF32" s="18">
        <f>AD32^3</f>
        <v>1</v>
      </c>
      <c r="AG32" s="18">
        <f>AD32^4</f>
        <v>1</v>
      </c>
      <c r="AH32" s="23">
        <v>2.2999999999999998</v>
      </c>
      <c r="AI32" s="23">
        <f>$AH$36+$AG$36*AD32+$AF$36*AE32+$AE$36*AF32+$AD$36*AG32</f>
        <v>2.3000000000006366</v>
      </c>
    </row>
    <row r="33" spans="1:35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2</v>
      </c>
      <c r="H33" s="426">
        <f t="shared" si="14"/>
        <v>1.9999999999809006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3">
        <v>2.5</v>
      </c>
      <c r="S33" s="426">
        <f t="shared" si="19"/>
        <v>2.499999999998181</v>
      </c>
      <c r="V33" s="18">
        <v>1.07</v>
      </c>
      <c r="W33" s="18">
        <f>V33^2</f>
        <v>1.1449</v>
      </c>
      <c r="X33" s="18">
        <f>V33^3</f>
        <v>1.2250430000000001</v>
      </c>
      <c r="Y33" s="18">
        <f>V33^4</f>
        <v>1.31079601</v>
      </c>
      <c r="Z33" s="23">
        <v>2.5</v>
      </c>
      <c r="AA33" s="23">
        <f>$Z$36+$Y$36*V33+$X$36*W33+$W$36*X33+$V$36*Y33</f>
        <v>2.5000000000002274</v>
      </c>
      <c r="AD33" s="18">
        <v>1.07</v>
      </c>
      <c r="AE33" s="18">
        <f>AD33^2</f>
        <v>1.1449</v>
      </c>
      <c r="AF33" s="18">
        <f>AD33^3</f>
        <v>1.2250430000000001</v>
      </c>
      <c r="AG33" s="18">
        <f>AD33^4</f>
        <v>1.31079601</v>
      </c>
      <c r="AH33" s="23">
        <v>2</v>
      </c>
      <c r="AI33" s="23">
        <f>$AH$36+$AG$36*AD33+$AF$36*AE33+$AE$36*AF33+$AD$36*AG33</f>
        <v>2.0000000000006821</v>
      </c>
    </row>
    <row r="34" spans="1:35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2</v>
      </c>
      <c r="H34" s="426">
        <f t="shared" si="14"/>
        <v>1.9999999999836291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3">
        <v>2.5</v>
      </c>
      <c r="S34" s="426">
        <f t="shared" si="19"/>
        <v>2.4999999999890861</v>
      </c>
      <c r="V34" s="18">
        <v>1.1499999999999999</v>
      </c>
      <c r="W34" s="18">
        <f>V34^2</f>
        <v>1.3224999999999998</v>
      </c>
      <c r="X34" s="18">
        <f>V34^3</f>
        <v>1.5208749999999995</v>
      </c>
      <c r="Y34" s="18">
        <f>V34^4</f>
        <v>1.7490062499999994</v>
      </c>
      <c r="Z34" s="23">
        <v>2.5</v>
      </c>
      <c r="AA34" s="23">
        <f>$Z$36+$Y$36*V34+$X$36*W34+$W$36*X34+$V$36*Y34</f>
        <v>2.4999999999996589</v>
      </c>
      <c r="AD34" s="18">
        <v>1.1499999999999999</v>
      </c>
      <c r="AE34" s="18">
        <f>AD34^2</f>
        <v>1.3224999999999998</v>
      </c>
      <c r="AF34" s="18">
        <f>AD34^3</f>
        <v>1.5208749999999995</v>
      </c>
      <c r="AG34" s="18">
        <f>AD34^4</f>
        <v>1.7490062499999994</v>
      </c>
      <c r="AH34" s="23">
        <v>2.5</v>
      </c>
      <c r="AI34" s="23">
        <f>$AH$36+$AG$36*AD34+$AF$36*AE34+$AE$36*AF34+$AD$36*AG34</f>
        <v>2.5000000000009095</v>
      </c>
    </row>
    <row r="35" spans="1:35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2</v>
      </c>
      <c r="H35" s="426">
        <f t="shared" si="14"/>
        <v>1.9999999999854481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2</v>
      </c>
      <c r="S35" s="426">
        <f t="shared" si="19"/>
        <v>1.9999999999890861</v>
      </c>
      <c r="V35" s="18"/>
      <c r="W35" s="18"/>
      <c r="X35" s="18"/>
      <c r="Y35" s="18"/>
      <c r="Z35" s="23"/>
      <c r="AA35" s="23"/>
      <c r="AD35" s="18"/>
      <c r="AE35" s="18"/>
      <c r="AF35" s="18"/>
      <c r="AG35" s="18"/>
      <c r="AH35" s="23"/>
      <c r="AI35" s="23"/>
    </row>
    <row r="36" spans="1:35" x14ac:dyDescent="0.2">
      <c r="A36" s="425"/>
      <c r="B36" s="436">
        <f t="array" ref="B36:H41">LINEST(G30:G35,B30:F35,TRUE,TRUE)</f>
        <v>-3882.6641764648016</v>
      </c>
      <c r="C36" s="427">
        <v>19619.358853056397</v>
      </c>
      <c r="D36" s="427">
        <v>-39406.889975012637</v>
      </c>
      <c r="E36" s="427">
        <v>39321.667052518227</v>
      </c>
      <c r="F36" s="427">
        <v>-19491.572594120353</v>
      </c>
      <c r="G36" s="427">
        <v>3842.4008400231542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-8192.678780265951</v>
      </c>
      <c r="N36" s="427">
        <v>40706.361173685218</v>
      </c>
      <c r="O36" s="427">
        <v>-80414.726225828868</v>
      </c>
      <c r="P36" s="427">
        <v>78933.080747140499</v>
      </c>
      <c r="Q36" s="427">
        <v>-38493.282550807147</v>
      </c>
      <c r="R36" s="427">
        <v>7464.2456360762462</v>
      </c>
      <c r="S36" s="425"/>
      <c r="V36" s="436">
        <f t="array" ref="V36:Z39">LINEST(Z30:Z34,V30:Y34,TRUE,TRUE)</f>
        <v>557.11173358147437</v>
      </c>
      <c r="W36" s="427">
        <v>-2054.4039838125527</v>
      </c>
      <c r="X36" s="427">
        <v>2808.7566137521303</v>
      </c>
      <c r="Y36" s="427">
        <v>-1690.1100217837193</v>
      </c>
      <c r="Z36" s="427">
        <v>381.64565826266721</v>
      </c>
      <c r="AD36" s="436">
        <f t="array" ref="AD36:AH39">LINEST(AH30:AH34,AD30:AG34,TRUE,TRUE)</f>
        <v>992.84158107528629</v>
      </c>
      <c r="AE36" s="427">
        <v>-3755.7734204733092</v>
      </c>
      <c r="AF36" s="427">
        <v>5295.4497354413215</v>
      </c>
      <c r="AG36" s="427">
        <v>-3299.5907251737513</v>
      </c>
      <c r="AH36" s="427">
        <v>769.37282913045317</v>
      </c>
    </row>
    <row r="37" spans="1:35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  <c r="V37">
        <v>0</v>
      </c>
      <c r="W37">
        <v>0</v>
      </c>
      <c r="X37">
        <v>0</v>
      </c>
      <c r="Y37">
        <v>0</v>
      </c>
      <c r="Z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5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  <c r="V38">
        <v>1</v>
      </c>
      <c r="W38">
        <v>0</v>
      </c>
      <c r="X38" t="e">
        <v>#N/A</v>
      </c>
      <c r="Y38" t="e">
        <v>#N/A</v>
      </c>
      <c r="Z38" t="e">
        <v>#N/A</v>
      </c>
      <c r="AD38">
        <v>1</v>
      </c>
      <c r="AE38">
        <v>0</v>
      </c>
      <c r="AF38" t="e">
        <v>#N/A</v>
      </c>
      <c r="AG38" t="e">
        <v>#N/A</v>
      </c>
      <c r="AH38" t="e">
        <v>#N/A</v>
      </c>
    </row>
    <row r="39" spans="1:35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  <c r="V39" t="e">
        <v>#NUM!</v>
      </c>
      <c r="W39">
        <v>0</v>
      </c>
      <c r="X39" t="e">
        <v>#N/A</v>
      </c>
      <c r="Y39" t="e">
        <v>#N/A</v>
      </c>
      <c r="Z39" t="e">
        <v>#N/A</v>
      </c>
      <c r="AD39" t="e">
        <v>#NUM!</v>
      </c>
      <c r="AE39">
        <v>0</v>
      </c>
      <c r="AF39" t="e">
        <v>#N/A</v>
      </c>
      <c r="AG39" t="e">
        <v>#N/A</v>
      </c>
      <c r="AH39" t="e">
        <v>#N/A</v>
      </c>
    </row>
    <row r="40" spans="1:35" x14ac:dyDescent="0.2">
      <c r="A40" s="425"/>
      <c r="B40" s="425">
        <v>0.30833333333333335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1.5083333333333333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  <c r="V40" t="s">
        <v>611</v>
      </c>
      <c r="W40" t="s">
        <v>612</v>
      </c>
      <c r="X40" t="s">
        <v>613</v>
      </c>
      <c r="Y40" t="s">
        <v>614</v>
      </c>
      <c r="Z40" t="s">
        <v>615</v>
      </c>
      <c r="AD40" t="s">
        <v>611</v>
      </c>
      <c r="AE40" t="s">
        <v>612</v>
      </c>
      <c r="AF40" t="s">
        <v>613</v>
      </c>
      <c r="AG40" t="s">
        <v>614</v>
      </c>
      <c r="AH40" t="s">
        <v>615</v>
      </c>
    </row>
    <row r="41" spans="1:35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35" x14ac:dyDescent="0.2">
      <c r="M42" s="18"/>
      <c r="N42" s="18"/>
      <c r="O42" s="18"/>
      <c r="P42" s="18"/>
      <c r="Q42" s="18"/>
      <c r="R42" s="23"/>
    </row>
    <row r="43" spans="1:35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35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6.1878457948005234</v>
      </c>
      <c r="F44" s="57">
        <f>$E$48+$D$48*B44+$C$48*C44+$B$48*D44</f>
        <v>6.1878457948005243</v>
      </c>
      <c r="L44" s="18"/>
      <c r="M44" s="18"/>
      <c r="N44" s="18"/>
      <c r="O44" s="18"/>
      <c r="P44" s="18"/>
      <c r="Q44" s="23"/>
    </row>
    <row r="45" spans="1:35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3.0682390632382521</v>
      </c>
      <c r="F45" s="57">
        <f>$E$48+$D$48*B45+$C$48*C45+$B$48*D45</f>
        <v>3.068239063238249</v>
      </c>
      <c r="L45" s="18"/>
      <c r="M45" s="18"/>
      <c r="N45" s="18"/>
      <c r="O45" s="18"/>
      <c r="P45" s="18"/>
      <c r="Q45" s="23"/>
    </row>
    <row r="46" spans="1:35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2.5117902934283052</v>
      </c>
      <c r="F46" s="57">
        <f>$E$48+$D$48*B46+$C$48*C46+$B$48*D46</f>
        <v>2.5117902934283087</v>
      </c>
      <c r="L46" s="18"/>
      <c r="M46" s="18"/>
      <c r="N46" s="18"/>
      <c r="O46" s="18"/>
      <c r="P46" s="18"/>
      <c r="Q46" s="23"/>
    </row>
    <row r="47" spans="1:35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2.3348458853679404</v>
      </c>
      <c r="F47" s="57">
        <f>$E$48+$D$48*B47+$C$48*C47+$B$48*D47</f>
        <v>2.3348458853679404</v>
      </c>
    </row>
    <row r="48" spans="1:35" x14ac:dyDescent="0.2">
      <c r="B48">
        <f t="array" ref="B48:E53">LINEST(E44:E47,B44:D47,TRUE,TRUE)</f>
        <v>-2.9115381333370263E-3</v>
      </c>
      <c r="C48" s="18">
        <v>0.13860930323515755</v>
      </c>
      <c r="D48">
        <v>-2.1935417215058388</v>
      </c>
      <c r="E48">
        <v>14.054264088117908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9.7424371552946578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  <c r="R54" s="117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3.3</v>
      </c>
      <c r="H61" s="426">
        <f t="shared" ref="H61:H66" si="24">$G$67+$F$67*B61+$E$67*C61+$D$67*D61+$C$67*E61+$B$67*F61</f>
        <v>3.300000000006662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4.8</v>
      </c>
      <c r="S61" s="426">
        <f t="shared" ref="S61:S66" si="29">$R$67+$Q$67*M61+$P$67*N61+$O$67*O61+$N$67*P61+$M$67*Q61</f>
        <v>4.8000000000674845</v>
      </c>
    </row>
    <row r="62" spans="1:19" x14ac:dyDescent="0.2">
      <c r="A62" s="427">
        <v>1500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2.5</v>
      </c>
      <c r="H62" s="426">
        <f t="shared" si="24"/>
        <v>2.5000000000045475</v>
      </c>
      <c r="I62" s="425"/>
      <c r="J62" s="425"/>
      <c r="K62" s="425"/>
      <c r="L62" s="427">
        <v>1500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4.5</v>
      </c>
      <c r="S62" s="426">
        <f t="shared" si="29"/>
        <v>4.5000000000418368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2.2999999999999998</v>
      </c>
      <c r="H63" s="426">
        <f t="shared" si="24"/>
        <v>2.3000000000070031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3</v>
      </c>
      <c r="S63" s="426">
        <f t="shared" si="29"/>
        <v>3.0000000000418368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2.2000000000000002</v>
      </c>
      <c r="H64" s="426">
        <f t="shared" si="24"/>
        <v>2.200000000012551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2.7</v>
      </c>
      <c r="S64" s="426">
        <f t="shared" si="29"/>
        <v>2.7000000000189175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2.1</v>
      </c>
      <c r="H65" s="426">
        <f t="shared" si="24"/>
        <v>2.1000000000121872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2.2999999999999998</v>
      </c>
      <c r="S65" s="426">
        <f t="shared" si="29"/>
        <v>2.3000000000465661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2.6</v>
      </c>
      <c r="H66" s="426">
        <f t="shared" si="24"/>
        <v>2.6000000000176442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2.8</v>
      </c>
      <c r="S66" s="426">
        <f t="shared" si="29"/>
        <v>2.8000000000502041</v>
      </c>
    </row>
    <row r="67" spans="1:19" x14ac:dyDescent="0.2">
      <c r="A67" s="425"/>
      <c r="B67" s="427">
        <f t="array" ref="B67:H71">LINEST(G61:G66,B61:F66,TRUE,TRUE)</f>
        <v>2985.8268091320265</v>
      </c>
      <c r="C67" s="427">
        <v>-14433.18729088162</v>
      </c>
      <c r="D67" s="427">
        <v>27728.951073892858</v>
      </c>
      <c r="E67" s="427">
        <v>-26449.585437900212</v>
      </c>
      <c r="F67" s="427">
        <v>12515.226649026126</v>
      </c>
      <c r="G67" s="427">
        <v>-2344.9318032691708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12457.085397229441</v>
      </c>
      <c r="N67" s="427">
        <v>-63365.424113165922</v>
      </c>
      <c r="O67" s="427">
        <v>128426.65516446682</v>
      </c>
      <c r="P67" s="427">
        <v>-129595.07490161849</v>
      </c>
      <c r="Q67" s="427">
        <v>65080.089932353498</v>
      </c>
      <c r="R67" s="427">
        <v>-13000.331479265305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0.9399999999999995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5.375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3</v>
      </c>
      <c r="H77" s="426">
        <f t="shared" ref="H77:H82" si="34">$G$83+$F$83*B77+$E$83*C77+$D$83*D77+$C$83*E77+$B$83*F77</f>
        <v>2.9999999999924967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3.8</v>
      </c>
      <c r="S77" s="426">
        <f t="shared" ref="S77:S82" si="39">$R$83+$Q$83*M77+$P$83*N77+$O$83*O77+$N$83*P77+$M$83*Q77</f>
        <v>3.8000000000113232</v>
      </c>
    </row>
    <row r="78" spans="1:19" x14ac:dyDescent="0.2">
      <c r="A78" s="427">
        <v>1500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2.2999999999999998</v>
      </c>
      <c r="H78" s="426">
        <f t="shared" si="34"/>
        <v>2.3000000000029104</v>
      </c>
      <c r="I78" s="425"/>
      <c r="J78" s="425"/>
      <c r="K78" s="425"/>
      <c r="L78" s="427">
        <v>1500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3</v>
      </c>
      <c r="S78" s="426">
        <f t="shared" si="39"/>
        <v>3.0000000000027285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2.2000000000000002</v>
      </c>
      <c r="H79" s="426">
        <f t="shared" si="34"/>
        <v>2.1999999999979991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2.8</v>
      </c>
      <c r="S79" s="426">
        <f t="shared" si="39"/>
        <v>2.8000000000101863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2</v>
      </c>
      <c r="H80" s="426">
        <f t="shared" si="34"/>
        <v>2.0000000000045475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2.5</v>
      </c>
      <c r="S80" s="426">
        <f t="shared" si="39"/>
        <v>2.500000000007276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2.2000000000000002</v>
      </c>
      <c r="H81" s="426">
        <f t="shared" si="34"/>
        <v>2.1999999999861757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2</v>
      </c>
      <c r="S81" s="426">
        <f t="shared" si="39"/>
        <v>2.0000000000181899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2.5</v>
      </c>
      <c r="H82" s="426">
        <f t="shared" si="34"/>
        <v>2.500000000001819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2.7</v>
      </c>
      <c r="S82" s="426">
        <f t="shared" si="39"/>
        <v>2.7000000000061846</v>
      </c>
    </row>
    <row r="83" spans="1:19" x14ac:dyDescent="0.2">
      <c r="A83" s="425"/>
      <c r="B83" s="436">
        <f t="array" ref="B83:H88">LINEST(G77:G82,B77:F82,TRUE,TRUE)</f>
        <v>-4336.1105122148283</v>
      </c>
      <c r="C83" s="427">
        <v>22299.739039070959</v>
      </c>
      <c r="D83" s="427">
        <v>-45613.293527389782</v>
      </c>
      <c r="E83" s="427">
        <v>46391.534010771953</v>
      </c>
      <c r="F83" s="427">
        <v>-23464.885558034523</v>
      </c>
      <c r="G83" s="427">
        <v>4725.216547796218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5864.9955704360655</v>
      </c>
      <c r="N83" s="427">
        <v>-28392.037154517562</v>
      </c>
      <c r="O83" s="427">
        <v>54655.737204951525</v>
      </c>
      <c r="P83" s="427">
        <v>-52291.012020016315</v>
      </c>
      <c r="Q83" s="427">
        <v>24856.347426505588</v>
      </c>
      <c r="R83" s="427">
        <v>-4691.2310273592939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0.61333333333333317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1.7799999999999996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38"/>
      <c r="N89" s="438"/>
      <c r="O89" s="438"/>
      <c r="P89" s="438"/>
      <c r="Q89" s="438"/>
      <c r="R89" s="444"/>
      <c r="S89" s="402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3.0507203238194052</v>
      </c>
      <c r="F91" s="57">
        <f>$E$95+$D$95*B91+$C$95*C91+$B$95*D91</f>
        <v>3.0507203238194052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2.8107831370498388</v>
      </c>
      <c r="F92" s="57">
        <f>$E$95+$D$95*B92+$C$95*C92+$B$95*D92</f>
        <v>2.8107831370498393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2.3050876199026789</v>
      </c>
      <c r="F93" s="57">
        <f>$E$95+$D$95*B93+$C$95*C93+$B$95*D93</f>
        <v>2.305087619902678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2.2236797533987556</v>
      </c>
      <c r="F94" s="57">
        <f>$E$95+$D$95*B94+$C$95*C94+$B$95*D94</f>
        <v>2.2236797533987573</v>
      </c>
    </row>
    <row r="95" spans="1:19" x14ac:dyDescent="0.2">
      <c r="B95">
        <f t="array" ref="B95:E100">LINEST(E91:E94,B91:D94,TRUE,TRUE)</f>
        <v>9.2006130802778016E-4</v>
      </c>
      <c r="C95" s="18">
        <v>-3.291700584838532E-2</v>
      </c>
      <c r="D95">
        <v>0.28475692146700521</v>
      </c>
      <c r="E95">
        <v>2.3348531991905395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0.47614491693819522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4.4000000000000004</v>
      </c>
      <c r="H109" s="426">
        <f t="shared" ref="H109:H114" si="44">$G$115+$F$115*B109+$E$115*C109+$D$115*D109+$C$115*E109+$B$115*F109</f>
        <v>4.4000000000006452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7</v>
      </c>
      <c r="S109" s="426">
        <f t="shared" ref="S109:S114" si="49">$R$115+$Q$115*M109+$P$115*N109+$O$115*O109+$N$115*P109+$M$115*Q109</f>
        <v>6.9999999999899956</v>
      </c>
    </row>
    <row r="110" spans="1:19" x14ac:dyDescent="0.2">
      <c r="A110" s="427">
        <v>1500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3.2</v>
      </c>
      <c r="H110" s="426">
        <f t="shared" si="44"/>
        <v>3.200000000000415</v>
      </c>
      <c r="I110" s="425"/>
      <c r="J110" s="425"/>
      <c r="K110" s="425"/>
      <c r="L110" s="427">
        <v>1500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6.4</v>
      </c>
      <c r="S110" s="426">
        <f t="shared" si="49"/>
        <v>6.3999999999959982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3</v>
      </c>
      <c r="H111" s="426">
        <f t="shared" si="44"/>
        <v>3.0000000000003411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5.7</v>
      </c>
      <c r="S111" s="426">
        <f t="shared" si="49"/>
        <v>5.6999999999952706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3</v>
      </c>
      <c r="H112" s="426">
        <f t="shared" si="44"/>
        <v>3.0000000000006253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5</v>
      </c>
      <c r="S112" s="426">
        <f t="shared" si="49"/>
        <v>4.9999999999954525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2.8</v>
      </c>
      <c r="H113" s="426">
        <f t="shared" si="44"/>
        <v>2.8000000000002956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4.2</v>
      </c>
      <c r="S113" s="426">
        <f t="shared" si="49"/>
        <v>4.1999999999807187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2.5</v>
      </c>
      <c r="H114" s="426">
        <f t="shared" si="44"/>
        <v>2.5000000000006821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3.2</v>
      </c>
      <c r="S114" s="426">
        <f t="shared" si="49"/>
        <v>3.1999999999916326</v>
      </c>
    </row>
    <row r="115" spans="1:19" x14ac:dyDescent="0.2">
      <c r="A115" s="425"/>
      <c r="B115" s="427">
        <f t="array" ref="B115:H119">LINEST(G109:G114,B109:F114,TRUE,TRUE)</f>
        <v>321.17120350262178</v>
      </c>
      <c r="C115" s="427">
        <v>-1500.486006259933</v>
      </c>
      <c r="D115" s="427">
        <v>2655.5437642968959</v>
      </c>
      <c r="E115" s="427">
        <v>-2168.3920908074351</v>
      </c>
      <c r="F115" s="427">
        <v>766.36455135386416</v>
      </c>
      <c r="G115" s="427">
        <v>-71.201422086013281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-4632.1434553024064</v>
      </c>
      <c r="N115" s="427">
        <v>23125.657782615544</v>
      </c>
      <c r="O115" s="427">
        <v>-45986.428687393935</v>
      </c>
      <c r="P115" s="427">
        <v>45513.17629926838</v>
      </c>
      <c r="Q115" s="427">
        <v>-22418.859676378372</v>
      </c>
      <c r="R115" s="427">
        <v>4404.2977371907828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2.1550000000000011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9.9550000000000018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4.3</v>
      </c>
      <c r="H125" s="426">
        <f t="shared" ref="H125:H130" si="54">$G$131+$F$131*B125+$E$131*C125+$D$131*D125+$C$131*E125+$B$131*F125</f>
        <v>4.3000000000001819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4.8</v>
      </c>
      <c r="S125" s="426">
        <f t="shared" ref="S125:S130" si="59">$R$131+$Q$131*M125+$P$131*N125+$O$131*O125+$N$131*P125+$M$131*Q125</f>
        <v>4.7999999999826741</v>
      </c>
    </row>
    <row r="126" spans="1:19" x14ac:dyDescent="0.2">
      <c r="A126" s="427">
        <v>1500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3.1</v>
      </c>
      <c r="H126" s="426">
        <f t="shared" si="54"/>
        <v>3.0999999999997101</v>
      </c>
      <c r="I126" s="425"/>
      <c r="J126" s="425"/>
      <c r="K126" s="425"/>
      <c r="L126" s="427">
        <v>1500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4.5</v>
      </c>
      <c r="S126" s="426">
        <f t="shared" si="59"/>
        <v>4.4999999999936335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2.9</v>
      </c>
      <c r="H127" s="426">
        <f t="shared" si="54"/>
        <v>2.9000000000000909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4.2</v>
      </c>
      <c r="S127" s="426">
        <f t="shared" si="59"/>
        <v>4.1999999999834472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2.9</v>
      </c>
      <c r="H128" s="426">
        <f t="shared" si="54"/>
        <v>2.8999999999995225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3.8</v>
      </c>
      <c r="S128" s="426">
        <f t="shared" si="59"/>
        <v>3.7999999999810825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2.7</v>
      </c>
      <c r="H129" s="426">
        <f t="shared" si="54"/>
        <v>2.7000000000005002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3.5</v>
      </c>
      <c r="S129" s="426">
        <f t="shared" si="59"/>
        <v>3.4999999999854481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2.4</v>
      </c>
      <c r="H130" s="426">
        <f t="shared" si="54"/>
        <v>2.3999999999996362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2.8</v>
      </c>
      <c r="S130" s="426">
        <f t="shared" si="59"/>
        <v>2.7999999999938154</v>
      </c>
    </row>
    <row r="131" spans="1:19" x14ac:dyDescent="0.2">
      <c r="A131" s="425"/>
      <c r="B131" s="436">
        <f t="array" ref="B131:H136">LINEST(G125:G130,B125:F130,TRUE,TRUE)</f>
        <v>321.17120350261348</v>
      </c>
      <c r="C131" s="427">
        <v>-1500.4860062598896</v>
      </c>
      <c r="D131" s="427">
        <v>2655.54376429681</v>
      </c>
      <c r="E131" s="427">
        <v>-2168.392090807351</v>
      </c>
      <c r="F131" s="427">
        <v>766.36455135382278</v>
      </c>
      <c r="G131" s="427">
        <v>-71.301422086005573</v>
      </c>
      <c r="H131" s="425" t="e">
        <v>#N/A</v>
      </c>
      <c r="I131" s="425"/>
      <c r="J131" s="425"/>
      <c r="K131" s="425"/>
      <c r="L131" s="425"/>
      <c r="M131" s="436">
        <f t="array" ref="M131:R135">LINEST(R125:R130,M125:Q130,TRUE,TRUE)</f>
        <v>-6052.3354636143695</v>
      </c>
      <c r="N131" s="427">
        <v>30278.579805544941</v>
      </c>
      <c r="O131" s="427">
        <v>-60319.990897438671</v>
      </c>
      <c r="P131" s="427">
        <v>59801.17239569105</v>
      </c>
      <c r="Q131" s="427">
        <v>-29501.169213976103</v>
      </c>
      <c r="R131" s="427">
        <v>5797.9433737931395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2.1549999999999998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2.6333333333333337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5.7722602477224427</v>
      </c>
      <c r="F139" s="57">
        <f>$E$143+$D$143*B139+$C$143*C139+$B$143*D139</f>
        <v>5.772260247722441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4.244840161938555</v>
      </c>
      <c r="F140" s="57">
        <f>$E$143+$D$143*B140+$C$143*C140+$B$143*D140</f>
        <v>4.2448401619385541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2.9995250810065386</v>
      </c>
      <c r="F141" s="57">
        <f>$E$143+$D$143*B141+$C$143*C141+$B$143*D141</f>
        <v>2.9995250810065377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2.8995250810058906</v>
      </c>
      <c r="F142" s="57">
        <f>$E$143+$D$143*B142+$C$143*C142+$B$143*D142</f>
        <v>2.8995250810058897</v>
      </c>
    </row>
    <row r="143" spans="1:19" x14ac:dyDescent="0.2">
      <c r="B143">
        <f t="array" ref="B143:E148">LINEST(E139:E142,B139:D142,TRUE,TRUE)</f>
        <v>1.1509467681059989E-3</v>
      </c>
      <c r="C143" s="18">
        <v>-2.8886302946142559E-2</v>
      </c>
      <c r="D143">
        <v>-7.3605157383188805E-2</v>
      </c>
      <c r="E143">
        <v>6.7185752622786996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5.4110905197677033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2.9012701627521036</v>
      </c>
      <c r="E154" s="57">
        <f>$D$157+$C$157*B154+$B$157*C154</f>
        <v>2.9012701627521031</v>
      </c>
      <c r="H154" s="440" t="s">
        <v>607</v>
      </c>
      <c r="I154" s="440"/>
      <c r="J154" s="440"/>
      <c r="K154" s="117"/>
      <c r="L154" s="440" t="s">
        <v>616</v>
      </c>
      <c r="N154" s="411" t="s">
        <v>8</v>
      </c>
      <c r="O154" s="18">
        <f>C4</f>
        <v>37.57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3.4131760739795145</v>
      </c>
      <c r="E155" s="57">
        <f>$D$157+$C$157*B155+$B$157*C155</f>
        <v>3.4131760739795123</v>
      </c>
      <c r="H155" s="441">
        <f>$D$157+$C$157*C7+$B$157*C7^2</f>
        <v>3.1675086091472897</v>
      </c>
      <c r="I155" s="442"/>
      <c r="J155" s="442"/>
      <c r="K155" s="442"/>
      <c r="N155" s="411" t="s">
        <v>6</v>
      </c>
      <c r="O155" s="18">
        <f>C5</f>
        <v>37.85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4.5522399357610128</v>
      </c>
      <c r="E156" s="57">
        <f>$D$157+$C$157*B156+$B$157*C156</f>
        <v>4.5522399357610128</v>
      </c>
      <c r="N156" s="411" t="s">
        <v>9</v>
      </c>
      <c r="O156" s="18">
        <f>C6</f>
        <v>9.01</v>
      </c>
    </row>
    <row r="157" spans="1:17" ht="15.75" x14ac:dyDescent="0.25">
      <c r="B157">
        <f t="array" ref="B157:D160">LINEST(D154:D156,B154:C156,TRUE,TRUE)</f>
        <v>3.0655853803753678E-2</v>
      </c>
      <c r="C157">
        <v>-0.4480200987741827</v>
      </c>
      <c r="D157">
        <v>4.3749743115291748</v>
      </c>
      <c r="N157" s="411" t="s">
        <v>7</v>
      </c>
      <c r="O157" s="18">
        <f>C7</f>
        <v>11.05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0.99260237780713334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96"/>
  <sheetViews>
    <sheetView topLeftCell="A10" zoomScale="75" zoomScaleNormal="75" zoomScaleSheetLayoutView="75" workbookViewId="0">
      <selection activeCell="B55" sqref="B55"/>
    </sheetView>
  </sheetViews>
  <sheetFormatPr defaultRowHeight="12.75" x14ac:dyDescent="0.2"/>
  <cols>
    <col min="1" max="1" width="27.85546875" customWidth="1"/>
    <col min="2" max="2" width="7.28515625" customWidth="1"/>
    <col min="3" max="3" width="6.85546875" customWidth="1"/>
    <col min="4" max="4" width="7.42578125" customWidth="1"/>
    <col min="5" max="5" width="7.28515625" customWidth="1"/>
    <col min="6" max="6" width="7.7109375" customWidth="1"/>
    <col min="7" max="7" width="7.5703125" customWidth="1"/>
    <col min="8" max="8" width="7.42578125" customWidth="1"/>
    <col min="9" max="9" width="7" customWidth="1"/>
    <col min="10" max="10" width="6.7109375" customWidth="1"/>
    <col min="11" max="11" width="6.5703125" customWidth="1"/>
    <col min="12" max="12" width="6.140625" customWidth="1"/>
    <col min="13" max="13" width="6.85546875" customWidth="1"/>
    <col min="14" max="14" width="6.28515625" customWidth="1"/>
    <col min="15" max="15" width="6.5703125" customWidth="1"/>
    <col min="16" max="16" width="6" customWidth="1"/>
    <col min="17" max="17" width="6.140625" customWidth="1"/>
    <col min="18" max="18" width="6" customWidth="1"/>
  </cols>
  <sheetData>
    <row r="1" spans="1:18" ht="15.75" x14ac:dyDescent="0.25">
      <c r="D1" s="396"/>
      <c r="E1" s="399"/>
      <c r="F1" s="399"/>
    </row>
    <row r="3" spans="1:18" ht="15.75" x14ac:dyDescent="0.25">
      <c r="B3" s="400" t="s">
        <v>581</v>
      </c>
      <c r="C3" s="399"/>
      <c r="D3" s="399"/>
      <c r="E3" s="399"/>
      <c r="F3" s="399"/>
      <c r="G3" s="399"/>
      <c r="H3" s="399"/>
      <c r="K3" s="401"/>
      <c r="L3" s="402"/>
    </row>
    <row r="4" spans="1:18" ht="15.75" x14ac:dyDescent="0.25">
      <c r="B4" s="400" t="s">
        <v>582</v>
      </c>
      <c r="C4" s="400"/>
      <c r="D4" s="400"/>
      <c r="E4" s="400"/>
      <c r="F4" s="400"/>
      <c r="G4" s="400"/>
      <c r="H4" s="399"/>
    </row>
    <row r="5" spans="1:18" x14ac:dyDescent="0.2">
      <c r="A5" s="13" t="s">
        <v>580</v>
      </c>
      <c r="B5" s="42">
        <v>100</v>
      </c>
      <c r="C5" s="42">
        <v>100</v>
      </c>
      <c r="D5" s="42">
        <v>100</v>
      </c>
      <c r="E5" s="42">
        <v>100</v>
      </c>
      <c r="F5" s="42">
        <v>100</v>
      </c>
      <c r="G5" s="42">
        <v>100</v>
      </c>
      <c r="H5" s="42">
        <v>100</v>
      </c>
      <c r="I5" s="42">
        <v>100</v>
      </c>
      <c r="J5" s="42">
        <v>100</v>
      </c>
      <c r="K5" s="42">
        <v>100</v>
      </c>
      <c r="L5" s="42">
        <v>100</v>
      </c>
      <c r="M5" s="42">
        <v>100</v>
      </c>
      <c r="N5" s="42">
        <v>100</v>
      </c>
      <c r="O5" s="42">
        <v>100</v>
      </c>
      <c r="P5" s="42">
        <v>100</v>
      </c>
      <c r="Q5" s="42">
        <v>100</v>
      </c>
      <c r="R5" s="42">
        <v>100</v>
      </c>
    </row>
    <row r="6" spans="1:18" x14ac:dyDescent="0.2">
      <c r="A6" s="13" t="s">
        <v>75</v>
      </c>
      <c r="B6" s="42">
        <v>1</v>
      </c>
      <c r="C6" s="42">
        <v>0.8</v>
      </c>
      <c r="D6" s="42">
        <v>0.8</v>
      </c>
      <c r="E6" s="42">
        <v>0.8</v>
      </c>
      <c r="F6" s="42">
        <v>0.8</v>
      </c>
      <c r="G6" s="42">
        <v>0.8</v>
      </c>
      <c r="H6" s="42">
        <v>0.8</v>
      </c>
      <c r="I6" s="42">
        <v>0.8</v>
      </c>
      <c r="J6" s="42">
        <v>0.8</v>
      </c>
      <c r="K6" s="42">
        <v>0.8</v>
      </c>
      <c r="L6" s="42">
        <v>0.8</v>
      </c>
      <c r="M6" s="42">
        <v>0.8</v>
      </c>
      <c r="N6" s="42">
        <v>0.8</v>
      </c>
      <c r="O6" s="42">
        <v>0.8</v>
      </c>
      <c r="P6" s="42">
        <v>0.8</v>
      </c>
      <c r="Q6" s="42">
        <v>0.8</v>
      </c>
      <c r="R6" s="42">
        <v>0.8</v>
      </c>
    </row>
    <row r="9" spans="1:18" x14ac:dyDescent="0.2">
      <c r="A9" s="43"/>
      <c r="B9" s="331" t="s">
        <v>579</v>
      </c>
      <c r="C9" s="49"/>
      <c r="D9" s="49"/>
      <c r="E9" s="49"/>
      <c r="F9" s="49"/>
      <c r="G9" s="49"/>
      <c r="H9" s="49"/>
    </row>
    <row r="10" spans="1:18" x14ac:dyDescent="0.2">
      <c r="A10" s="335" t="s">
        <v>9</v>
      </c>
      <c r="B10" s="403">
        <f t="shared" ref="B10:R10" si="0">B14</f>
        <v>10</v>
      </c>
      <c r="C10" s="403">
        <f t="shared" si="0"/>
        <v>5</v>
      </c>
      <c r="D10" s="403">
        <f t="shared" si="0"/>
        <v>6</v>
      </c>
      <c r="E10" s="403">
        <f t="shared" si="0"/>
        <v>7</v>
      </c>
      <c r="F10" s="403">
        <f t="shared" si="0"/>
        <v>8</v>
      </c>
      <c r="G10" s="403">
        <f t="shared" si="0"/>
        <v>9</v>
      </c>
      <c r="H10" s="403">
        <f t="shared" si="0"/>
        <v>10</v>
      </c>
      <c r="I10" s="403">
        <f t="shared" si="0"/>
        <v>11</v>
      </c>
      <c r="J10" s="403">
        <f t="shared" si="0"/>
        <v>12</v>
      </c>
      <c r="K10" s="403">
        <f t="shared" si="0"/>
        <v>13</v>
      </c>
      <c r="L10" s="403">
        <f t="shared" si="0"/>
        <v>14</v>
      </c>
      <c r="M10" s="403">
        <f t="shared" si="0"/>
        <v>15</v>
      </c>
      <c r="N10" s="403">
        <f t="shared" si="0"/>
        <v>16</v>
      </c>
      <c r="O10" s="403">
        <f t="shared" si="0"/>
        <v>17</v>
      </c>
      <c r="P10" s="403">
        <f t="shared" si="0"/>
        <v>18</v>
      </c>
      <c r="Q10" s="403">
        <f t="shared" si="0"/>
        <v>19</v>
      </c>
      <c r="R10" s="403">
        <f t="shared" si="0"/>
        <v>20</v>
      </c>
    </row>
    <row r="11" spans="1:18" x14ac:dyDescent="0.2">
      <c r="A11" s="4" t="s">
        <v>8</v>
      </c>
      <c r="B11" s="17">
        <f t="shared" ref="B11:R11" si="1">B5-B12-B13-B14-B15</f>
        <v>38.426500000000004</v>
      </c>
      <c r="C11" s="17">
        <f t="shared" si="1"/>
        <v>36.379111111111115</v>
      </c>
      <c r="D11" s="17">
        <f t="shared" si="1"/>
        <v>35.934666666666672</v>
      </c>
      <c r="E11" s="17">
        <f t="shared" si="1"/>
        <v>35.490222222222229</v>
      </c>
      <c r="F11" s="17">
        <f t="shared" si="1"/>
        <v>35.045777777777786</v>
      </c>
      <c r="G11" s="17">
        <f t="shared" si="1"/>
        <v>34.601333333333336</v>
      </c>
      <c r="H11" s="17">
        <f t="shared" si="1"/>
        <v>34.156888888888894</v>
      </c>
      <c r="I11" s="17">
        <f t="shared" si="1"/>
        <v>33.712444444444451</v>
      </c>
      <c r="J11" s="17">
        <f t="shared" si="1"/>
        <v>33.268000000000008</v>
      </c>
      <c r="K11" s="17">
        <f t="shared" si="1"/>
        <v>32.823555555555558</v>
      </c>
      <c r="L11" s="17">
        <f t="shared" si="1"/>
        <v>32.379111111111115</v>
      </c>
      <c r="M11" s="17">
        <f t="shared" si="1"/>
        <v>31.934666666666672</v>
      </c>
      <c r="N11" s="17">
        <f t="shared" si="1"/>
        <v>31.490222222222229</v>
      </c>
      <c r="O11" s="17">
        <f t="shared" si="1"/>
        <v>31.045777777777786</v>
      </c>
      <c r="P11" s="17">
        <f t="shared" si="1"/>
        <v>30.601333333333336</v>
      </c>
      <c r="Q11" s="17">
        <f t="shared" si="1"/>
        <v>30.156888888888894</v>
      </c>
      <c r="R11" s="17">
        <f t="shared" si="1"/>
        <v>29.712444444444451</v>
      </c>
    </row>
    <row r="12" spans="1:18" x14ac:dyDescent="0.2">
      <c r="A12" s="4" t="s">
        <v>6</v>
      </c>
      <c r="B12" s="17">
        <f t="shared" ref="B12:R12" si="2">(B5-B13-B14-B15)/(1+B6)</f>
        <v>38.426499999999997</v>
      </c>
      <c r="C12" s="17">
        <f t="shared" si="2"/>
        <v>45.473888888888887</v>
      </c>
      <c r="D12" s="17">
        <f t="shared" si="2"/>
        <v>44.918333333333329</v>
      </c>
      <c r="E12" s="17">
        <f t="shared" si="2"/>
        <v>44.362777777777772</v>
      </c>
      <c r="F12" s="17">
        <f t="shared" si="2"/>
        <v>43.807222222222215</v>
      </c>
      <c r="G12" s="17">
        <f t="shared" si="2"/>
        <v>43.251666666666665</v>
      </c>
      <c r="H12" s="17">
        <f t="shared" si="2"/>
        <v>42.696111111111108</v>
      </c>
      <c r="I12" s="17">
        <f t="shared" si="2"/>
        <v>42.140555555555551</v>
      </c>
      <c r="J12" s="17">
        <f t="shared" si="2"/>
        <v>41.584999999999994</v>
      </c>
      <c r="K12" s="17">
        <f t="shared" si="2"/>
        <v>41.029444444444444</v>
      </c>
      <c r="L12" s="17">
        <f t="shared" si="2"/>
        <v>40.473888888888887</v>
      </c>
      <c r="M12" s="17">
        <f t="shared" si="2"/>
        <v>39.918333333333329</v>
      </c>
      <c r="N12" s="17">
        <f t="shared" si="2"/>
        <v>39.362777777777772</v>
      </c>
      <c r="O12" s="17">
        <f t="shared" si="2"/>
        <v>38.807222222222215</v>
      </c>
      <c r="P12" s="17">
        <f t="shared" si="2"/>
        <v>38.251666666666665</v>
      </c>
      <c r="Q12" s="17">
        <f t="shared" si="2"/>
        <v>37.696111111111108</v>
      </c>
      <c r="R12" s="17">
        <f t="shared" si="2"/>
        <v>37.140555555555551</v>
      </c>
    </row>
    <row r="13" spans="1:18" x14ac:dyDescent="0.2">
      <c r="A13" s="4" t="s">
        <v>7</v>
      </c>
      <c r="B13" s="404">
        <v>12</v>
      </c>
      <c r="C13" s="404">
        <v>12</v>
      </c>
      <c r="D13" s="404">
        <v>12</v>
      </c>
      <c r="E13" s="404">
        <v>12</v>
      </c>
      <c r="F13" s="404">
        <v>12</v>
      </c>
      <c r="G13" s="404">
        <v>12</v>
      </c>
      <c r="H13" s="404">
        <v>12</v>
      </c>
      <c r="I13" s="404">
        <v>12</v>
      </c>
      <c r="J13" s="404">
        <v>12</v>
      </c>
      <c r="K13" s="404">
        <v>12</v>
      </c>
      <c r="L13" s="404">
        <v>12</v>
      </c>
      <c r="M13" s="404">
        <v>12</v>
      </c>
      <c r="N13" s="404">
        <v>12</v>
      </c>
      <c r="O13" s="404">
        <v>12</v>
      </c>
      <c r="P13" s="404">
        <v>12</v>
      </c>
      <c r="Q13" s="404">
        <v>12</v>
      </c>
      <c r="R13" s="404">
        <v>12</v>
      </c>
    </row>
    <row r="14" spans="1:18" x14ac:dyDescent="0.2">
      <c r="A14" s="4" t="s">
        <v>9</v>
      </c>
      <c r="B14" s="405">
        <v>10</v>
      </c>
      <c r="C14" s="405">
        <v>5</v>
      </c>
      <c r="D14" s="405">
        <v>6</v>
      </c>
      <c r="E14" s="405">
        <v>7</v>
      </c>
      <c r="F14" s="405">
        <v>8</v>
      </c>
      <c r="G14" s="406">
        <v>9</v>
      </c>
      <c r="H14" s="405">
        <v>10</v>
      </c>
      <c r="I14" s="405">
        <v>11</v>
      </c>
      <c r="J14" s="405">
        <v>12</v>
      </c>
      <c r="K14" s="405">
        <v>13</v>
      </c>
      <c r="L14" s="405">
        <v>14</v>
      </c>
      <c r="M14" s="405">
        <v>15</v>
      </c>
      <c r="N14" s="405">
        <v>16</v>
      </c>
      <c r="O14" s="405">
        <v>17</v>
      </c>
      <c r="P14" s="405">
        <v>18</v>
      </c>
      <c r="Q14" s="405">
        <v>19</v>
      </c>
      <c r="R14" s="405">
        <v>20</v>
      </c>
    </row>
    <row r="15" spans="1:18" x14ac:dyDescent="0.2">
      <c r="A15" s="4" t="s">
        <v>16</v>
      </c>
      <c r="B15" s="407">
        <v>1.147</v>
      </c>
      <c r="C15" s="407">
        <v>1.147</v>
      </c>
      <c r="D15" s="407">
        <v>1.147</v>
      </c>
      <c r="E15" s="407">
        <v>1.147</v>
      </c>
      <c r="F15" s="407">
        <v>1.147</v>
      </c>
      <c r="G15" s="407">
        <v>1.147</v>
      </c>
      <c r="H15" s="407">
        <v>1.147</v>
      </c>
      <c r="I15" s="407">
        <v>1.147</v>
      </c>
      <c r="J15" s="407">
        <v>1.147</v>
      </c>
      <c r="K15" s="407">
        <v>1.147</v>
      </c>
      <c r="L15" s="407">
        <v>1.147</v>
      </c>
      <c r="M15" s="407">
        <v>1.147</v>
      </c>
      <c r="N15" s="407">
        <v>1.147</v>
      </c>
      <c r="O15" s="407">
        <v>1.147</v>
      </c>
      <c r="P15" s="407">
        <v>1.147</v>
      </c>
      <c r="Q15" s="407">
        <v>1.147</v>
      </c>
      <c r="R15" s="407">
        <v>1.147</v>
      </c>
    </row>
    <row r="16" spans="1:18" x14ac:dyDescent="0.2">
      <c r="A16" s="4" t="s">
        <v>75</v>
      </c>
      <c r="B16" s="407">
        <f t="shared" ref="B16:R16" si="3">B11/B12</f>
        <v>1.0000000000000002</v>
      </c>
      <c r="C16" s="407">
        <f t="shared" si="3"/>
        <v>0.80000000000000016</v>
      </c>
      <c r="D16" s="407">
        <f t="shared" si="3"/>
        <v>0.80000000000000016</v>
      </c>
      <c r="E16" s="407">
        <f t="shared" si="3"/>
        <v>0.80000000000000027</v>
      </c>
      <c r="F16" s="407">
        <f t="shared" si="3"/>
        <v>0.80000000000000038</v>
      </c>
      <c r="G16" s="407">
        <f t="shared" si="3"/>
        <v>0.8</v>
      </c>
      <c r="H16" s="407">
        <f t="shared" si="3"/>
        <v>0.80000000000000016</v>
      </c>
      <c r="I16" s="407">
        <f t="shared" si="3"/>
        <v>0.80000000000000027</v>
      </c>
      <c r="J16" s="407">
        <f t="shared" si="3"/>
        <v>0.80000000000000027</v>
      </c>
      <c r="K16" s="407">
        <f t="shared" si="3"/>
        <v>0.8</v>
      </c>
      <c r="L16" s="407">
        <f t="shared" si="3"/>
        <v>0.80000000000000016</v>
      </c>
      <c r="M16" s="407">
        <f t="shared" si="3"/>
        <v>0.80000000000000027</v>
      </c>
      <c r="N16" s="407">
        <f t="shared" si="3"/>
        <v>0.80000000000000027</v>
      </c>
      <c r="O16" s="407">
        <f t="shared" si="3"/>
        <v>0.80000000000000038</v>
      </c>
      <c r="P16" s="407">
        <f t="shared" si="3"/>
        <v>0.80000000000000016</v>
      </c>
      <c r="Q16" s="407">
        <f t="shared" si="3"/>
        <v>0.80000000000000016</v>
      </c>
      <c r="R16" s="407">
        <f t="shared" si="3"/>
        <v>0.80000000000000027</v>
      </c>
    </row>
    <row r="17" spans="1:19" x14ac:dyDescent="0.2">
      <c r="A17" s="4" t="s">
        <v>62</v>
      </c>
      <c r="B17" s="17">
        <f t="shared" ref="B17:R17" si="4">(B11+B14)/(B12)</f>
        <v>1.2602370759762145</v>
      </c>
      <c r="C17" s="17">
        <f t="shared" si="4"/>
        <v>0.90995320880114361</v>
      </c>
      <c r="D17" s="17">
        <f t="shared" si="4"/>
        <v>0.93357574858075787</v>
      </c>
      <c r="E17" s="17">
        <f t="shared" si="4"/>
        <v>0.95778993901293652</v>
      </c>
      <c r="F17" s="17">
        <f t="shared" si="4"/>
        <v>0.98261828972898979</v>
      </c>
      <c r="G17" s="17">
        <f t="shared" si="4"/>
        <v>1.0080844668798892</v>
      </c>
      <c r="H17" s="17">
        <f t="shared" si="4"/>
        <v>1.034213368378593</v>
      </c>
      <c r="I17" s="17">
        <f t="shared" si="4"/>
        <v>1.0610312050940638</v>
      </c>
      <c r="J17" s="17">
        <f t="shared" si="4"/>
        <v>1.0885655885535654</v>
      </c>
      <c r="K17" s="17">
        <f t="shared" si="4"/>
        <v>1.1168456257701109</v>
      </c>
      <c r="L17" s="17">
        <f t="shared" si="4"/>
        <v>1.1459020218796756</v>
      </c>
      <c r="M17" s="17">
        <f t="shared" si="4"/>
        <v>1.1757671913490044</v>
      </c>
      <c r="N17" s="17">
        <f t="shared" si="4"/>
        <v>1.2064753786007654</v>
      </c>
      <c r="O17" s="17">
        <f t="shared" si="4"/>
        <v>1.2380627889997571</v>
      </c>
      <c r="P17" s="17">
        <f t="shared" si="4"/>
        <v>1.2705677312535404</v>
      </c>
      <c r="Q17" s="17">
        <f t="shared" si="4"/>
        <v>1.3040307724050524</v>
      </c>
      <c r="R17" s="17">
        <f t="shared" si="4"/>
        <v>1.3384949067356742</v>
      </c>
    </row>
    <row r="18" spans="1:19" x14ac:dyDescent="0.2">
      <c r="A18" s="4" t="s">
        <v>65</v>
      </c>
      <c r="B18" s="17">
        <f t="shared" ref="B18:R18" si="5">(B11+B14)/(B12+B13)</f>
        <v>0.96033831418004434</v>
      </c>
      <c r="C18" s="17">
        <f t="shared" si="5"/>
        <v>0.71996365499308879</v>
      </c>
      <c r="D18" s="17">
        <f t="shared" si="5"/>
        <v>0.73675148604726082</v>
      </c>
      <c r="E18" s="17">
        <f t="shared" si="5"/>
        <v>0.75387026504884058</v>
      </c>
      <c r="F18" s="17">
        <f t="shared" si="5"/>
        <v>0.77132987566324573</v>
      </c>
      <c r="G18" s="17">
        <f t="shared" si="5"/>
        <v>0.789140599076951</v>
      </c>
      <c r="H18" s="17">
        <f t="shared" si="5"/>
        <v>0.80731313418585526</v>
      </c>
      <c r="I18" s="17">
        <f t="shared" si="5"/>
        <v>0.82585861902660784</v>
      </c>
      <c r="J18" s="17">
        <f t="shared" si="5"/>
        <v>0.84478865354110322</v>
      </c>
      <c r="K18" s="17">
        <f t="shared" si="5"/>
        <v>0.86411532377190869</v>
      </c>
      <c r="L18" s="17">
        <f t="shared" si="5"/>
        <v>0.88385122759467682</v>
      </c>
      <c r="M18" s="17">
        <f t="shared" si="5"/>
        <v>0.9040095021026614</v>
      </c>
      <c r="N18" s="17">
        <f t="shared" si="5"/>
        <v>0.92460385276843393</v>
      </c>
      <c r="O18" s="17">
        <f t="shared" si="5"/>
        <v>0.94564858451882416</v>
      </c>
      <c r="P18" s="17">
        <f t="shared" si="5"/>
        <v>0.96715863487114861</v>
      </c>
      <c r="Q18" s="17">
        <f t="shared" si="5"/>
        <v>0.98914960929203055</v>
      </c>
      <c r="R18" s="17">
        <f t="shared" si="5"/>
        <v>1.0116378189546993</v>
      </c>
    </row>
    <row r="19" spans="1:19" ht="15.75" x14ac:dyDescent="0.25">
      <c r="A19" s="377" t="s">
        <v>563</v>
      </c>
      <c r="B19" s="324"/>
      <c r="C19" s="324"/>
      <c r="D19" s="324"/>
      <c r="E19" s="324"/>
      <c r="F19" s="324"/>
      <c r="G19" s="324"/>
      <c r="H19" s="324"/>
      <c r="I19" s="4"/>
      <c r="J19" s="4"/>
      <c r="K19" s="4"/>
      <c r="L19" s="4"/>
      <c r="M19" s="4"/>
      <c r="N19" s="4"/>
      <c r="O19" s="4"/>
      <c r="P19" s="4"/>
      <c r="Q19" s="4"/>
      <c r="R19" s="4"/>
    </row>
    <row r="20" spans="1:19" x14ac:dyDescent="0.2">
      <c r="A20" s="4" t="s">
        <v>565</v>
      </c>
      <c r="B20" s="156">
        <v>16.589882711111485</v>
      </c>
      <c r="C20" s="156">
        <v>16.022536390276613</v>
      </c>
      <c r="D20" s="156">
        <v>17.240287148012719</v>
      </c>
      <c r="E20" s="156">
        <v>18.786895319225497</v>
      </c>
      <c r="F20" s="156">
        <v>20.69667327791668</v>
      </c>
      <c r="G20" s="156">
        <v>22.967818648813434</v>
      </c>
      <c r="H20" s="156">
        <v>25.52621296984481</v>
      </c>
      <c r="I20" s="156">
        <v>28.189836989805702</v>
      </c>
      <c r="J20" s="156">
        <v>30.66570172537099</v>
      </c>
      <c r="K20" s="156">
        <v>32.614795891477655</v>
      </c>
      <c r="L20" s="156">
        <v>33.777523795268529</v>
      </c>
      <c r="M20" s="156">
        <v>34.084220765404375</v>
      </c>
      <c r="N20" s="156">
        <v>33.669775621921097</v>
      </c>
      <c r="O20" s="156">
        <v>32.793743313897593</v>
      </c>
      <c r="P20" s="156">
        <v>31.739121303442023</v>
      </c>
      <c r="Q20" s="156">
        <v>30.752418115410553</v>
      </c>
      <c r="R20" s="156">
        <v>30.038555718391365</v>
      </c>
    </row>
    <row r="21" spans="1:19" x14ac:dyDescent="0.2">
      <c r="A21" s="4" t="s">
        <v>566</v>
      </c>
      <c r="B21" s="156">
        <v>7.79995264742867</v>
      </c>
      <c r="C21" s="156">
        <v>11.000007965913928</v>
      </c>
      <c r="D21" s="156">
        <v>10.736003058048176</v>
      </c>
      <c r="E21" s="156">
        <v>10.507999684577102</v>
      </c>
      <c r="F21" s="156">
        <v>10.311997679715402</v>
      </c>
      <c r="G21" s="156">
        <v>10.143996877661579</v>
      </c>
      <c r="H21" s="156">
        <v>9.9999971126294547</v>
      </c>
      <c r="I21" s="156">
        <v>9.8759982188030708</v>
      </c>
      <c r="J21" s="156">
        <v>9.7680000304017121</v>
      </c>
      <c r="K21" s="156">
        <v>9.672002381632181</v>
      </c>
      <c r="L21" s="156">
        <v>9.5840051066557397</v>
      </c>
      <c r="M21" s="156">
        <v>9.5000080397422657</v>
      </c>
      <c r="N21" s="156">
        <v>9.4160110150462959</v>
      </c>
      <c r="O21" s="156">
        <v>9.3280138667939489</v>
      </c>
      <c r="P21" s="156">
        <v>9.2320164291582891</v>
      </c>
      <c r="Q21" s="156">
        <v>9.1240185363855133</v>
      </c>
      <c r="R21" s="156">
        <v>9.0000200226205056</v>
      </c>
    </row>
    <row r="22" spans="1:19" x14ac:dyDescent="0.2">
      <c r="A22" s="4" t="s">
        <v>567</v>
      </c>
      <c r="B22" s="156">
        <v>4.4916280467641077</v>
      </c>
      <c r="C22" s="156">
        <v>7.9469456647870524</v>
      </c>
      <c r="D22" s="156">
        <v>7.2336869774267756</v>
      </c>
      <c r="E22" s="156">
        <v>6.5943125929628277</v>
      </c>
      <c r="F22" s="156">
        <v>6.0304607792975924</v>
      </c>
      <c r="G22" s="156">
        <v>5.5442278041323361</v>
      </c>
      <c r="H22" s="156">
        <v>5.137345233701768</v>
      </c>
      <c r="I22" s="156">
        <v>4.8101364747399868</v>
      </c>
      <c r="J22" s="156">
        <v>4.5604465984195253</v>
      </c>
      <c r="K22" s="156">
        <v>4.3828413532019299</v>
      </c>
      <c r="L22" s="156">
        <v>4.2683601946132796</v>
      </c>
      <c r="M22" s="156">
        <v>4.2049335479659948</v>
      </c>
      <c r="N22" s="156">
        <v>4.178307910172081</v>
      </c>
      <c r="O22" s="156">
        <v>4.1731330358203023</v>
      </c>
      <c r="P22" s="156">
        <v>4.1738661021757109</v>
      </c>
      <c r="Q22" s="156">
        <v>4.1652909441699899</v>
      </c>
      <c r="R22" s="156">
        <v>4.1326015861338128</v>
      </c>
    </row>
    <row r="23" spans="1:19" x14ac:dyDescent="0.2">
      <c r="A23" s="4" t="s">
        <v>568</v>
      </c>
      <c r="B23" s="156">
        <v>2.9999586546266439</v>
      </c>
      <c r="C23" s="156">
        <v>5.9999895704876476</v>
      </c>
      <c r="D23" s="156">
        <v>5.2047916949285646</v>
      </c>
      <c r="E23" s="156">
        <v>4.5383935316643758</v>
      </c>
      <c r="F23" s="156">
        <v>3.9895950972199499</v>
      </c>
      <c r="G23" s="156">
        <v>3.5471964081094893</v>
      </c>
      <c r="H23" s="156">
        <v>3.1999974808510618</v>
      </c>
      <c r="I23" s="156">
        <v>2.936798331968832</v>
      </c>
      <c r="J23" s="156">
        <v>2.746398977977687</v>
      </c>
      <c r="K23" s="156">
        <v>2.6175994353976892</v>
      </c>
      <c r="L23" s="156">
        <v>2.5391997207494117</v>
      </c>
      <c r="M23" s="156">
        <v>2.4999998505516094</v>
      </c>
      <c r="N23" s="156">
        <v>2.4887998413230656</v>
      </c>
      <c r="O23" s="156">
        <v>2.4943997095846924</v>
      </c>
      <c r="P23" s="156">
        <v>2.5055994718527184</v>
      </c>
      <c r="Q23" s="156">
        <v>2.5111991446483444</v>
      </c>
      <c r="R23" s="156">
        <v>2.4999987444910077</v>
      </c>
    </row>
    <row r="24" spans="1:19" x14ac:dyDescent="0.2">
      <c r="A24" s="4" t="s">
        <v>569</v>
      </c>
      <c r="B24" s="156">
        <v>2.2331785676508771</v>
      </c>
      <c r="C24" s="156">
        <v>4.7059611049051639</v>
      </c>
      <c r="D24" s="156">
        <v>3.9557432502522438</v>
      </c>
      <c r="E24" s="156">
        <v>3.3633955003757472</v>
      </c>
      <c r="F24" s="156">
        <v>2.9024221501107466</v>
      </c>
      <c r="G24" s="156">
        <v>2.5497828669844962</v>
      </c>
      <c r="H24" s="156">
        <v>2.2857538871868606</v>
      </c>
      <c r="I24" s="156">
        <v>2.0936436630787529</v>
      </c>
      <c r="J24" s="156">
        <v>1.9594153513644701</v>
      </c>
      <c r="K24" s="156">
        <v>1.8712561677460928</v>
      </c>
      <c r="L24" s="156">
        <v>1.8191137559286319</v>
      </c>
      <c r="M24" s="156">
        <v>1.7942130220051582</v>
      </c>
      <c r="N24" s="156">
        <v>1.7885816409165312</v>
      </c>
      <c r="O24" s="156">
        <v>1.7946313014206403</v>
      </c>
      <c r="P24" s="156">
        <v>1.8048427417700057</v>
      </c>
      <c r="Q24" s="156">
        <v>1.8115853806244944</v>
      </c>
      <c r="R24" s="156">
        <v>1.8070838287365478</v>
      </c>
    </row>
    <row r="25" spans="1:19" x14ac:dyDescent="0.2">
      <c r="A25" s="4" t="s">
        <v>570</v>
      </c>
      <c r="B25" s="408">
        <v>1328.2234251243763</v>
      </c>
      <c r="C25" s="408">
        <v>1298.9547105728179</v>
      </c>
      <c r="D25" s="408">
        <v>1316.2866660244179</v>
      </c>
      <c r="E25" s="408">
        <v>1328.9468940070408</v>
      </c>
      <c r="F25" s="408">
        <v>1338.4259111911549</v>
      </c>
      <c r="G25" s="408">
        <v>1345.582513830982</v>
      </c>
      <c r="H25" s="408">
        <v>1350.944555404101</v>
      </c>
      <c r="I25" s="408">
        <v>1354.8569925307834</v>
      </c>
      <c r="J25" s="408">
        <v>1357.5628614823008</v>
      </c>
      <c r="K25" s="408">
        <v>1359.2513413952413</v>
      </c>
      <c r="L25" s="408">
        <v>1360.0870867558415</v>
      </c>
      <c r="M25" s="408">
        <v>1360.2272559260186</v>
      </c>
      <c r="N25" s="408">
        <v>1359.8304249272169</v>
      </c>
      <c r="O25" s="408">
        <v>1359.0612568748652</v>
      </c>
      <c r="P25" s="408">
        <v>1358.0942004705532</v>
      </c>
      <c r="Q25" s="408">
        <v>1357.1181426208236</v>
      </c>
      <c r="R25" s="408">
        <v>1356.3425296733099</v>
      </c>
    </row>
    <row r="26" spans="1:19" x14ac:dyDescent="0.2">
      <c r="A26" s="4" t="s">
        <v>571</v>
      </c>
      <c r="B26" s="408">
        <v>1408.6474309884406</v>
      </c>
      <c r="C26" s="408">
        <v>1471.6766517918484</v>
      </c>
      <c r="D26" s="408">
        <v>1454.5989217060394</v>
      </c>
      <c r="E26" s="408">
        <v>1442.9420746440171</v>
      </c>
      <c r="F26" s="408">
        <v>1434.745572978668</v>
      </c>
      <c r="G26" s="408">
        <v>1428.8782299732748</v>
      </c>
      <c r="H26" s="408">
        <v>1424.6452476627085</v>
      </c>
      <c r="I26" s="408">
        <v>1421.5971484112895</v>
      </c>
      <c r="J26" s="408">
        <v>1419.4279885458689</v>
      </c>
      <c r="K26" s="408">
        <v>1417.9170367106913</v>
      </c>
      <c r="L26" s="408">
        <v>1416.8937588999843</v>
      </c>
      <c r="M26" s="408">
        <v>1416.2165425793287</v>
      </c>
      <c r="N26" s="408">
        <v>1415.7600057429302</v>
      </c>
      <c r="O26" s="408">
        <v>1415.4077204371345</v>
      </c>
      <c r="P26" s="408">
        <v>1415.0484807447374</v>
      </c>
      <c r="Q26" s="408">
        <v>1414.5753878380106</v>
      </c>
      <c r="R26" s="408">
        <v>1413.8879134199485</v>
      </c>
    </row>
    <row r="27" spans="1:19" x14ac:dyDescent="0.2">
      <c r="A27" s="4" t="s">
        <v>572</v>
      </c>
      <c r="B27" s="378">
        <v>0.22381377061003729</v>
      </c>
      <c r="C27" s="378">
        <v>0.10421374304248941</v>
      </c>
      <c r="D27" s="378">
        <v>0.13014031122038724</v>
      </c>
      <c r="E27" s="378">
        <v>0.15790141214234266</v>
      </c>
      <c r="F27" s="378">
        <v>0.18687773260364099</v>
      </c>
      <c r="G27" s="378">
        <v>0.21609754779286458</v>
      </c>
      <c r="H27" s="378">
        <v>0.24423108451736147</v>
      </c>
      <c r="I27" s="378">
        <v>0.26970269641305339</v>
      </c>
      <c r="J27" s="125">
        <v>0.29095551653041191</v>
      </c>
      <c r="K27" s="125">
        <v>0.30682326192867249</v>
      </c>
      <c r="L27" s="378">
        <v>0.3168641872617764</v>
      </c>
      <c r="M27" s="378">
        <v>0.32149007561852644</v>
      </c>
      <c r="N27" s="378">
        <v>0.32183327208028967</v>
      </c>
      <c r="O27" s="378">
        <v>0.3194521689920779</v>
      </c>
      <c r="P27" s="378">
        <v>0.31604297189510644</v>
      </c>
      <c r="Q27" s="378">
        <v>0.31327641852581783</v>
      </c>
      <c r="R27" s="378">
        <v>0.31279659336795046</v>
      </c>
    </row>
    <row r="28" spans="1:19" x14ac:dyDescent="0.2">
      <c r="A28" s="4" t="s">
        <v>573</v>
      </c>
      <c r="B28" s="156">
        <v>4.7999939928020261</v>
      </c>
      <c r="C28" s="156">
        <v>5.0000183954262809</v>
      </c>
      <c r="D28" s="156">
        <v>5.5312113631196116</v>
      </c>
      <c r="E28" s="156">
        <v>5.9696061529127267</v>
      </c>
      <c r="F28" s="156">
        <v>6.3224025824954522</v>
      </c>
      <c r="G28" s="156">
        <v>6.5968004695520897</v>
      </c>
      <c r="H28" s="156">
        <v>6.7999996317783928</v>
      </c>
      <c r="I28" s="156">
        <v>6.9391998868342384</v>
      </c>
      <c r="J28" s="156">
        <v>7.0216010524240247</v>
      </c>
      <c r="K28" s="156">
        <v>7.0544029462344913</v>
      </c>
      <c r="L28" s="156">
        <v>7.0448053859063275</v>
      </c>
      <c r="M28" s="156">
        <v>7.0000081891906563</v>
      </c>
      <c r="N28" s="156">
        <v>6.9272111737232303</v>
      </c>
      <c r="O28" s="156">
        <v>6.8336141572092561</v>
      </c>
      <c r="P28" s="156">
        <v>6.7264169573055703</v>
      </c>
      <c r="Q28" s="156">
        <v>6.6128193917371689</v>
      </c>
      <c r="R28" s="156">
        <v>6.5000212781294984</v>
      </c>
    </row>
    <row r="29" spans="1:19" x14ac:dyDescent="0.2">
      <c r="A29" s="38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2"/>
    </row>
    <row r="30" spans="1:19" x14ac:dyDescent="0.2">
      <c r="A30" s="38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2"/>
    </row>
    <row r="31" spans="1:19" x14ac:dyDescent="0.2">
      <c r="A31" s="38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2"/>
    </row>
    <row r="32" spans="1:19" x14ac:dyDescent="0.2">
      <c r="A32" s="38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2"/>
    </row>
    <row r="33" spans="1:19" x14ac:dyDescent="0.2">
      <c r="A33" s="3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2"/>
    </row>
    <row r="34" spans="1:19" x14ac:dyDescent="0.2">
      <c r="A34" s="38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2"/>
    </row>
    <row r="35" spans="1:19" x14ac:dyDescent="0.2">
      <c r="A35" s="38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2"/>
    </row>
    <row r="37" spans="1:19" ht="15.75" x14ac:dyDescent="0.25">
      <c r="B37" s="400" t="s">
        <v>581</v>
      </c>
      <c r="C37" s="399"/>
      <c r="D37" s="399"/>
      <c r="E37" s="399"/>
      <c r="F37" s="399"/>
      <c r="G37" s="399"/>
      <c r="H37" s="399"/>
      <c r="K37" s="401"/>
      <c r="L37" s="402"/>
    </row>
    <row r="38" spans="1:19" ht="15.75" x14ac:dyDescent="0.25">
      <c r="B38" s="400" t="s">
        <v>583</v>
      </c>
      <c r="C38" s="400"/>
      <c r="D38" s="400"/>
      <c r="E38" s="400"/>
      <c r="F38" s="400"/>
      <c r="G38" s="400"/>
      <c r="H38" s="399"/>
    </row>
    <row r="39" spans="1:19" x14ac:dyDescent="0.2">
      <c r="A39" s="13" t="s">
        <v>580</v>
      </c>
      <c r="B39" s="42">
        <v>100</v>
      </c>
      <c r="C39" s="42">
        <v>100</v>
      </c>
      <c r="D39" s="42">
        <v>100</v>
      </c>
      <c r="E39" s="42">
        <v>100</v>
      </c>
      <c r="F39" s="42">
        <v>100</v>
      </c>
      <c r="G39" s="42">
        <v>100</v>
      </c>
      <c r="H39" s="42">
        <v>100</v>
      </c>
      <c r="I39" s="42">
        <v>100</v>
      </c>
      <c r="J39" s="42">
        <v>100</v>
      </c>
      <c r="K39" s="42">
        <v>100</v>
      </c>
      <c r="L39" s="42">
        <v>100</v>
      </c>
      <c r="M39" s="42">
        <v>100</v>
      </c>
      <c r="N39" s="42">
        <v>100</v>
      </c>
      <c r="O39" s="42">
        <v>100</v>
      </c>
      <c r="P39" s="42">
        <v>100</v>
      </c>
      <c r="Q39" s="42">
        <v>100</v>
      </c>
      <c r="R39" s="42">
        <v>100</v>
      </c>
    </row>
    <row r="40" spans="1:19" ht="12" customHeight="1" x14ac:dyDescent="0.2">
      <c r="A40" s="13" t="s">
        <v>75</v>
      </c>
      <c r="B40" s="392">
        <v>1</v>
      </c>
      <c r="C40" s="392">
        <v>1</v>
      </c>
      <c r="D40" s="392">
        <v>1</v>
      </c>
      <c r="E40" s="392">
        <v>1</v>
      </c>
      <c r="F40" s="392">
        <v>1</v>
      </c>
      <c r="G40" s="392">
        <v>1</v>
      </c>
      <c r="H40" s="392">
        <v>1</v>
      </c>
      <c r="I40" s="392">
        <v>1</v>
      </c>
      <c r="J40" s="392">
        <v>1</v>
      </c>
      <c r="K40" s="392">
        <v>1</v>
      </c>
      <c r="L40" s="392">
        <v>1</v>
      </c>
      <c r="M40" s="392">
        <v>1</v>
      </c>
      <c r="N40" s="392">
        <v>1</v>
      </c>
      <c r="O40" s="392">
        <v>1</v>
      </c>
      <c r="P40" s="392">
        <v>1</v>
      </c>
      <c r="Q40" s="392">
        <v>1</v>
      </c>
      <c r="R40" s="392">
        <v>1</v>
      </c>
    </row>
    <row r="41" spans="1:19" x14ac:dyDescent="0.2">
      <c r="A41" s="43"/>
      <c r="B41" s="331" t="s">
        <v>579</v>
      </c>
      <c r="C41" s="49"/>
      <c r="D41" s="49"/>
      <c r="E41" s="49"/>
      <c r="F41" s="49"/>
      <c r="G41" s="49"/>
      <c r="H41" s="49"/>
    </row>
    <row r="42" spans="1:19" x14ac:dyDescent="0.2">
      <c r="A42" s="335" t="s">
        <v>9</v>
      </c>
      <c r="B42" s="403">
        <f t="shared" ref="B42:R42" si="6">B46</f>
        <v>10</v>
      </c>
      <c r="C42" s="403">
        <f t="shared" si="6"/>
        <v>5</v>
      </c>
      <c r="D42" s="403">
        <f t="shared" si="6"/>
        <v>6</v>
      </c>
      <c r="E42" s="403">
        <f t="shared" si="6"/>
        <v>7</v>
      </c>
      <c r="F42" s="403">
        <f t="shared" si="6"/>
        <v>8</v>
      </c>
      <c r="G42" s="403">
        <f t="shared" si="6"/>
        <v>9</v>
      </c>
      <c r="H42" s="403">
        <f t="shared" si="6"/>
        <v>10</v>
      </c>
      <c r="I42" s="403">
        <f t="shared" si="6"/>
        <v>11</v>
      </c>
      <c r="J42" s="403">
        <f t="shared" si="6"/>
        <v>12</v>
      </c>
      <c r="K42" s="403">
        <f t="shared" si="6"/>
        <v>13</v>
      </c>
      <c r="L42" s="403">
        <f t="shared" si="6"/>
        <v>14</v>
      </c>
      <c r="M42" s="403">
        <f t="shared" si="6"/>
        <v>15</v>
      </c>
      <c r="N42" s="403">
        <f t="shared" si="6"/>
        <v>16</v>
      </c>
      <c r="O42" s="403">
        <f t="shared" si="6"/>
        <v>17</v>
      </c>
      <c r="P42" s="403">
        <f t="shared" si="6"/>
        <v>18</v>
      </c>
      <c r="Q42" s="403">
        <f t="shared" si="6"/>
        <v>19</v>
      </c>
      <c r="R42" s="403">
        <f t="shared" si="6"/>
        <v>20</v>
      </c>
    </row>
    <row r="43" spans="1:19" x14ac:dyDescent="0.2">
      <c r="A43" s="4" t="s">
        <v>8</v>
      </c>
      <c r="B43" s="17">
        <f t="shared" ref="B43:R43" si="7">B39-B44-B45-B46-B47</f>
        <v>38.426500000000004</v>
      </c>
      <c r="C43" s="17">
        <f t="shared" si="7"/>
        <v>40.926500000000004</v>
      </c>
      <c r="D43" s="17">
        <f t="shared" si="7"/>
        <v>40.426500000000004</v>
      </c>
      <c r="E43" s="17">
        <f t="shared" si="7"/>
        <v>39.926500000000004</v>
      </c>
      <c r="F43" s="17">
        <f t="shared" si="7"/>
        <v>39.426500000000004</v>
      </c>
      <c r="G43" s="17">
        <f t="shared" si="7"/>
        <v>38.926500000000004</v>
      </c>
      <c r="H43" s="17">
        <f t="shared" si="7"/>
        <v>38.426500000000004</v>
      </c>
      <c r="I43" s="17">
        <f t="shared" si="7"/>
        <v>37.926500000000004</v>
      </c>
      <c r="J43" s="17">
        <f t="shared" si="7"/>
        <v>37.426500000000004</v>
      </c>
      <c r="K43" s="17">
        <f t="shared" si="7"/>
        <v>36.926500000000004</v>
      </c>
      <c r="L43" s="17">
        <f t="shared" si="7"/>
        <v>36.426500000000004</v>
      </c>
      <c r="M43" s="17">
        <f t="shared" si="7"/>
        <v>35.926499999999997</v>
      </c>
      <c r="N43" s="17">
        <f t="shared" si="7"/>
        <v>35.426499999999997</v>
      </c>
      <c r="O43" s="17">
        <f t="shared" si="7"/>
        <v>34.926499999999997</v>
      </c>
      <c r="P43" s="17">
        <f t="shared" si="7"/>
        <v>34.426499999999997</v>
      </c>
      <c r="Q43" s="17">
        <f t="shared" si="7"/>
        <v>33.926499999999997</v>
      </c>
      <c r="R43" s="17">
        <f t="shared" si="7"/>
        <v>33.426499999999997</v>
      </c>
    </row>
    <row r="44" spans="1:19" x14ac:dyDescent="0.2">
      <c r="A44" s="4" t="s">
        <v>6</v>
      </c>
      <c r="B44" s="17">
        <f t="shared" ref="B44:R44" si="8">(B39-B45-B46-B47)/(1+B40)</f>
        <v>38.426499999999997</v>
      </c>
      <c r="C44" s="17">
        <f t="shared" si="8"/>
        <v>40.926499999999997</v>
      </c>
      <c r="D44" s="17">
        <f t="shared" si="8"/>
        <v>40.426499999999997</v>
      </c>
      <c r="E44" s="17">
        <f t="shared" si="8"/>
        <v>39.926499999999997</v>
      </c>
      <c r="F44" s="17">
        <f t="shared" si="8"/>
        <v>39.426499999999997</v>
      </c>
      <c r="G44" s="17">
        <f t="shared" si="8"/>
        <v>38.926499999999997</v>
      </c>
      <c r="H44" s="17">
        <f t="shared" si="8"/>
        <v>38.426499999999997</v>
      </c>
      <c r="I44" s="17">
        <f t="shared" si="8"/>
        <v>37.926499999999997</v>
      </c>
      <c r="J44" s="17">
        <f t="shared" si="8"/>
        <v>37.426499999999997</v>
      </c>
      <c r="K44" s="17">
        <f t="shared" si="8"/>
        <v>36.926499999999997</v>
      </c>
      <c r="L44" s="17">
        <f t="shared" si="8"/>
        <v>36.426499999999997</v>
      </c>
      <c r="M44" s="17">
        <f t="shared" si="8"/>
        <v>35.926499999999997</v>
      </c>
      <c r="N44" s="17">
        <f t="shared" si="8"/>
        <v>35.426499999999997</v>
      </c>
      <c r="O44" s="17">
        <f t="shared" si="8"/>
        <v>34.926499999999997</v>
      </c>
      <c r="P44" s="17">
        <f t="shared" si="8"/>
        <v>34.426499999999997</v>
      </c>
      <c r="Q44" s="17">
        <f t="shared" si="8"/>
        <v>33.926499999999997</v>
      </c>
      <c r="R44" s="17">
        <f t="shared" si="8"/>
        <v>33.426499999999997</v>
      </c>
    </row>
    <row r="45" spans="1:19" x14ac:dyDescent="0.2">
      <c r="A45" s="4" t="s">
        <v>7</v>
      </c>
      <c r="B45" s="404">
        <v>12</v>
      </c>
      <c r="C45" s="404">
        <v>12</v>
      </c>
      <c r="D45" s="404">
        <v>12</v>
      </c>
      <c r="E45" s="404">
        <v>12</v>
      </c>
      <c r="F45" s="404">
        <v>12</v>
      </c>
      <c r="G45" s="404">
        <v>12</v>
      </c>
      <c r="H45" s="404">
        <v>12</v>
      </c>
      <c r="I45" s="404">
        <v>12</v>
      </c>
      <c r="J45" s="404">
        <v>12</v>
      </c>
      <c r="K45" s="404">
        <v>12</v>
      </c>
      <c r="L45" s="404">
        <v>12</v>
      </c>
      <c r="M45" s="404">
        <v>12</v>
      </c>
      <c r="N45" s="404">
        <v>12</v>
      </c>
      <c r="O45" s="404">
        <v>12</v>
      </c>
      <c r="P45" s="404">
        <v>12</v>
      </c>
      <c r="Q45" s="404">
        <v>12</v>
      </c>
      <c r="R45" s="404">
        <v>12</v>
      </c>
    </row>
    <row r="46" spans="1:19" x14ac:dyDescent="0.2">
      <c r="A46" s="4" t="s">
        <v>9</v>
      </c>
      <c r="B46" s="405">
        <v>10</v>
      </c>
      <c r="C46" s="405">
        <v>5</v>
      </c>
      <c r="D46" s="405">
        <v>6</v>
      </c>
      <c r="E46" s="405">
        <v>7</v>
      </c>
      <c r="F46" s="405">
        <v>8</v>
      </c>
      <c r="G46" s="406">
        <v>9</v>
      </c>
      <c r="H46" s="405">
        <v>10</v>
      </c>
      <c r="I46" s="405">
        <v>11</v>
      </c>
      <c r="J46" s="405">
        <v>12</v>
      </c>
      <c r="K46" s="405">
        <v>13</v>
      </c>
      <c r="L46" s="405">
        <v>14</v>
      </c>
      <c r="M46" s="405">
        <v>15</v>
      </c>
      <c r="N46" s="405">
        <v>16</v>
      </c>
      <c r="O46" s="405">
        <v>17</v>
      </c>
      <c r="P46" s="405">
        <v>18</v>
      </c>
      <c r="Q46" s="405">
        <v>19</v>
      </c>
      <c r="R46" s="405">
        <v>20</v>
      </c>
    </row>
    <row r="47" spans="1:19" x14ac:dyDescent="0.2">
      <c r="A47" s="4" t="s">
        <v>16</v>
      </c>
      <c r="B47" s="407">
        <v>1.147</v>
      </c>
      <c r="C47" s="407">
        <v>1.147</v>
      </c>
      <c r="D47" s="407">
        <v>1.147</v>
      </c>
      <c r="E47" s="407">
        <v>1.147</v>
      </c>
      <c r="F47" s="407">
        <v>1.147</v>
      </c>
      <c r="G47" s="407">
        <v>1.147</v>
      </c>
      <c r="H47" s="407">
        <v>1.147</v>
      </c>
      <c r="I47" s="407">
        <v>1.147</v>
      </c>
      <c r="J47" s="407">
        <v>1.147</v>
      </c>
      <c r="K47" s="407">
        <v>1.147</v>
      </c>
      <c r="L47" s="407">
        <v>1.147</v>
      </c>
      <c r="M47" s="407">
        <v>1.147</v>
      </c>
      <c r="N47" s="407">
        <v>1.147</v>
      </c>
      <c r="O47" s="407">
        <v>1.147</v>
      </c>
      <c r="P47" s="407">
        <v>1.147</v>
      </c>
      <c r="Q47" s="407">
        <v>1.147</v>
      </c>
      <c r="R47" s="407">
        <v>1.147</v>
      </c>
    </row>
    <row r="48" spans="1:19" x14ac:dyDescent="0.2">
      <c r="A48" s="4" t="s">
        <v>75</v>
      </c>
      <c r="B48" s="407">
        <f t="shared" ref="B48:R48" si="9">B43/B44</f>
        <v>1.0000000000000002</v>
      </c>
      <c r="C48" s="407">
        <f t="shared" si="9"/>
        <v>1.0000000000000002</v>
      </c>
      <c r="D48" s="407">
        <f t="shared" si="9"/>
        <v>1.0000000000000002</v>
      </c>
      <c r="E48" s="407">
        <f t="shared" si="9"/>
        <v>1.0000000000000002</v>
      </c>
      <c r="F48" s="407">
        <f t="shared" si="9"/>
        <v>1.0000000000000002</v>
      </c>
      <c r="G48" s="407">
        <f t="shared" si="9"/>
        <v>1.0000000000000002</v>
      </c>
      <c r="H48" s="407">
        <f t="shared" si="9"/>
        <v>1.0000000000000002</v>
      </c>
      <c r="I48" s="407">
        <f t="shared" si="9"/>
        <v>1.0000000000000002</v>
      </c>
      <c r="J48" s="407">
        <f t="shared" si="9"/>
        <v>1.0000000000000002</v>
      </c>
      <c r="K48" s="407">
        <f t="shared" si="9"/>
        <v>1.0000000000000002</v>
      </c>
      <c r="L48" s="407">
        <f t="shared" si="9"/>
        <v>1.0000000000000002</v>
      </c>
      <c r="M48" s="407">
        <f t="shared" si="9"/>
        <v>1</v>
      </c>
      <c r="N48" s="407">
        <f t="shared" si="9"/>
        <v>1</v>
      </c>
      <c r="O48" s="407">
        <f t="shared" si="9"/>
        <v>1</v>
      </c>
      <c r="P48" s="407">
        <f t="shared" si="9"/>
        <v>1</v>
      </c>
      <c r="Q48" s="407">
        <f t="shared" si="9"/>
        <v>1</v>
      </c>
      <c r="R48" s="407">
        <f t="shared" si="9"/>
        <v>1</v>
      </c>
    </row>
    <row r="49" spans="1:18" x14ac:dyDescent="0.2">
      <c r="A49" s="4" t="s">
        <v>62</v>
      </c>
      <c r="B49" s="17">
        <f t="shared" ref="B49:R49" si="10">(B43+B46)/(B44)</f>
        <v>1.2602370759762145</v>
      </c>
      <c r="C49" s="17">
        <f t="shared" si="10"/>
        <v>1.1221702320012708</v>
      </c>
      <c r="D49" s="17">
        <f t="shared" si="10"/>
        <v>1.1484174984230642</v>
      </c>
      <c r="E49" s="17">
        <f t="shared" si="10"/>
        <v>1.1753221544588182</v>
      </c>
      <c r="F49" s="17">
        <f t="shared" si="10"/>
        <v>1.2029092108099884</v>
      </c>
      <c r="G49" s="17">
        <f t="shared" si="10"/>
        <v>1.2312049631998769</v>
      </c>
      <c r="H49" s="17">
        <f t="shared" si="10"/>
        <v>1.2602370759762145</v>
      </c>
      <c r="I49" s="17">
        <f t="shared" si="10"/>
        <v>1.2900346723267375</v>
      </c>
      <c r="J49" s="17">
        <f t="shared" si="10"/>
        <v>1.3206284317261836</v>
      </c>
      <c r="K49" s="17">
        <f t="shared" si="10"/>
        <v>1.3520506953001235</v>
      </c>
      <c r="L49" s="17">
        <f t="shared" si="10"/>
        <v>1.3843355798663064</v>
      </c>
      <c r="M49" s="17">
        <f t="shared" si="10"/>
        <v>1.4175191014988937</v>
      </c>
      <c r="N49" s="17">
        <f t="shared" si="10"/>
        <v>1.4516393095564055</v>
      </c>
      <c r="O49" s="17">
        <f t="shared" si="10"/>
        <v>1.4867364322219518</v>
      </c>
      <c r="P49" s="17">
        <f t="shared" si="10"/>
        <v>1.5228530347261557</v>
      </c>
      <c r="Q49" s="17">
        <f t="shared" si="10"/>
        <v>1.5600341915611691</v>
      </c>
      <c r="R49" s="17">
        <f t="shared" si="10"/>
        <v>1.5983276741507486</v>
      </c>
    </row>
    <row r="50" spans="1:18" x14ac:dyDescent="0.2">
      <c r="A50" s="4" t="s">
        <v>65</v>
      </c>
      <c r="B50" s="17">
        <f t="shared" ref="B50:R50" si="11">(B43+B46)/(B44+B45)</f>
        <v>0.96033831418004434</v>
      </c>
      <c r="C50" s="17">
        <f t="shared" si="11"/>
        <v>0.8677411126751251</v>
      </c>
      <c r="D50" s="17">
        <f t="shared" si="11"/>
        <v>0.88555406140024617</v>
      </c>
      <c r="E50" s="17">
        <f t="shared" si="11"/>
        <v>0.90371005170770236</v>
      </c>
      <c r="F50" s="17">
        <f t="shared" si="11"/>
        <v>0.92221908937998909</v>
      </c>
      <c r="G50" s="17">
        <f t="shared" si="11"/>
        <v>0.94109157314953917</v>
      </c>
      <c r="H50" s="17">
        <f t="shared" si="11"/>
        <v>0.96033831418004434</v>
      </c>
      <c r="I50" s="17">
        <f t="shared" si="11"/>
        <v>0.97997055671837618</v>
      </c>
      <c r="J50" s="17">
        <f t="shared" si="11"/>
        <v>1.0000000000000002</v>
      </c>
      <c r="K50" s="17">
        <f t="shared" si="11"/>
        <v>1.0204388214975526</v>
      </c>
      <c r="L50" s="17">
        <f t="shared" si="11"/>
        <v>1.0412997016096561</v>
      </c>
      <c r="M50" s="17">
        <f t="shared" si="11"/>
        <v>1.062595849895152</v>
      </c>
      <c r="N50" s="17">
        <f t="shared" si="11"/>
        <v>1.0843410329668013</v>
      </c>
      <c r="O50" s="17">
        <f t="shared" si="11"/>
        <v>1.1065496041682206</v>
      </c>
      <c r="P50" s="17">
        <f t="shared" si="11"/>
        <v>1.1292365351684921</v>
      </c>
      <c r="Q50" s="17">
        <f t="shared" si="11"/>
        <v>1.1524174496205895</v>
      </c>
      <c r="R50" s="17">
        <f t="shared" si="11"/>
        <v>1.1761086590426293</v>
      </c>
    </row>
    <row r="51" spans="1:18" ht="15.75" x14ac:dyDescent="0.25">
      <c r="A51" s="377" t="s">
        <v>563</v>
      </c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</row>
    <row r="52" spans="1:18" x14ac:dyDescent="0.2">
      <c r="A52" s="4" t="s">
        <v>565</v>
      </c>
      <c r="B52" s="156">
        <v>16.589746861812205</v>
      </c>
      <c r="C52" s="156">
        <v>9.3953070761112549</v>
      </c>
      <c r="D52" s="156">
        <v>10.404634202391076</v>
      </c>
      <c r="E52" s="156">
        <v>11.642602039297065</v>
      </c>
      <c r="F52" s="156">
        <v>13.124039446087348</v>
      </c>
      <c r="G52" s="156">
        <v>14.813782273115544</v>
      </c>
      <c r="H52" s="156">
        <v>16.589746861812205</v>
      </c>
      <c r="I52" s="156">
        <v>18.230579726208212</v>
      </c>
      <c r="J52" s="156">
        <v>19.472321923791437</v>
      </c>
      <c r="K52" s="156">
        <v>20.131123351633562</v>
      </c>
      <c r="L52" s="156">
        <v>20.201611655504433</v>
      </c>
      <c r="M52" s="156">
        <v>19.844572148233482</v>
      </c>
      <c r="N52" s="156">
        <v>19.293300094587092</v>
      </c>
      <c r="O52" s="156">
        <v>18.772430832278843</v>
      </c>
      <c r="P52" s="156">
        <v>18.479106089279334</v>
      </c>
      <c r="Q52" s="156">
        <v>18.627385532971207</v>
      </c>
      <c r="R52" s="156">
        <v>19.57841498620478</v>
      </c>
    </row>
    <row r="53" spans="1:18" x14ac:dyDescent="0.2">
      <c r="A53" s="4" t="s">
        <v>566</v>
      </c>
      <c r="B53" s="156">
        <v>7.79995264742867</v>
      </c>
      <c r="C53" s="156">
        <v>8.0001306787780138</v>
      </c>
      <c r="D53" s="156">
        <v>7.9632501649569933</v>
      </c>
      <c r="E53" s="156">
        <v>7.9255948250070674</v>
      </c>
      <c r="F53" s="156">
        <v>7.8863619388326702</v>
      </c>
      <c r="G53" s="156">
        <v>7.8447487863383376</v>
      </c>
      <c r="H53" s="156">
        <v>7.79995264742867</v>
      </c>
      <c r="I53" s="156">
        <v>7.7511708020080468</v>
      </c>
      <c r="J53" s="156">
        <v>7.697600529981214</v>
      </c>
      <c r="K53" s="156">
        <v>7.6384391112524588</v>
      </c>
      <c r="L53" s="156">
        <v>7.5728838257264437</v>
      </c>
      <c r="M53" s="156">
        <v>7.5001319533075295</v>
      </c>
      <c r="N53" s="156">
        <v>7.4193807738948374</v>
      </c>
      <c r="O53" s="156">
        <v>7.3298275673944939</v>
      </c>
      <c r="P53" s="156">
        <v>7.2306696137104982</v>
      </c>
      <c r="Q53" s="156">
        <v>7.121104192746623</v>
      </c>
      <c r="R53" s="156">
        <v>7.0003285844068461</v>
      </c>
    </row>
    <row r="54" spans="1:18" x14ac:dyDescent="0.2">
      <c r="A54" s="4" t="s">
        <v>567</v>
      </c>
      <c r="B54" s="156">
        <v>4.4916280467641077</v>
      </c>
      <c r="C54" s="156">
        <v>6.8911685263857381</v>
      </c>
      <c r="D54" s="156">
        <v>6.2836670336476441</v>
      </c>
      <c r="E54" s="156">
        <v>5.7303406316906456</v>
      </c>
      <c r="F54" s="156">
        <v>5.2413692927020055</v>
      </c>
      <c r="G54" s="156">
        <v>4.8261828101493345</v>
      </c>
      <c r="H54" s="156">
        <v>4.4916280467641077</v>
      </c>
      <c r="I54" s="156">
        <v>4.2399305726154166</v>
      </c>
      <c r="J54" s="156">
        <v>4.0671228427764534</v>
      </c>
      <c r="K54" s="156">
        <v>3.9626690098820565</v>
      </c>
      <c r="L54" s="156">
        <v>3.9105598228339176</v>
      </c>
      <c r="M54" s="156">
        <v>3.8913970537238747</v>
      </c>
      <c r="N54" s="156">
        <v>3.884532365398587</v>
      </c>
      <c r="O54" s="156">
        <v>3.8694769338815607</v>
      </c>
      <c r="P54" s="156">
        <v>3.8262488142602171</v>
      </c>
      <c r="Q54" s="156">
        <v>3.7346002951445043</v>
      </c>
      <c r="R54" s="156">
        <v>3.5719144659432041</v>
      </c>
    </row>
    <row r="55" spans="1:18" x14ac:dyDescent="0.2">
      <c r="A55" s="4" t="s">
        <v>568</v>
      </c>
      <c r="B55" s="156">
        <v>2.9999586546266439</v>
      </c>
      <c r="C55" s="156">
        <v>5.999828888194175</v>
      </c>
      <c r="D55" s="156">
        <v>5.0942637344041293</v>
      </c>
      <c r="E55" s="156">
        <v>4.3590938635923502</v>
      </c>
      <c r="F55" s="156">
        <v>3.7767195463187755</v>
      </c>
      <c r="G55" s="156">
        <v>3.3295410531435534</v>
      </c>
      <c r="H55" s="156">
        <v>2.9999586546266439</v>
      </c>
      <c r="I55" s="156">
        <v>2.7703726213281108</v>
      </c>
      <c r="J55" s="156">
        <v>2.6231832238079815</v>
      </c>
      <c r="K55" s="156">
        <v>2.5407907326263106</v>
      </c>
      <c r="L55" s="156">
        <v>2.5055954183431162</v>
      </c>
      <c r="M55" s="156">
        <v>2.4999975515185193</v>
      </c>
      <c r="N55" s="156">
        <v>2.5063974027100753</v>
      </c>
      <c r="O55" s="156">
        <v>2.507195242481413</v>
      </c>
      <c r="P55" s="156">
        <v>2.4847913413928882</v>
      </c>
      <c r="Q55" s="156">
        <v>2.4215859700049265</v>
      </c>
      <c r="R55" s="156">
        <v>2.2999793988779489</v>
      </c>
    </row>
    <row r="56" spans="1:18" x14ac:dyDescent="0.2">
      <c r="A56" s="4" t="s">
        <v>569</v>
      </c>
      <c r="B56" s="156">
        <v>2.2331785676508771</v>
      </c>
      <c r="C56" s="156">
        <v>5.2759585438103889</v>
      </c>
      <c r="D56" s="156">
        <v>4.2301344110643084</v>
      </c>
      <c r="E56" s="156">
        <v>3.4611621039803975</v>
      </c>
      <c r="F56" s="156">
        <v>2.9036369148251966</v>
      </c>
      <c r="G56" s="156">
        <v>2.5071860138362458</v>
      </c>
      <c r="H56" s="156">
        <v>2.2331785676508771</v>
      </c>
      <c r="I56" s="156">
        <v>2.0519461657222573</v>
      </c>
      <c r="J56" s="156">
        <v>1.9404654771118424</v>
      </c>
      <c r="K56" s="156">
        <v>1.8804109226204158</v>
      </c>
      <c r="L56" s="156">
        <v>1.856487947214603</v>
      </c>
      <c r="M56" s="156">
        <v>1.8550338763975944</v>
      </c>
      <c r="N56" s="156">
        <v>1.8629559160882592</v>
      </c>
      <c r="O56" s="156">
        <v>1.867092259335603</v>
      </c>
      <c r="P56" s="156">
        <v>1.8540509664213662</v>
      </c>
      <c r="Q56" s="156">
        <v>1.8105658038530539</v>
      </c>
      <c r="R56" s="156">
        <v>1.7244488803607076</v>
      </c>
    </row>
    <row r="57" spans="1:18" x14ac:dyDescent="0.2">
      <c r="A57" s="4" t="s">
        <v>570</v>
      </c>
      <c r="B57" s="408">
        <v>1328.2234251243763</v>
      </c>
      <c r="C57" s="408">
        <v>1106.6142166310706</v>
      </c>
      <c r="D57" s="408">
        <v>1218.8773438412254</v>
      </c>
      <c r="E57" s="408">
        <v>1270.468280186313</v>
      </c>
      <c r="F57" s="408">
        <v>1299.3287688250969</v>
      </c>
      <c r="G57" s="408">
        <v>1317.0179231023476</v>
      </c>
      <c r="H57" s="408">
        <v>1328.2234251243763</v>
      </c>
      <c r="I57" s="408">
        <v>1335.2069710276739</v>
      </c>
      <c r="J57" s="408">
        <v>1339.2205273753639</v>
      </c>
      <c r="K57" s="408">
        <v>1341.0631572508764</v>
      </c>
      <c r="L57" s="408">
        <v>1341.3327688475497</v>
      </c>
      <c r="M57" s="408">
        <v>1340.5519125061012</v>
      </c>
      <c r="N57" s="408">
        <v>1339.2380654556064</v>
      </c>
      <c r="O57" s="408">
        <v>1337.9475041513717</v>
      </c>
      <c r="P57" s="408">
        <v>1337.299703724357</v>
      </c>
      <c r="Q57" s="408">
        <v>1337.9769105488613</v>
      </c>
      <c r="R57" s="408">
        <v>1340.6927932387039</v>
      </c>
    </row>
    <row r="58" spans="1:18" x14ac:dyDescent="0.2">
      <c r="A58" s="4" t="s">
        <v>571</v>
      </c>
      <c r="B58" s="408">
        <v>1408.6474309884406</v>
      </c>
      <c r="C58" s="408">
        <v>1444.5710164761952</v>
      </c>
      <c r="D58" s="408">
        <v>1426.4591983859218</v>
      </c>
      <c r="E58" s="408">
        <v>1418.1534322805715</v>
      </c>
      <c r="F58" s="408">
        <v>1413.4880509731991</v>
      </c>
      <c r="G58" s="408">
        <v>1410.5773139500741</v>
      </c>
      <c r="H58" s="408">
        <v>1408.6474309884406</v>
      </c>
      <c r="I58" s="408">
        <v>1407.3150253692265</v>
      </c>
      <c r="J58" s="408">
        <v>1406.3582912032607</v>
      </c>
      <c r="K58" s="408">
        <v>1405.6288203225656</v>
      </c>
      <c r="L58" s="408">
        <v>1405.014206048249</v>
      </c>
      <c r="M58" s="408">
        <v>1404.4225734505824</v>
      </c>
      <c r="N58" s="408">
        <v>1403.7781449184893</v>
      </c>
      <c r="O58" s="408">
        <v>1403.0236741412541</v>
      </c>
      <c r="P58" s="408">
        <v>1402.1284115161061</v>
      </c>
      <c r="Q58" s="408">
        <v>1401.1006907351527</v>
      </c>
      <c r="R58" s="408">
        <v>1400.0028425624168</v>
      </c>
    </row>
    <row r="59" spans="1:18" x14ac:dyDescent="0.2">
      <c r="A59" s="4" t="s">
        <v>572</v>
      </c>
      <c r="B59" s="156">
        <v>0.22381377061003729</v>
      </c>
      <c r="C59" s="156">
        <v>5.3261245248649704E-2</v>
      </c>
      <c r="D59" s="156">
        <v>8.6712781516865442E-2</v>
      </c>
      <c r="E59" s="156">
        <v>0.12188090505206436</v>
      </c>
      <c r="F59" s="156">
        <v>0.15767443226077815</v>
      </c>
      <c r="G59" s="156">
        <v>0.1923911628421788</v>
      </c>
      <c r="H59" s="156">
        <v>0.22381377061003729</v>
      </c>
      <c r="I59" s="156">
        <v>0.24962537353649578</v>
      </c>
      <c r="J59" s="156">
        <v>0.26810544429423949</v>
      </c>
      <c r="K59" s="156">
        <v>0.27878595438591036</v>
      </c>
      <c r="L59" s="156">
        <v>0.28265693726840607</v>
      </c>
      <c r="M59" s="156">
        <v>0.28181953550858485</v>
      </c>
      <c r="N59" s="156">
        <v>0.27889646479830926</v>
      </c>
      <c r="O59" s="156">
        <v>0.27659894555562387</v>
      </c>
      <c r="P59" s="156">
        <v>0.27765477075097417</v>
      </c>
      <c r="Q59" s="156">
        <v>0.2851540251055662</v>
      </c>
      <c r="R59" s="156">
        <v>0.3034898841806114</v>
      </c>
    </row>
    <row r="60" spans="1:18" x14ac:dyDescent="0.2">
      <c r="A60" s="4" t="s">
        <v>573</v>
      </c>
      <c r="B60" s="156">
        <v>4.7999939928020261</v>
      </c>
      <c r="C60" s="156">
        <v>2.0003017905838387</v>
      </c>
      <c r="D60" s="156">
        <v>2.8689864305528641</v>
      </c>
      <c r="E60" s="156">
        <v>3.5665009614147172</v>
      </c>
      <c r="F60" s="156">
        <v>4.1096423925138943</v>
      </c>
      <c r="G60" s="156">
        <v>4.5152077331947842</v>
      </c>
      <c r="H60" s="156">
        <v>4.7999939928020261</v>
      </c>
      <c r="I60" s="156">
        <v>4.980798180679936</v>
      </c>
      <c r="J60" s="156">
        <v>5.0744173061732329</v>
      </c>
      <c r="K60" s="156">
        <v>5.0976483786261486</v>
      </c>
      <c r="L60" s="156">
        <v>5.0672884073833275</v>
      </c>
      <c r="M60" s="156">
        <v>5.0001344017890101</v>
      </c>
      <c r="N60" s="156">
        <v>4.9129833711847617</v>
      </c>
      <c r="O60" s="156">
        <v>4.8226323249130809</v>
      </c>
      <c r="P60" s="156">
        <v>4.7458782723176096</v>
      </c>
      <c r="Q60" s="156">
        <v>4.6995182227416965</v>
      </c>
      <c r="R60" s="156">
        <v>4.7003491855288972</v>
      </c>
    </row>
    <row r="73" spans="1:19" ht="15.75" x14ac:dyDescent="0.25">
      <c r="B73" s="400" t="s">
        <v>581</v>
      </c>
      <c r="C73" s="399"/>
      <c r="D73" s="399"/>
      <c r="E73" s="399"/>
      <c r="F73" s="399"/>
      <c r="G73" s="399"/>
      <c r="H73" s="399"/>
      <c r="K73" s="401"/>
      <c r="L73" s="402"/>
    </row>
    <row r="74" spans="1:19" ht="15.75" x14ac:dyDescent="0.25">
      <c r="B74" s="400" t="s">
        <v>584</v>
      </c>
      <c r="C74" s="400"/>
      <c r="D74" s="400"/>
      <c r="E74" s="400"/>
      <c r="F74" s="400"/>
      <c r="G74" s="400"/>
      <c r="H74" s="399"/>
    </row>
    <row r="75" spans="1:19" x14ac:dyDescent="0.2">
      <c r="A75" s="13" t="s">
        <v>580</v>
      </c>
      <c r="B75" s="42">
        <v>100</v>
      </c>
      <c r="C75" s="42">
        <v>100</v>
      </c>
      <c r="D75" s="42">
        <v>100</v>
      </c>
      <c r="E75" s="42">
        <v>100</v>
      </c>
      <c r="F75" s="42">
        <v>100</v>
      </c>
      <c r="G75" s="42">
        <v>100</v>
      </c>
      <c r="H75" s="42">
        <v>100</v>
      </c>
      <c r="I75" s="42">
        <v>100</v>
      </c>
      <c r="J75" s="42">
        <v>100</v>
      </c>
      <c r="K75" s="42">
        <v>100</v>
      </c>
      <c r="L75" s="42">
        <v>100</v>
      </c>
      <c r="M75" s="42">
        <v>100</v>
      </c>
      <c r="N75" s="42">
        <v>100</v>
      </c>
      <c r="O75" s="42">
        <v>100</v>
      </c>
      <c r="P75" s="42">
        <v>100</v>
      </c>
      <c r="Q75" s="42">
        <v>100</v>
      </c>
      <c r="R75" s="42">
        <v>100</v>
      </c>
      <c r="S75" s="42"/>
    </row>
    <row r="76" spans="1:19" x14ac:dyDescent="0.2">
      <c r="A76" s="13" t="s">
        <v>75</v>
      </c>
      <c r="B76" s="392">
        <v>1</v>
      </c>
      <c r="C76" s="392">
        <v>1.2</v>
      </c>
      <c r="D76" s="392">
        <v>1.2</v>
      </c>
      <c r="E76" s="392">
        <v>1.2</v>
      </c>
      <c r="F76" s="392">
        <v>1.2</v>
      </c>
      <c r="G76" s="392">
        <v>1.2</v>
      </c>
      <c r="H76" s="392">
        <v>1.2</v>
      </c>
      <c r="I76" s="392">
        <v>1.2</v>
      </c>
      <c r="J76" s="392">
        <v>1.2</v>
      </c>
      <c r="K76" s="392">
        <v>1.2</v>
      </c>
      <c r="L76" s="392">
        <v>1.2</v>
      </c>
      <c r="M76" s="392">
        <v>1.2</v>
      </c>
      <c r="N76" s="392">
        <v>1.2</v>
      </c>
      <c r="O76" s="392">
        <v>1.2</v>
      </c>
      <c r="P76" s="392">
        <v>1.2</v>
      </c>
      <c r="Q76" s="392">
        <v>1.2</v>
      </c>
      <c r="R76" s="392">
        <v>1.2</v>
      </c>
      <c r="S76" s="42"/>
    </row>
    <row r="77" spans="1:19" x14ac:dyDescent="0.2">
      <c r="A77" s="43"/>
      <c r="B77" s="331" t="s">
        <v>579</v>
      </c>
      <c r="C77" s="49"/>
      <c r="D77" s="49"/>
      <c r="E77" s="49"/>
      <c r="F77" s="49"/>
      <c r="G77" s="49"/>
      <c r="H77" s="49"/>
    </row>
    <row r="78" spans="1:19" x14ac:dyDescent="0.2">
      <c r="A78" s="335" t="s">
        <v>9</v>
      </c>
      <c r="B78" s="403">
        <f t="shared" ref="B78:R78" si="12">B82</f>
        <v>10</v>
      </c>
      <c r="C78" s="403">
        <f t="shared" si="12"/>
        <v>5</v>
      </c>
      <c r="D78" s="403">
        <f t="shared" si="12"/>
        <v>6</v>
      </c>
      <c r="E78" s="403">
        <f t="shared" si="12"/>
        <v>7</v>
      </c>
      <c r="F78" s="403">
        <f t="shared" si="12"/>
        <v>8</v>
      </c>
      <c r="G78" s="403">
        <f t="shared" si="12"/>
        <v>9</v>
      </c>
      <c r="H78" s="403">
        <f t="shared" si="12"/>
        <v>10</v>
      </c>
      <c r="I78" s="403">
        <f t="shared" si="12"/>
        <v>11</v>
      </c>
      <c r="J78" s="403">
        <f t="shared" si="12"/>
        <v>12</v>
      </c>
      <c r="K78" s="403">
        <f t="shared" si="12"/>
        <v>13</v>
      </c>
      <c r="L78" s="403">
        <f t="shared" si="12"/>
        <v>14</v>
      </c>
      <c r="M78" s="403">
        <f t="shared" si="12"/>
        <v>15</v>
      </c>
      <c r="N78" s="403">
        <f t="shared" si="12"/>
        <v>16</v>
      </c>
      <c r="O78" s="403">
        <f t="shared" si="12"/>
        <v>17</v>
      </c>
      <c r="P78" s="403">
        <f t="shared" si="12"/>
        <v>18</v>
      </c>
      <c r="Q78" s="403">
        <f t="shared" si="12"/>
        <v>19</v>
      </c>
      <c r="R78" s="403">
        <f t="shared" si="12"/>
        <v>20</v>
      </c>
    </row>
    <row r="79" spans="1:19" x14ac:dyDescent="0.2">
      <c r="A79" s="4" t="s">
        <v>8</v>
      </c>
      <c r="B79" s="17">
        <f t="shared" ref="B79:R79" si="13">B75-B80-B81-B82-B83</f>
        <v>38.426500000000004</v>
      </c>
      <c r="C79" s="17">
        <f t="shared" si="13"/>
        <v>44.647090909090913</v>
      </c>
      <c r="D79" s="17">
        <f t="shared" si="13"/>
        <v>44.101636363636374</v>
      </c>
      <c r="E79" s="17">
        <f t="shared" si="13"/>
        <v>43.556181818181827</v>
      </c>
      <c r="F79" s="17">
        <f t="shared" si="13"/>
        <v>43.010727272727273</v>
      </c>
      <c r="G79" s="17">
        <f t="shared" si="13"/>
        <v>42.46527272727274</v>
      </c>
      <c r="H79" s="17">
        <f t="shared" si="13"/>
        <v>41.919818181818179</v>
      </c>
      <c r="I79" s="17">
        <f t="shared" si="13"/>
        <v>41.374363636363647</v>
      </c>
      <c r="J79" s="17">
        <f t="shared" si="13"/>
        <v>40.8289090909091</v>
      </c>
      <c r="K79" s="17">
        <f t="shared" si="13"/>
        <v>40.283454545454553</v>
      </c>
      <c r="L79" s="17">
        <f t="shared" si="13"/>
        <v>39.738000000000007</v>
      </c>
      <c r="M79" s="17">
        <f t="shared" si="13"/>
        <v>39.19254545454546</v>
      </c>
      <c r="N79" s="17">
        <f t="shared" si="13"/>
        <v>38.647090909090913</v>
      </c>
      <c r="O79" s="17">
        <f t="shared" si="13"/>
        <v>38.101636363636366</v>
      </c>
      <c r="P79" s="17">
        <f t="shared" si="13"/>
        <v>37.55618181818182</v>
      </c>
      <c r="Q79" s="17">
        <f t="shared" si="13"/>
        <v>37.010727272727273</v>
      </c>
      <c r="R79" s="17">
        <f t="shared" si="13"/>
        <v>36.46527272727274</v>
      </c>
    </row>
    <row r="80" spans="1:19" x14ac:dyDescent="0.2">
      <c r="A80" s="4" t="s">
        <v>6</v>
      </c>
      <c r="B80" s="17">
        <f t="shared" ref="B80:R80" si="14">(B75-B81-B82-B83)/(1+B76)</f>
        <v>38.426499999999997</v>
      </c>
      <c r="C80" s="17">
        <f t="shared" si="14"/>
        <v>37.205909090909088</v>
      </c>
      <c r="D80" s="17">
        <f t="shared" si="14"/>
        <v>36.751363636363628</v>
      </c>
      <c r="E80" s="17">
        <f t="shared" si="14"/>
        <v>36.296818181818175</v>
      </c>
      <c r="F80" s="17">
        <f t="shared" si="14"/>
        <v>35.842272727272722</v>
      </c>
      <c r="G80" s="17">
        <f t="shared" si="14"/>
        <v>35.387727272727268</v>
      </c>
      <c r="H80" s="17">
        <f t="shared" si="14"/>
        <v>34.933181818181815</v>
      </c>
      <c r="I80" s="17">
        <f t="shared" si="14"/>
        <v>34.478636363636362</v>
      </c>
      <c r="J80" s="17">
        <f t="shared" si="14"/>
        <v>34.024090909090901</v>
      </c>
      <c r="K80" s="17">
        <f t="shared" si="14"/>
        <v>33.569545454545448</v>
      </c>
      <c r="L80" s="17">
        <f t="shared" si="14"/>
        <v>33.114999999999995</v>
      </c>
      <c r="M80" s="17">
        <f t="shared" si="14"/>
        <v>32.660454545454542</v>
      </c>
      <c r="N80" s="17">
        <f t="shared" si="14"/>
        <v>32.205909090909088</v>
      </c>
      <c r="O80" s="17">
        <f t="shared" si="14"/>
        <v>31.751363636363632</v>
      </c>
      <c r="P80" s="17">
        <f t="shared" si="14"/>
        <v>31.296818181818178</v>
      </c>
      <c r="Q80" s="17">
        <f t="shared" si="14"/>
        <v>30.842272727272722</v>
      </c>
      <c r="R80" s="17">
        <f t="shared" si="14"/>
        <v>30.387727272727268</v>
      </c>
    </row>
    <row r="81" spans="1:18" x14ac:dyDescent="0.2">
      <c r="A81" s="4" t="s">
        <v>7</v>
      </c>
      <c r="B81" s="404">
        <v>12</v>
      </c>
      <c r="C81" s="404">
        <v>12</v>
      </c>
      <c r="D81" s="404">
        <v>12</v>
      </c>
      <c r="E81" s="404">
        <v>12</v>
      </c>
      <c r="F81" s="404">
        <v>12</v>
      </c>
      <c r="G81" s="404">
        <v>12</v>
      </c>
      <c r="H81" s="404">
        <v>12</v>
      </c>
      <c r="I81" s="404">
        <v>12</v>
      </c>
      <c r="J81" s="404">
        <v>12</v>
      </c>
      <c r="K81" s="404">
        <v>12</v>
      </c>
      <c r="L81" s="404">
        <v>12</v>
      </c>
      <c r="M81" s="404">
        <v>12</v>
      </c>
      <c r="N81" s="404">
        <v>12</v>
      </c>
      <c r="O81" s="404">
        <v>12</v>
      </c>
      <c r="P81" s="404">
        <v>12</v>
      </c>
      <c r="Q81" s="404">
        <v>12</v>
      </c>
      <c r="R81" s="404">
        <v>12</v>
      </c>
    </row>
    <row r="82" spans="1:18" x14ac:dyDescent="0.2">
      <c r="A82" s="4" t="s">
        <v>9</v>
      </c>
      <c r="B82" s="405">
        <v>10</v>
      </c>
      <c r="C82" s="405">
        <v>5</v>
      </c>
      <c r="D82" s="405">
        <v>6</v>
      </c>
      <c r="E82" s="405">
        <v>7</v>
      </c>
      <c r="F82" s="405">
        <v>8</v>
      </c>
      <c r="G82" s="406">
        <v>9</v>
      </c>
      <c r="H82" s="405">
        <v>10</v>
      </c>
      <c r="I82" s="405">
        <v>11</v>
      </c>
      <c r="J82" s="405">
        <v>12</v>
      </c>
      <c r="K82" s="405">
        <v>13</v>
      </c>
      <c r="L82" s="405">
        <v>14</v>
      </c>
      <c r="M82" s="405">
        <v>15</v>
      </c>
      <c r="N82" s="405">
        <v>16</v>
      </c>
      <c r="O82" s="405">
        <v>17</v>
      </c>
      <c r="P82" s="405">
        <v>18</v>
      </c>
      <c r="Q82" s="405">
        <v>19</v>
      </c>
      <c r="R82" s="405">
        <v>20</v>
      </c>
    </row>
    <row r="83" spans="1:18" x14ac:dyDescent="0.2">
      <c r="A83" s="4" t="s">
        <v>16</v>
      </c>
      <c r="B83" s="29">
        <v>1.147</v>
      </c>
      <c r="C83" s="389">
        <v>1.147</v>
      </c>
      <c r="D83" s="389">
        <v>1.147</v>
      </c>
      <c r="E83" s="389">
        <v>1.147</v>
      </c>
      <c r="F83" s="389">
        <v>1.147</v>
      </c>
      <c r="G83" s="389">
        <v>1.147</v>
      </c>
      <c r="H83" s="389">
        <v>1.147</v>
      </c>
      <c r="I83" s="389">
        <v>1.147</v>
      </c>
      <c r="J83" s="389">
        <v>1.147</v>
      </c>
      <c r="K83" s="389">
        <v>1.147</v>
      </c>
      <c r="L83" s="389">
        <v>1.147</v>
      </c>
      <c r="M83" s="389">
        <v>1.147</v>
      </c>
      <c r="N83" s="389">
        <v>1.147</v>
      </c>
      <c r="O83" s="389">
        <v>1.147</v>
      </c>
      <c r="P83" s="389">
        <v>1.147</v>
      </c>
      <c r="Q83" s="389">
        <v>1.147</v>
      </c>
      <c r="R83" s="389">
        <v>1.147</v>
      </c>
    </row>
    <row r="84" spans="1:18" x14ac:dyDescent="0.2">
      <c r="A84" s="4" t="s">
        <v>75</v>
      </c>
      <c r="B84" s="407">
        <f t="shared" ref="B84:R84" si="15">B79/B80</f>
        <v>1.0000000000000002</v>
      </c>
      <c r="C84" s="407">
        <f t="shared" si="15"/>
        <v>1.2000000000000002</v>
      </c>
      <c r="D84" s="407">
        <f t="shared" si="15"/>
        <v>1.2000000000000006</v>
      </c>
      <c r="E84" s="407">
        <f t="shared" si="15"/>
        <v>1.2000000000000004</v>
      </c>
      <c r="F84" s="407">
        <f t="shared" si="15"/>
        <v>1.2000000000000002</v>
      </c>
      <c r="G84" s="407">
        <f t="shared" si="15"/>
        <v>1.2000000000000006</v>
      </c>
      <c r="H84" s="407">
        <f t="shared" si="15"/>
        <v>1.2</v>
      </c>
      <c r="I84" s="407">
        <f t="shared" si="15"/>
        <v>1.2000000000000004</v>
      </c>
      <c r="J84" s="407">
        <f t="shared" si="15"/>
        <v>1.2000000000000006</v>
      </c>
      <c r="K84" s="407">
        <f t="shared" si="15"/>
        <v>1.2000000000000004</v>
      </c>
      <c r="L84" s="407">
        <f t="shared" si="15"/>
        <v>1.2000000000000004</v>
      </c>
      <c r="M84" s="407">
        <f t="shared" si="15"/>
        <v>1.2000000000000004</v>
      </c>
      <c r="N84" s="407">
        <f t="shared" si="15"/>
        <v>1.2000000000000002</v>
      </c>
      <c r="O84" s="407">
        <f t="shared" si="15"/>
        <v>1.2000000000000002</v>
      </c>
      <c r="P84" s="407">
        <f t="shared" si="15"/>
        <v>1.2000000000000002</v>
      </c>
      <c r="Q84" s="407">
        <f t="shared" si="15"/>
        <v>1.2000000000000002</v>
      </c>
      <c r="R84" s="407">
        <f t="shared" si="15"/>
        <v>1.2000000000000006</v>
      </c>
    </row>
    <row r="85" spans="1:18" x14ac:dyDescent="0.2">
      <c r="A85" s="4" t="s">
        <v>62</v>
      </c>
      <c r="B85" s="17">
        <f t="shared" ref="B85:R85" si="16">(B79+B82)/(B80)</f>
        <v>1.2602370759762145</v>
      </c>
      <c r="C85" s="17">
        <f t="shared" si="16"/>
        <v>1.3343872552013978</v>
      </c>
      <c r="D85" s="17">
        <f t="shared" si="16"/>
        <v>1.3632592482653711</v>
      </c>
      <c r="E85" s="17">
        <f t="shared" si="16"/>
        <v>1.3928543699047005</v>
      </c>
      <c r="F85" s="17">
        <f t="shared" si="16"/>
        <v>1.4232001318909873</v>
      </c>
      <c r="G85" s="17">
        <f t="shared" si="16"/>
        <v>1.4543254595198649</v>
      </c>
      <c r="H85" s="17">
        <f t="shared" si="16"/>
        <v>1.4862607835738357</v>
      </c>
      <c r="I85" s="17">
        <f t="shared" si="16"/>
        <v>1.5190381395594112</v>
      </c>
      <c r="J85" s="17">
        <f t="shared" si="16"/>
        <v>1.5526912748988022</v>
      </c>
      <c r="K85" s="17">
        <f t="shared" si="16"/>
        <v>1.587255764830136</v>
      </c>
      <c r="L85" s="17">
        <f t="shared" si="16"/>
        <v>1.6227691378529372</v>
      </c>
      <c r="M85" s="17">
        <f t="shared" si="16"/>
        <v>1.6592710116487832</v>
      </c>
      <c r="N85" s="17">
        <f t="shared" si="16"/>
        <v>1.6968032405120463</v>
      </c>
      <c r="O85" s="17">
        <f t="shared" si="16"/>
        <v>1.7354100754441473</v>
      </c>
      <c r="P85" s="17">
        <f t="shared" si="16"/>
        <v>1.7751383381987715</v>
      </c>
      <c r="Q85" s="17">
        <f t="shared" si="16"/>
        <v>1.8160376107172862</v>
      </c>
      <c r="R85" s="17">
        <f t="shared" si="16"/>
        <v>1.8581604415658242</v>
      </c>
    </row>
    <row r="86" spans="1:18" x14ac:dyDescent="0.2">
      <c r="A86" s="4" t="s">
        <v>65</v>
      </c>
      <c r="B86" s="17">
        <f t="shared" ref="B86:R86" si="17">(B79+B82)/(B80+B81)</f>
        <v>0.96033831418004434</v>
      </c>
      <c r="C86" s="17">
        <f t="shared" si="17"/>
        <v>1.0089660332739048</v>
      </c>
      <c r="D86" s="17">
        <f t="shared" si="17"/>
        <v>1.0276971273530815</v>
      </c>
      <c r="E86" s="17">
        <f t="shared" si="17"/>
        <v>1.0467807967775031</v>
      </c>
      <c r="F86" s="17">
        <f t="shared" si="17"/>
        <v>1.0662270909142733</v>
      </c>
      <c r="G86" s="17">
        <f t="shared" si="17"/>
        <v>1.0860464447066276</v>
      </c>
      <c r="H86" s="17">
        <f t="shared" si="17"/>
        <v>1.1062496973453555</v>
      </c>
      <c r="I86" s="17">
        <f t="shared" si="17"/>
        <v>1.1268481120358329</v>
      </c>
      <c r="J86" s="17">
        <f t="shared" si="17"/>
        <v>1.1478533969363875</v>
      </c>
      <c r="K86" s="17">
        <f t="shared" si="17"/>
        <v>1.1692777273498054</v>
      </c>
      <c r="L86" s="17">
        <f t="shared" si="17"/>
        <v>1.1911337692563453</v>
      </c>
      <c r="M86" s="17">
        <f t="shared" si="17"/>
        <v>1.2134347042838389</v>
      </c>
      <c r="N86" s="17">
        <f t="shared" si="17"/>
        <v>1.2361942562183172</v>
      </c>
      <c r="O86" s="17">
        <f t="shared" si="17"/>
        <v>1.2594267191671948</v>
      </c>
      <c r="P86" s="17">
        <f t="shared" si="17"/>
        <v>1.2831469874964569</v>
      </c>
      <c r="Q86" s="17">
        <f t="shared" si="17"/>
        <v>1.3073705876736021</v>
      </c>
      <c r="R86" s="17">
        <f t="shared" si="17"/>
        <v>1.3321137121593949</v>
      </c>
    </row>
    <row r="87" spans="1:18" ht="15.75" x14ac:dyDescent="0.25">
      <c r="A87" s="377" t="s">
        <v>563</v>
      </c>
      <c r="B87" s="324"/>
      <c r="C87" s="324"/>
      <c r="D87" s="324"/>
      <c r="E87" s="324"/>
      <c r="F87" s="324"/>
      <c r="G87" s="324"/>
      <c r="H87" s="324"/>
      <c r="I87" s="4"/>
      <c r="J87" s="4"/>
      <c r="K87" s="4"/>
      <c r="L87" s="4"/>
      <c r="M87" s="4"/>
      <c r="N87" s="4"/>
      <c r="O87" s="4"/>
      <c r="P87" s="4"/>
      <c r="Q87" s="4"/>
      <c r="R87" s="4"/>
    </row>
    <row r="88" spans="1:18" x14ac:dyDescent="0.2">
      <c r="A88" s="4" t="s">
        <v>565</v>
      </c>
      <c r="B88" s="379">
        <v>16.589746861812205</v>
      </c>
      <c r="C88" s="379">
        <v>17.476228393863359</v>
      </c>
      <c r="D88" s="379">
        <v>26.03548345044268</v>
      </c>
      <c r="E88" s="379">
        <v>37.312975678285426</v>
      </c>
      <c r="F88" s="379">
        <v>51.573401998716911</v>
      </c>
      <c r="G88" s="379">
        <v>68.434917016891717</v>
      </c>
      <c r="H88" s="379">
        <v>86.484161515132584</v>
      </c>
      <c r="I88" s="379">
        <v>103.37743987376115</v>
      </c>
      <c r="J88" s="379">
        <v>116.74983666227884</v>
      </c>
      <c r="K88" s="379">
        <v>125.46209097739681</v>
      </c>
      <c r="L88" s="379">
        <v>130.1698731806176</v>
      </c>
      <c r="M88" s="379">
        <v>132.85983092347161</v>
      </c>
      <c r="N88" s="379">
        <v>136.00822858674394</v>
      </c>
      <c r="O88" s="379">
        <v>142.11681695182602</v>
      </c>
      <c r="P88" s="379">
        <v>153.86392152643171</v>
      </c>
      <c r="Q88" s="379">
        <v>174.84850570160702</v>
      </c>
      <c r="R88" s="379">
        <v>211.17078293434977</v>
      </c>
    </row>
    <row r="89" spans="1:18" x14ac:dyDescent="0.2">
      <c r="A89" s="4" t="s">
        <v>566</v>
      </c>
      <c r="B89" s="156">
        <v>7.79995264742867</v>
      </c>
      <c r="C89" s="156">
        <v>7.9999678071619611</v>
      </c>
      <c r="D89" s="156">
        <v>8.9519837758914296</v>
      </c>
      <c r="E89" s="156">
        <v>9.6959948928432418</v>
      </c>
      <c r="F89" s="156">
        <v>10.264001644029038</v>
      </c>
      <c r="G89" s="156">
        <v>10.688004515472814</v>
      </c>
      <c r="H89" s="156">
        <v>11.000003993194404</v>
      </c>
      <c r="I89" s="156">
        <v>11.232000563229841</v>
      </c>
      <c r="J89" s="156">
        <v>11.415994711583073</v>
      </c>
      <c r="K89" s="156">
        <v>11.583986924269745</v>
      </c>
      <c r="L89" s="156">
        <v>11.767977687322583</v>
      </c>
      <c r="M89" s="156">
        <v>11.999967486758212</v>
      </c>
      <c r="N89" s="156">
        <v>12.311956808535228</v>
      </c>
      <c r="O89" s="156">
        <v>12.735946138775633</v>
      </c>
      <c r="P89" s="156">
        <v>13.303935963455707</v>
      </c>
      <c r="Q89" s="156">
        <v>14.047926768595914</v>
      </c>
      <c r="R89" s="156">
        <v>14.999919040536003</v>
      </c>
    </row>
    <row r="90" spans="1:18" x14ac:dyDescent="0.2">
      <c r="A90" s="4" t="s">
        <v>567</v>
      </c>
      <c r="B90" s="156">
        <v>4.4916280467641077</v>
      </c>
      <c r="C90" s="156">
        <v>4.5333648916908746</v>
      </c>
      <c r="D90" s="156">
        <v>4.3664956417325769</v>
      </c>
      <c r="E90" s="156">
        <v>4.1614417549926745</v>
      </c>
      <c r="F90" s="156">
        <v>3.9560236050797242</v>
      </c>
      <c r="G90" s="156">
        <v>3.7741732545163682</v>
      </c>
      <c r="H90" s="156">
        <v>3.629980279778056</v>
      </c>
      <c r="I90" s="156">
        <v>3.5300349814775434</v>
      </c>
      <c r="J90" s="156">
        <v>3.4751669169001773</v>
      </c>
      <c r="K90" s="156">
        <v>3.4620356050886323</v>
      </c>
      <c r="L90" s="156">
        <v>3.4846545058452487</v>
      </c>
      <c r="M90" s="156">
        <v>3.5357015241463388</v>
      </c>
      <c r="N90" s="156">
        <v>3.6074108509722436</v>
      </c>
      <c r="O90" s="156">
        <v>3.6919236632093706</v>
      </c>
      <c r="P90" s="156">
        <v>3.7811056853039435</v>
      </c>
      <c r="Q90" s="156">
        <v>3.8659366928310805</v>
      </c>
      <c r="R90" s="156">
        <v>3.935609932782552</v>
      </c>
    </row>
    <row r="91" spans="1:18" x14ac:dyDescent="0.2">
      <c r="A91" s="4" t="s">
        <v>568</v>
      </c>
      <c r="B91" s="156">
        <v>2.9999586546266439</v>
      </c>
      <c r="C91" s="156">
        <v>3.0000421559379609</v>
      </c>
      <c r="D91" s="156">
        <v>2.6944335720052295</v>
      </c>
      <c r="E91" s="156">
        <v>2.4472261497714118</v>
      </c>
      <c r="F91" s="156">
        <v>2.2528198227194518</v>
      </c>
      <c r="G91" s="156">
        <v>2.1056145242046838</v>
      </c>
      <c r="H91" s="156">
        <v>2.0000101876613159</v>
      </c>
      <c r="I91" s="156">
        <v>1.9304067464571311</v>
      </c>
      <c r="J91" s="156">
        <v>1.8912041339635377</v>
      </c>
      <c r="K91" s="156">
        <v>1.8768022836262515</v>
      </c>
      <c r="L91" s="156">
        <v>1.8816011287928425</v>
      </c>
      <c r="M91" s="156">
        <v>1.9000006028714396</v>
      </c>
      <c r="N91" s="156">
        <v>1.9264006392519351</v>
      </c>
      <c r="O91" s="156">
        <v>1.9552011713315027</v>
      </c>
      <c r="P91" s="156">
        <v>1.9808021325029979</v>
      </c>
      <c r="Q91" s="156">
        <v>1.9976034561598297</v>
      </c>
      <c r="R91" s="156">
        <v>2.0000050756916679</v>
      </c>
    </row>
    <row r="92" spans="1:18" x14ac:dyDescent="0.2">
      <c r="A92" s="4" t="s">
        <v>569</v>
      </c>
      <c r="B92" s="378">
        <v>2.2331785676508771</v>
      </c>
      <c r="C92" s="378">
        <v>2.2223160668543054</v>
      </c>
      <c r="D92" s="378">
        <v>1.9474871405770597</v>
      </c>
      <c r="E92" s="378">
        <v>1.7536983462859059</v>
      </c>
      <c r="F92" s="378">
        <v>1.6155172704036291</v>
      </c>
      <c r="G92" s="378">
        <v>1.5180749991005837</v>
      </c>
      <c r="H92" s="378">
        <v>1.4516094747717181</v>
      </c>
      <c r="I92" s="378">
        <v>1.4091476963474934</v>
      </c>
      <c r="J92" s="378">
        <v>1.3853729767720329</v>
      </c>
      <c r="K92" s="378">
        <v>1.3759788327198552</v>
      </c>
      <c r="L92" s="378">
        <v>1.3772397796493845</v>
      </c>
      <c r="M92" s="378">
        <v>1.3857089512133216</v>
      </c>
      <c r="N92" s="156">
        <v>1.3980270216531638</v>
      </c>
      <c r="O92" s="156">
        <v>1.4108445389374902</v>
      </c>
      <c r="P92" s="156">
        <v>1.420849471105224</v>
      </c>
      <c r="Q92" s="156">
        <v>1.424873284879308</v>
      </c>
      <c r="R92" s="156">
        <v>1.4200347416973398</v>
      </c>
    </row>
    <row r="93" spans="1:18" x14ac:dyDescent="0.2">
      <c r="A93" s="4" t="s">
        <v>570</v>
      </c>
      <c r="B93" s="408">
        <v>1328.2234251243763</v>
      </c>
      <c r="C93" s="408">
        <v>1331.5188821608667</v>
      </c>
      <c r="D93" s="408">
        <v>1351.5787975159226</v>
      </c>
      <c r="E93" s="408">
        <v>1362.5880671348177</v>
      </c>
      <c r="F93" s="408">
        <v>1369.2640479798144</v>
      </c>
      <c r="G93" s="408">
        <v>1373.5175343917133</v>
      </c>
      <c r="H93" s="408">
        <v>1376.2757772839184</v>
      </c>
      <c r="I93" s="408">
        <v>1378.0547943995939</v>
      </c>
      <c r="J93" s="408">
        <v>1379.182573885113</v>
      </c>
      <c r="K93" s="408">
        <v>1379.8993830846211</v>
      </c>
      <c r="L93" s="408">
        <v>1380.4054477342966</v>
      </c>
      <c r="M93" s="408">
        <v>1380.8811465573156</v>
      </c>
      <c r="N93" s="408">
        <v>1381.4899568153098</v>
      </c>
      <c r="O93" s="408">
        <v>1382.369698448131</v>
      </c>
      <c r="P93" s="408">
        <v>1383.6173947128623</v>
      </c>
      <c r="Q93" s="408">
        <v>1385.2744672422691</v>
      </c>
      <c r="R93" s="408">
        <v>1387.31924189137</v>
      </c>
    </row>
    <row r="94" spans="1:18" x14ac:dyDescent="0.2">
      <c r="A94" s="4" t="s">
        <v>571</v>
      </c>
      <c r="B94" s="408">
        <v>1408.6474309884406</v>
      </c>
      <c r="C94" s="408">
        <v>1410.4018484167216</v>
      </c>
      <c r="D94" s="408">
        <v>1414.9982779955712</v>
      </c>
      <c r="E94" s="408">
        <v>1416.6185401932273</v>
      </c>
      <c r="F94" s="408">
        <v>1417.046723250766</v>
      </c>
      <c r="G94" s="408">
        <v>1417.0024731028921</v>
      </c>
      <c r="H94" s="408">
        <v>1416.8287979006204</v>
      </c>
      <c r="I94" s="408">
        <v>1416.7044330069432</v>
      </c>
      <c r="J94" s="408">
        <v>1416.7255509634313</v>
      </c>
      <c r="K94" s="408">
        <v>1416.943584135927</v>
      </c>
      <c r="L94" s="408">
        <v>1417.3852951909626</v>
      </c>
      <c r="M94" s="408">
        <v>1418.0628779913513</v>
      </c>
      <c r="N94" s="408">
        <v>1418.9761689176798</v>
      </c>
      <c r="O94" s="408">
        <v>1420.1084720156366</v>
      </c>
      <c r="P94" s="408">
        <v>1421.4189088907738</v>
      </c>
      <c r="Q94" s="408">
        <v>1422.8354634675438</v>
      </c>
      <c r="R94" s="408">
        <v>1424.252463478841</v>
      </c>
    </row>
    <row r="95" spans="1:18" x14ac:dyDescent="0.2">
      <c r="A95" s="4" t="s">
        <v>572</v>
      </c>
      <c r="B95" s="156">
        <v>0.22381377061003729</v>
      </c>
      <c r="C95" s="156">
        <v>0.22818614530312498</v>
      </c>
      <c r="D95" s="156">
        <v>0.2838244631438791</v>
      </c>
      <c r="E95" s="156">
        <v>0.33314533412545017</v>
      </c>
      <c r="F95" s="156">
        <v>0.3767055715890964</v>
      </c>
      <c r="G95" s="156">
        <v>0.41393642335691522</v>
      </c>
      <c r="H95" s="156">
        <v>0.44386336026931061</v>
      </c>
      <c r="I95" s="156">
        <v>0.46572233657515422</v>
      </c>
      <c r="J95" s="156">
        <v>0.47945052312847425</v>
      </c>
      <c r="K95" s="156">
        <v>0.48590601198471411</v>
      </c>
      <c r="L95" s="156">
        <v>0.48675160223667491</v>
      </c>
      <c r="M95" s="156">
        <v>0.48410870892158026</v>
      </c>
      <c r="N95" s="156">
        <v>0.48017655000308695</v>
      </c>
      <c r="O95" s="156">
        <v>0.47696303558467018</v>
      </c>
      <c r="P95" s="156">
        <v>0.47617140189897256</v>
      </c>
      <c r="Q95" s="156">
        <v>0.47922051619833861</v>
      </c>
      <c r="R95" s="156">
        <v>0.4873660955183553</v>
      </c>
    </row>
    <row r="96" spans="1:18" x14ac:dyDescent="0.2">
      <c r="A96" s="4" t="s">
        <v>573</v>
      </c>
      <c r="B96" s="156">
        <v>4.7999939928020261</v>
      </c>
      <c r="C96" s="156">
        <v>4.9999256512240002</v>
      </c>
      <c r="D96" s="156">
        <v>6.2575502038862005</v>
      </c>
      <c r="E96" s="156">
        <v>7.2487687430718299</v>
      </c>
      <c r="F96" s="156">
        <v>8.0111818213095862</v>
      </c>
      <c r="G96" s="156">
        <v>8.5823899912681298</v>
      </c>
      <c r="H96" s="156">
        <v>8.999993805533089</v>
      </c>
      <c r="I96" s="156">
        <v>9.3015938167727104</v>
      </c>
      <c r="J96" s="156">
        <v>9.5247905776195356</v>
      </c>
      <c r="K96" s="156">
        <v>9.7071846406434936</v>
      </c>
      <c r="L96" s="156">
        <v>9.8863765585297401</v>
      </c>
      <c r="M96" s="156">
        <v>10.099966883886772</v>
      </c>
      <c r="N96" s="156">
        <v>10.385556169283294</v>
      </c>
      <c r="O96" s="156">
        <v>10.78074496744413</v>
      </c>
      <c r="P96" s="156">
        <v>11.32313383095271</v>
      </c>
      <c r="Q96" s="156">
        <v>12.050323312436085</v>
      </c>
      <c r="R96" s="156">
        <v>12.999913964844335</v>
      </c>
    </row>
  </sheetData>
  <phoneticPr fontId="44" type="noConversion"/>
  <pageMargins left="0.4" right="0.2" top="1" bottom="1" header="0.5" footer="0.5"/>
  <pageSetup paperSize="9" orientation="landscape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T4311"/>
  <sheetViews>
    <sheetView topLeftCell="B6" zoomScale="60" zoomScaleNormal="75" workbookViewId="0">
      <selection activeCell="Y11" sqref="Y11"/>
    </sheetView>
  </sheetViews>
  <sheetFormatPr defaultRowHeight="12.75" x14ac:dyDescent="0.2"/>
  <cols>
    <col min="1" max="1" width="27.85546875" customWidth="1"/>
    <col min="2" max="2" width="8" customWidth="1"/>
    <col min="3" max="3" width="7.5703125" customWidth="1"/>
    <col min="4" max="4" width="9" customWidth="1"/>
    <col min="5" max="5" width="7.85546875" customWidth="1"/>
    <col min="6" max="6" width="8.7109375" customWidth="1"/>
    <col min="8" max="8" width="9.42578125" customWidth="1"/>
    <col min="9" max="9" width="8.85546875" customWidth="1"/>
    <col min="10" max="10" width="8.140625" customWidth="1"/>
    <col min="11" max="11" width="7.28515625" customWidth="1"/>
    <col min="12" max="12" width="7.85546875" customWidth="1"/>
    <col min="13" max="13" width="9.42578125" customWidth="1"/>
    <col min="17" max="18" width="9.85546875" bestFit="1" customWidth="1"/>
  </cols>
  <sheetData>
    <row r="1" spans="1:19" ht="15.75" x14ac:dyDescent="0.25">
      <c r="D1" s="396" t="s">
        <v>585</v>
      </c>
      <c r="E1" s="399"/>
      <c r="F1" s="399"/>
    </row>
    <row r="3" spans="1:19" ht="15.75" x14ac:dyDescent="0.25">
      <c r="B3" s="400" t="s">
        <v>586</v>
      </c>
      <c r="C3" s="399"/>
      <c r="D3" s="399"/>
      <c r="E3" s="399"/>
      <c r="F3" s="399"/>
      <c r="G3" s="399"/>
      <c r="H3" s="399"/>
      <c r="K3" s="374"/>
      <c r="L3" s="402" t="s">
        <v>587</v>
      </c>
    </row>
    <row r="4" spans="1:19" ht="15.75" x14ac:dyDescent="0.25">
      <c r="B4" s="400" t="s">
        <v>588</v>
      </c>
      <c r="C4" s="400"/>
      <c r="D4" s="400"/>
      <c r="E4" s="400"/>
      <c r="F4" s="400"/>
      <c r="G4" s="400"/>
      <c r="H4" s="399"/>
    </row>
    <row r="5" spans="1:19" x14ac:dyDescent="0.2">
      <c r="A5" s="13" t="s">
        <v>580</v>
      </c>
      <c r="B5" s="42">
        <v>100</v>
      </c>
      <c r="C5" s="42">
        <v>100</v>
      </c>
      <c r="D5" s="42">
        <v>100</v>
      </c>
      <c r="E5" s="42">
        <v>100</v>
      </c>
      <c r="F5" s="42">
        <v>100</v>
      </c>
      <c r="G5" s="42">
        <v>100</v>
      </c>
      <c r="H5" s="42">
        <v>100</v>
      </c>
      <c r="I5" s="42">
        <v>100</v>
      </c>
      <c r="J5" s="42">
        <v>100</v>
      </c>
      <c r="K5" s="42">
        <v>100</v>
      </c>
      <c r="L5" s="42">
        <v>100</v>
      </c>
      <c r="M5" s="42">
        <v>100</v>
      </c>
      <c r="N5" s="42"/>
      <c r="O5" s="42"/>
      <c r="P5" s="42"/>
      <c r="Q5" s="42"/>
      <c r="R5" s="42"/>
      <c r="S5" s="42"/>
    </row>
    <row r="6" spans="1:19" x14ac:dyDescent="0.2">
      <c r="A6" s="13" t="s">
        <v>75</v>
      </c>
      <c r="B6" s="42">
        <v>1</v>
      </c>
      <c r="C6" s="42">
        <v>0.8</v>
      </c>
      <c r="D6" s="42">
        <v>0.8</v>
      </c>
      <c r="E6" s="42">
        <v>0.8</v>
      </c>
      <c r="F6" s="42">
        <v>0.8</v>
      </c>
      <c r="G6" s="42">
        <v>0.8</v>
      </c>
      <c r="H6" s="42">
        <v>0.8</v>
      </c>
      <c r="I6" s="42">
        <v>0.8</v>
      </c>
      <c r="J6" s="42">
        <v>0.8</v>
      </c>
      <c r="K6" s="42">
        <v>0.8</v>
      </c>
      <c r="L6" s="42">
        <v>0.8</v>
      </c>
      <c r="M6" s="42">
        <v>0.8</v>
      </c>
      <c r="N6" s="42"/>
      <c r="O6" s="42"/>
      <c r="P6" s="42"/>
      <c r="Q6" s="42"/>
      <c r="R6" s="42"/>
      <c r="S6" s="42"/>
    </row>
    <row r="7" spans="1:19" x14ac:dyDescent="0.2">
      <c r="A7" s="43"/>
      <c r="B7" s="331" t="s">
        <v>579</v>
      </c>
      <c r="C7" s="49"/>
      <c r="D7" s="49"/>
      <c r="E7" s="49"/>
      <c r="F7" s="49"/>
      <c r="G7" s="49"/>
      <c r="H7" s="49"/>
      <c r="N7" s="42"/>
      <c r="O7" s="42"/>
      <c r="P7" s="42"/>
      <c r="Q7" s="42"/>
      <c r="R7" s="42"/>
      <c r="S7" s="42"/>
    </row>
    <row r="8" spans="1:19" x14ac:dyDescent="0.2">
      <c r="A8" s="335" t="s">
        <v>7</v>
      </c>
      <c r="B8" s="403">
        <f>B12</f>
        <v>10</v>
      </c>
      <c r="C8" s="403">
        <f t="shared" ref="C8:M8" si="0">C11</f>
        <v>5</v>
      </c>
      <c r="D8" s="403">
        <f t="shared" si="0"/>
        <v>6</v>
      </c>
      <c r="E8" s="403">
        <f t="shared" si="0"/>
        <v>7</v>
      </c>
      <c r="F8" s="403">
        <f t="shared" si="0"/>
        <v>8</v>
      </c>
      <c r="G8" s="403">
        <f t="shared" si="0"/>
        <v>9</v>
      </c>
      <c r="H8" s="403">
        <f t="shared" si="0"/>
        <v>10</v>
      </c>
      <c r="I8" s="403">
        <f t="shared" si="0"/>
        <v>11</v>
      </c>
      <c r="J8" s="403">
        <f t="shared" si="0"/>
        <v>12</v>
      </c>
      <c r="K8" s="403">
        <f t="shared" si="0"/>
        <v>13</v>
      </c>
      <c r="L8" s="403">
        <f t="shared" si="0"/>
        <v>14</v>
      </c>
      <c r="M8" s="403">
        <f t="shared" si="0"/>
        <v>15</v>
      </c>
      <c r="N8" s="42"/>
      <c r="O8" s="42"/>
      <c r="P8" s="42"/>
      <c r="Q8" s="42"/>
      <c r="R8" s="42"/>
      <c r="S8" s="42"/>
    </row>
    <row r="9" spans="1:19" x14ac:dyDescent="0.2">
      <c r="A9" s="4" t="s">
        <v>8</v>
      </c>
      <c r="B9" s="324">
        <f t="shared" ref="B9:M9" si="1">B5-B10-B11-B12-B13</f>
        <v>38.426500000000004</v>
      </c>
      <c r="C9" s="324">
        <f t="shared" si="1"/>
        <v>37.268000000000008</v>
      </c>
      <c r="D9" s="324">
        <f t="shared" si="1"/>
        <v>36.823555555555558</v>
      </c>
      <c r="E9" s="324">
        <f t="shared" si="1"/>
        <v>36.379111111111115</v>
      </c>
      <c r="F9" s="324">
        <f t="shared" si="1"/>
        <v>35.934666666666672</v>
      </c>
      <c r="G9" s="324">
        <f t="shared" si="1"/>
        <v>35.490222222222229</v>
      </c>
      <c r="H9" s="324">
        <f t="shared" si="1"/>
        <v>35.045777777777786</v>
      </c>
      <c r="I9" s="324">
        <f t="shared" si="1"/>
        <v>34.601333333333336</v>
      </c>
      <c r="J9" s="324">
        <f t="shared" si="1"/>
        <v>34.156888888888894</v>
      </c>
      <c r="K9" s="324">
        <f t="shared" si="1"/>
        <v>33.712444444444451</v>
      </c>
      <c r="L9" s="324">
        <f t="shared" si="1"/>
        <v>33.268000000000008</v>
      </c>
      <c r="M9" s="324">
        <f t="shared" si="1"/>
        <v>32.823555555555558</v>
      </c>
      <c r="N9" s="42"/>
      <c r="O9" s="42"/>
      <c r="P9" s="42"/>
      <c r="Q9" s="42"/>
      <c r="R9" s="42"/>
      <c r="S9" s="42"/>
    </row>
    <row r="10" spans="1:19" x14ac:dyDescent="0.2">
      <c r="A10" s="4" t="s">
        <v>6</v>
      </c>
      <c r="B10" s="324">
        <f t="shared" ref="B10:M10" si="2">(B5-B11-B12-B13)/(1+B6)</f>
        <v>38.426499999999997</v>
      </c>
      <c r="C10" s="324">
        <f t="shared" si="2"/>
        <v>46.584999999999994</v>
      </c>
      <c r="D10" s="324">
        <f t="shared" si="2"/>
        <v>46.029444444444444</v>
      </c>
      <c r="E10" s="324">
        <f t="shared" si="2"/>
        <v>45.473888888888887</v>
      </c>
      <c r="F10" s="324">
        <f t="shared" si="2"/>
        <v>44.918333333333329</v>
      </c>
      <c r="G10" s="324">
        <f t="shared" si="2"/>
        <v>44.362777777777772</v>
      </c>
      <c r="H10" s="324">
        <f t="shared" si="2"/>
        <v>43.807222222222215</v>
      </c>
      <c r="I10" s="324">
        <f t="shared" si="2"/>
        <v>43.251666666666665</v>
      </c>
      <c r="J10" s="324">
        <f t="shared" si="2"/>
        <v>42.696111111111108</v>
      </c>
      <c r="K10" s="324">
        <f t="shared" si="2"/>
        <v>42.140555555555551</v>
      </c>
      <c r="L10" s="324">
        <f t="shared" si="2"/>
        <v>41.584999999999994</v>
      </c>
      <c r="M10" s="324">
        <f t="shared" si="2"/>
        <v>41.029444444444444</v>
      </c>
      <c r="N10" s="42"/>
      <c r="O10" s="42"/>
      <c r="P10" s="42"/>
      <c r="Q10" s="42"/>
      <c r="R10" s="42"/>
      <c r="S10" s="42"/>
    </row>
    <row r="11" spans="1:19" x14ac:dyDescent="0.2">
      <c r="A11" s="4" t="s">
        <v>7</v>
      </c>
      <c r="B11" s="404">
        <v>12</v>
      </c>
      <c r="C11" s="404">
        <v>5</v>
      </c>
      <c r="D11" s="404">
        <v>6</v>
      </c>
      <c r="E11" s="404">
        <v>7</v>
      </c>
      <c r="F11" s="404">
        <v>8</v>
      </c>
      <c r="G11" s="404">
        <v>9</v>
      </c>
      <c r="H11" s="404">
        <v>10</v>
      </c>
      <c r="I11" s="404">
        <v>11</v>
      </c>
      <c r="J11" s="404">
        <v>12</v>
      </c>
      <c r="K11" s="404">
        <v>13</v>
      </c>
      <c r="L11" s="404">
        <v>14</v>
      </c>
      <c r="M11" s="404">
        <v>15</v>
      </c>
      <c r="N11" s="42"/>
      <c r="O11" s="42"/>
      <c r="P11" s="42"/>
      <c r="Q11" s="42"/>
      <c r="R11" s="42"/>
      <c r="S11" s="42"/>
    </row>
    <row r="12" spans="1:19" x14ac:dyDescent="0.2">
      <c r="A12" s="4" t="s">
        <v>9</v>
      </c>
      <c r="B12" s="405">
        <v>10</v>
      </c>
      <c r="C12" s="405">
        <v>10</v>
      </c>
      <c r="D12" s="405">
        <v>10</v>
      </c>
      <c r="E12" s="405">
        <v>10</v>
      </c>
      <c r="F12" s="405">
        <v>10</v>
      </c>
      <c r="G12" s="405">
        <v>10</v>
      </c>
      <c r="H12" s="405">
        <v>10</v>
      </c>
      <c r="I12" s="405">
        <v>10</v>
      </c>
      <c r="J12" s="405">
        <v>10</v>
      </c>
      <c r="K12" s="405">
        <v>10</v>
      </c>
      <c r="L12" s="405">
        <v>10</v>
      </c>
      <c r="M12" s="405">
        <v>10</v>
      </c>
      <c r="N12" s="42"/>
      <c r="O12" s="42"/>
      <c r="P12" s="42"/>
      <c r="Q12" s="42"/>
      <c r="R12" s="42"/>
      <c r="S12" s="42"/>
    </row>
    <row r="13" spans="1:19" x14ac:dyDescent="0.2">
      <c r="A13" s="4" t="s">
        <v>16</v>
      </c>
      <c r="B13" s="29">
        <v>1.147</v>
      </c>
      <c r="C13" s="389">
        <v>1.147</v>
      </c>
      <c r="D13" s="389">
        <v>1.147</v>
      </c>
      <c r="E13" s="389">
        <v>1.147</v>
      </c>
      <c r="F13" s="389">
        <v>1.147</v>
      </c>
      <c r="G13" s="389">
        <v>1.147</v>
      </c>
      <c r="H13" s="389">
        <v>1.147</v>
      </c>
      <c r="I13" s="389">
        <v>1.147</v>
      </c>
      <c r="J13" s="389">
        <v>1.147</v>
      </c>
      <c r="K13" s="389">
        <v>1.147</v>
      </c>
      <c r="L13" s="389">
        <v>1.147</v>
      </c>
      <c r="M13" s="389">
        <v>1.147</v>
      </c>
      <c r="N13" s="42"/>
      <c r="O13" s="42"/>
      <c r="P13" s="42"/>
      <c r="Q13" s="42"/>
      <c r="R13" s="42"/>
      <c r="S13" s="42"/>
    </row>
    <row r="14" spans="1:19" x14ac:dyDescent="0.2">
      <c r="A14" s="4" t="s">
        <v>75</v>
      </c>
      <c r="B14" s="389">
        <f t="shared" ref="B14:M14" si="3">B9/B10</f>
        <v>1.0000000000000002</v>
      </c>
      <c r="C14" s="389">
        <f t="shared" si="3"/>
        <v>0.80000000000000027</v>
      </c>
      <c r="D14" s="389">
        <f t="shared" si="3"/>
        <v>0.8</v>
      </c>
      <c r="E14" s="389">
        <f t="shared" si="3"/>
        <v>0.80000000000000016</v>
      </c>
      <c r="F14" s="389">
        <f t="shared" si="3"/>
        <v>0.80000000000000016</v>
      </c>
      <c r="G14" s="389">
        <f t="shared" si="3"/>
        <v>0.80000000000000027</v>
      </c>
      <c r="H14" s="389">
        <f t="shared" si="3"/>
        <v>0.80000000000000038</v>
      </c>
      <c r="I14" s="389">
        <f t="shared" si="3"/>
        <v>0.8</v>
      </c>
      <c r="J14" s="389">
        <f t="shared" si="3"/>
        <v>0.80000000000000016</v>
      </c>
      <c r="K14" s="389">
        <f t="shared" si="3"/>
        <v>0.80000000000000027</v>
      </c>
      <c r="L14" s="389">
        <f t="shared" si="3"/>
        <v>0.80000000000000027</v>
      </c>
      <c r="M14" s="389">
        <f t="shared" si="3"/>
        <v>0.8</v>
      </c>
      <c r="N14" s="42"/>
      <c r="O14" s="42"/>
      <c r="P14" s="42"/>
      <c r="Q14" s="42"/>
      <c r="R14" s="42"/>
      <c r="S14" s="42"/>
    </row>
    <row r="15" spans="1:19" x14ac:dyDescent="0.2">
      <c r="A15" s="4" t="s">
        <v>62</v>
      </c>
      <c r="B15" s="324">
        <f t="shared" ref="B15:M15" si="4">(B9+B12)/(B10)</f>
        <v>1.2602370759762145</v>
      </c>
      <c r="C15" s="324">
        <f t="shared" si="4"/>
        <v>1.0146613716861654</v>
      </c>
      <c r="D15" s="324">
        <f t="shared" si="4"/>
        <v>1.017252241922441</v>
      </c>
      <c r="E15" s="324">
        <f t="shared" si="4"/>
        <v>1.0199064176022872</v>
      </c>
      <c r="F15" s="324">
        <f t="shared" si="4"/>
        <v>1.0226262476345964</v>
      </c>
      <c r="G15" s="324">
        <f t="shared" si="4"/>
        <v>1.0254141985899092</v>
      </c>
      <c r="H15" s="324">
        <f t="shared" si="4"/>
        <v>1.0282728621612371</v>
      </c>
      <c r="I15" s="324">
        <f t="shared" si="4"/>
        <v>1.0312049631998768</v>
      </c>
      <c r="J15" s="324">
        <f t="shared" si="4"/>
        <v>1.034213368378593</v>
      </c>
      <c r="K15" s="324">
        <f t="shared" si="4"/>
        <v>1.0373010955400581</v>
      </c>
      <c r="L15" s="324">
        <f t="shared" si="4"/>
        <v>1.0404713237946379</v>
      </c>
      <c r="M15" s="324">
        <f t="shared" si="4"/>
        <v>1.0437274044385469</v>
      </c>
      <c r="N15" s="42"/>
      <c r="O15" s="42"/>
      <c r="P15" s="42"/>
      <c r="Q15" s="42"/>
      <c r="R15" s="42"/>
      <c r="S15" s="42"/>
    </row>
    <row r="16" spans="1:19" x14ac:dyDescent="0.2">
      <c r="A16" s="4" t="s">
        <v>65</v>
      </c>
      <c r="B16" s="324">
        <f t="shared" ref="B16:M16" si="5">(B9+B12)/(B10+B11)</f>
        <v>0.96033831418004434</v>
      </c>
      <c r="C16" s="324">
        <f t="shared" si="5"/>
        <v>0.91631288165164315</v>
      </c>
      <c r="D16" s="324">
        <f t="shared" si="5"/>
        <v>0.89994340811292761</v>
      </c>
      <c r="E16" s="324">
        <f t="shared" si="5"/>
        <v>0.88385122759467682</v>
      </c>
      <c r="F16" s="324">
        <f t="shared" si="5"/>
        <v>0.86802935340619214</v>
      </c>
      <c r="G16" s="324">
        <f t="shared" si="5"/>
        <v>0.85247103161796112</v>
      </c>
      <c r="H16" s="324">
        <f t="shared" si="5"/>
        <v>0.83716973144869056</v>
      </c>
      <c r="I16" s="324">
        <f t="shared" si="5"/>
        <v>0.82211913612485032</v>
      </c>
      <c r="J16" s="324">
        <f t="shared" si="5"/>
        <v>0.80731313418585526</v>
      </c>
      <c r="K16" s="324">
        <f t="shared" si="5"/>
        <v>0.79274581120973686</v>
      </c>
      <c r="L16" s="324">
        <f t="shared" si="5"/>
        <v>0.77841144193577427</v>
      </c>
      <c r="M16" s="324">
        <f t="shared" si="5"/>
        <v>0.76430448276203988</v>
      </c>
      <c r="N16" s="42"/>
      <c r="O16" s="42"/>
      <c r="P16" s="42"/>
      <c r="Q16" s="42"/>
      <c r="R16" s="42"/>
      <c r="S16" s="42"/>
    </row>
    <row r="17" spans="1:19" ht="15.75" x14ac:dyDescent="0.25">
      <c r="A17" s="377" t="s">
        <v>563</v>
      </c>
      <c r="B17" s="324"/>
      <c r="C17" s="324"/>
      <c r="D17" s="324"/>
      <c r="E17" s="324"/>
      <c r="F17" s="324"/>
      <c r="G17" s="324"/>
      <c r="H17" s="324"/>
      <c r="I17" s="4"/>
      <c r="J17" s="4"/>
      <c r="K17" s="4"/>
      <c r="L17" s="4"/>
      <c r="M17" s="4"/>
      <c r="N17" s="42"/>
      <c r="O17" s="42"/>
      <c r="P17" s="42"/>
      <c r="Q17" s="42"/>
      <c r="R17" s="42"/>
      <c r="S17" s="42"/>
    </row>
    <row r="18" spans="1:19" x14ac:dyDescent="0.2">
      <c r="A18" s="4" t="s">
        <v>565</v>
      </c>
      <c r="B18" s="378">
        <v>16.589746861812205</v>
      </c>
      <c r="C18" s="378">
        <v>15.360669362472395</v>
      </c>
      <c r="D18" s="378">
        <v>19.043118188892134</v>
      </c>
      <c r="E18" s="378">
        <v>23.325470363068415</v>
      </c>
      <c r="F18" s="378">
        <v>27.520288621987177</v>
      </c>
      <c r="G18" s="378">
        <v>30.368288876681433</v>
      </c>
      <c r="H18" s="378">
        <v>30.778905349866012</v>
      </c>
      <c r="I18" s="378">
        <v>28.809756109027646</v>
      </c>
      <c r="J18" s="378">
        <v>25.526223197157666</v>
      </c>
      <c r="K18" s="378">
        <v>22.021352403987848</v>
      </c>
      <c r="L18" s="156">
        <v>18.883695453921547</v>
      </c>
      <c r="M18" s="378">
        <v>16.276931289612115</v>
      </c>
      <c r="N18" s="42"/>
      <c r="O18" s="42"/>
      <c r="P18" s="42"/>
      <c r="Q18" s="42"/>
      <c r="R18" s="42"/>
      <c r="S18" s="42"/>
    </row>
    <row r="19" spans="1:19" x14ac:dyDescent="0.2">
      <c r="A19" s="4" t="s">
        <v>566</v>
      </c>
      <c r="B19" s="378">
        <v>7.79995264742867</v>
      </c>
      <c r="C19" s="378">
        <v>8.6000001341930421</v>
      </c>
      <c r="D19" s="378">
        <v>8.9200008986764789</v>
      </c>
      <c r="E19" s="378">
        <v>9.2000013548501531</v>
      </c>
      <c r="F19" s="378">
        <v>9.4400015027126827</v>
      </c>
      <c r="G19" s="378">
        <v>9.6400013422689543</v>
      </c>
      <c r="H19" s="378">
        <v>9.8000008735083242</v>
      </c>
      <c r="I19" s="378">
        <v>9.9200000964369988</v>
      </c>
      <c r="J19" s="378">
        <v>9.9999990110558485</v>
      </c>
      <c r="K19" s="378">
        <v>10.039997617360925</v>
      </c>
      <c r="L19" s="156">
        <v>10.039995915355199</v>
      </c>
      <c r="M19" s="378">
        <v>9.9999939050533264</v>
      </c>
      <c r="N19" s="42"/>
      <c r="O19" s="42"/>
      <c r="P19" s="42"/>
      <c r="Q19" s="42"/>
      <c r="R19" s="42"/>
      <c r="S19" s="42"/>
    </row>
    <row r="20" spans="1:19" x14ac:dyDescent="0.2">
      <c r="A20" s="4" t="s">
        <v>567</v>
      </c>
      <c r="B20" s="378">
        <v>4.4916280467641077</v>
      </c>
      <c r="C20" s="378">
        <v>5.4459724648869816</v>
      </c>
      <c r="D20" s="378">
        <v>5.0788373082576808</v>
      </c>
      <c r="E20" s="378">
        <v>4.7763398937786974</v>
      </c>
      <c r="F20" s="378">
        <v>4.5738038478509306</v>
      </c>
      <c r="G20" s="378">
        <v>4.5005048412555215</v>
      </c>
      <c r="H20" s="378">
        <v>4.5728774517823076</v>
      </c>
      <c r="I20" s="378">
        <v>4.7904451925667662</v>
      </c>
      <c r="J20" s="378">
        <v>5.1373455802890788</v>
      </c>
      <c r="K20" s="378">
        <v>5.5882056759312517</v>
      </c>
      <c r="L20" s="156">
        <v>6.114556294002262</v>
      </c>
      <c r="M20" s="378">
        <v>6.6891845624502713</v>
      </c>
      <c r="N20" s="42"/>
      <c r="O20" s="42"/>
      <c r="P20" s="42"/>
      <c r="Q20" s="42"/>
      <c r="R20" s="42"/>
      <c r="S20" s="42"/>
    </row>
    <row r="21" spans="1:19" x14ac:dyDescent="0.2">
      <c r="A21" s="4" t="s">
        <v>568</v>
      </c>
      <c r="B21" s="378">
        <v>2.9999586546266439</v>
      </c>
      <c r="C21" s="378">
        <v>3.800001667628107</v>
      </c>
      <c r="D21" s="378">
        <v>3.3428577315389054</v>
      </c>
      <c r="E21" s="378">
        <v>3.0095234795307571</v>
      </c>
      <c r="F21" s="378">
        <v>2.7999989116155475</v>
      </c>
      <c r="G21" s="378">
        <v>2.714284027796003</v>
      </c>
      <c r="H21" s="378">
        <v>2.7523788280578496</v>
      </c>
      <c r="I21" s="378">
        <v>2.9142833124095255</v>
      </c>
      <c r="J21" s="378">
        <v>3.1999974808510618</v>
      </c>
      <c r="K21" s="378">
        <v>3.6095213333817346</v>
      </c>
      <c r="L21" s="156">
        <v>4.142854869999705</v>
      </c>
      <c r="M21" s="378">
        <v>4.7999980907158548</v>
      </c>
      <c r="N21" s="42"/>
      <c r="O21" s="42"/>
      <c r="P21" s="42"/>
      <c r="Q21" s="42"/>
      <c r="R21" s="42"/>
      <c r="S21" s="42"/>
    </row>
    <row r="22" spans="1:19" x14ac:dyDescent="0.2">
      <c r="A22" s="4" t="s">
        <v>569</v>
      </c>
      <c r="B22" s="378">
        <v>2.2331785676508771</v>
      </c>
      <c r="C22" s="378">
        <v>2.8620531891297452</v>
      </c>
      <c r="D22" s="378">
        <v>2.4503200465326183</v>
      </c>
      <c r="E22" s="378">
        <v>2.173474787264162</v>
      </c>
      <c r="F22" s="378">
        <v>2.0082946778758108</v>
      </c>
      <c r="G22" s="378">
        <v>1.9403227711147391</v>
      </c>
      <c r="H22" s="378">
        <v>1.9627287889701377</v>
      </c>
      <c r="I22" s="378">
        <v>2.0756903926189367</v>
      </c>
      <c r="J22" s="378">
        <v>2.2857538092893765</v>
      </c>
      <c r="K22" s="378">
        <v>2.6052282922644712</v>
      </c>
      <c r="L22" s="156">
        <v>3.0519879874800409</v>
      </c>
      <c r="M22" s="378">
        <v>3.6498771916425219</v>
      </c>
      <c r="N22" s="42"/>
      <c r="O22" s="42"/>
      <c r="P22" s="42"/>
      <c r="Q22" s="42"/>
      <c r="R22" s="42"/>
      <c r="S22" s="42"/>
    </row>
    <row r="23" spans="1:19" x14ac:dyDescent="0.2">
      <c r="A23" s="4" t="s">
        <v>570</v>
      </c>
      <c r="B23" s="408">
        <v>1328.2234251243763</v>
      </c>
      <c r="C23" s="408">
        <v>1315.6298213925363</v>
      </c>
      <c r="D23" s="408">
        <v>1335.1554440094026</v>
      </c>
      <c r="E23" s="408">
        <v>1346.8904207627577</v>
      </c>
      <c r="F23" s="408">
        <v>1353.7719665438703</v>
      </c>
      <c r="G23" s="408">
        <v>1357.1604206924642</v>
      </c>
      <c r="H23" s="408">
        <v>1357.7018847640602</v>
      </c>
      <c r="I23" s="408">
        <v>1355.6498367709926</v>
      </c>
      <c r="J23" s="408">
        <v>1350.9445733997943</v>
      </c>
      <c r="K23" s="408">
        <v>1343.1395768743516</v>
      </c>
      <c r="L23" s="408">
        <v>1331.1619030685886</v>
      </c>
      <c r="M23" s="408">
        <v>1312.7237765338755</v>
      </c>
      <c r="N23" s="42"/>
      <c r="O23" s="42"/>
      <c r="P23" s="42"/>
      <c r="Q23" s="42"/>
      <c r="R23" s="42"/>
      <c r="S23" s="42"/>
    </row>
    <row r="24" spans="1:19" x14ac:dyDescent="0.2">
      <c r="A24" s="4" t="s">
        <v>571</v>
      </c>
      <c r="B24" s="408">
        <v>1408.6474309884406</v>
      </c>
      <c r="C24" s="408">
        <v>1421.0655362937482</v>
      </c>
      <c r="D24" s="408">
        <v>1419.7256892996647</v>
      </c>
      <c r="E24" s="408">
        <v>1418.7681930120168</v>
      </c>
      <c r="F24" s="408">
        <v>1418.3395382386732</v>
      </c>
      <c r="G24" s="408">
        <v>1418.5796328928893</v>
      </c>
      <c r="H24" s="408">
        <v>1419.621540861318</v>
      </c>
      <c r="I24" s="408">
        <v>1421.5934930505407</v>
      </c>
      <c r="J24" s="408">
        <v>1424.6452567604038</v>
      </c>
      <c r="K24" s="408">
        <v>1429.0104613357717</v>
      </c>
      <c r="L24" s="408">
        <v>1435.1215051891827</v>
      </c>
      <c r="M24" s="408">
        <v>1443.8471506139751</v>
      </c>
      <c r="N24" s="42"/>
      <c r="O24" s="42"/>
      <c r="P24" s="42"/>
      <c r="Q24" s="42"/>
      <c r="R24" s="42"/>
      <c r="S24" s="42"/>
    </row>
    <row r="25" spans="1:19" x14ac:dyDescent="0.2">
      <c r="A25" s="4" t="s">
        <v>572</v>
      </c>
      <c r="B25" s="378">
        <v>0.22381377061003729</v>
      </c>
      <c r="C25" s="378">
        <v>0.17072013991525661</v>
      </c>
      <c r="D25" s="378">
        <v>0.21284081580017136</v>
      </c>
      <c r="E25" s="378">
        <v>0.25042512360537905</v>
      </c>
      <c r="F25" s="378">
        <v>0.27877771344851199</v>
      </c>
      <c r="G25" s="378">
        <v>0.29306790750200157</v>
      </c>
      <c r="H25" s="378">
        <v>0.29069928895805297</v>
      </c>
      <c r="I25" s="378">
        <v>0.27296029694948154</v>
      </c>
      <c r="J25" s="378">
        <v>0.24423111400375969</v>
      </c>
      <c r="K25" s="378">
        <v>0.20961703274509791</v>
      </c>
      <c r="L25" s="378">
        <v>0.17314417940076213</v>
      </c>
      <c r="M25" s="378">
        <v>0.13727529608111133</v>
      </c>
      <c r="N25" s="42"/>
      <c r="O25" s="42"/>
      <c r="P25" s="42"/>
      <c r="Q25" s="42"/>
      <c r="R25" s="42"/>
      <c r="S25" s="42"/>
    </row>
    <row r="26" spans="1:19" x14ac:dyDescent="0.2">
      <c r="A26" s="4" t="s">
        <v>573</v>
      </c>
      <c r="B26" s="378">
        <v>4.7999939928020261</v>
      </c>
      <c r="C26" s="378">
        <v>4.7999984665649347</v>
      </c>
      <c r="D26" s="378">
        <v>5.5771431671375735</v>
      </c>
      <c r="E26" s="378">
        <v>6.1904778753193961</v>
      </c>
      <c r="F26" s="378">
        <v>6.6400025910971348</v>
      </c>
      <c r="G26" s="378">
        <v>6.9257173144729514</v>
      </c>
      <c r="H26" s="378">
        <v>7.0476220454504741</v>
      </c>
      <c r="I26" s="378">
        <v>7.0057167840274737</v>
      </c>
      <c r="J26" s="378">
        <v>6.8000015302047867</v>
      </c>
      <c r="K26" s="378">
        <v>6.43047628397919</v>
      </c>
      <c r="L26" s="156">
        <v>5.897141045355494</v>
      </c>
      <c r="M26" s="378">
        <v>5.1999958143374716</v>
      </c>
      <c r="N26" s="42"/>
      <c r="O26" s="42"/>
      <c r="P26" s="42"/>
      <c r="Q26" s="42"/>
      <c r="R26" s="42"/>
      <c r="S26" s="42"/>
    </row>
    <row r="27" spans="1:19" x14ac:dyDescent="0.2">
      <c r="A27" s="53"/>
      <c r="B27" s="390"/>
      <c r="C27" s="390"/>
      <c r="D27" s="390"/>
      <c r="E27" s="390"/>
      <c r="F27" s="390"/>
      <c r="G27" s="390"/>
      <c r="H27" s="390"/>
      <c r="I27" s="390"/>
      <c r="J27" s="390"/>
      <c r="K27" s="390"/>
      <c r="L27" s="390"/>
      <c r="M27" s="390"/>
      <c r="N27" s="42"/>
      <c r="O27" s="42"/>
      <c r="P27" s="42"/>
      <c r="Q27" s="42"/>
      <c r="R27" s="42"/>
      <c r="S27" s="42"/>
    </row>
    <row r="28" spans="1:19" x14ac:dyDescent="0.2">
      <c r="A28" s="53"/>
      <c r="B28" s="390"/>
      <c r="C28" s="390"/>
      <c r="D28" s="390"/>
      <c r="E28" s="390"/>
      <c r="F28" s="390"/>
      <c r="G28" s="390"/>
      <c r="H28" s="390"/>
      <c r="I28" s="390"/>
      <c r="J28" s="390"/>
      <c r="K28" s="390"/>
      <c r="L28" s="390"/>
      <c r="M28" s="390"/>
      <c r="N28" s="42"/>
      <c r="O28" s="42"/>
      <c r="P28" s="42"/>
      <c r="Q28" s="42"/>
      <c r="R28" s="42"/>
      <c r="S28" s="42"/>
    </row>
    <row r="29" spans="1:19" x14ac:dyDescent="0.2">
      <c r="A29" s="53"/>
      <c r="B29" s="390"/>
      <c r="C29" s="390"/>
      <c r="D29" s="390"/>
      <c r="E29" s="390"/>
      <c r="F29" s="390"/>
      <c r="G29" s="390"/>
      <c r="H29" s="390"/>
      <c r="I29" s="390"/>
      <c r="J29" s="390"/>
      <c r="K29" s="390"/>
      <c r="L29" s="390"/>
      <c r="M29" s="390"/>
      <c r="N29" s="42"/>
      <c r="O29" s="42"/>
      <c r="P29" s="42"/>
      <c r="Q29" s="42"/>
      <c r="R29" s="42"/>
      <c r="S29" s="42"/>
    </row>
    <row r="30" spans="1:19" x14ac:dyDescent="0.2">
      <c r="A30" s="53"/>
      <c r="B30" s="390"/>
      <c r="C30" s="390"/>
      <c r="D30" s="390"/>
      <c r="E30" s="390"/>
      <c r="F30" s="390"/>
      <c r="G30" s="390"/>
      <c r="H30" s="390"/>
      <c r="I30" s="390"/>
      <c r="J30" s="390"/>
      <c r="K30" s="390"/>
      <c r="L30" s="390"/>
      <c r="M30" s="390"/>
      <c r="N30" s="42"/>
      <c r="O30" s="42"/>
      <c r="P30" s="42"/>
      <c r="Q30" s="42"/>
      <c r="R30" s="42"/>
      <c r="S30" s="42"/>
    </row>
    <row r="31" spans="1:19" x14ac:dyDescent="0.2">
      <c r="A31" s="53"/>
      <c r="B31" s="390"/>
      <c r="C31" s="390"/>
      <c r="D31" s="390"/>
      <c r="E31" s="390"/>
      <c r="F31" s="390"/>
      <c r="G31" s="390"/>
      <c r="H31" s="390"/>
      <c r="I31" s="390"/>
      <c r="J31" s="390"/>
      <c r="K31" s="390"/>
      <c r="L31" s="390"/>
      <c r="M31" s="390"/>
      <c r="N31" s="42"/>
      <c r="O31" s="42"/>
      <c r="P31" s="42"/>
      <c r="Q31" s="42"/>
      <c r="R31" s="42"/>
      <c r="S31" s="42"/>
    </row>
    <row r="32" spans="1:19" x14ac:dyDescent="0.2">
      <c r="A32" s="53"/>
      <c r="B32" s="390"/>
      <c r="C32" s="390"/>
      <c r="D32" s="390"/>
      <c r="E32" s="390"/>
      <c r="F32" s="390"/>
      <c r="G32" s="390"/>
      <c r="H32" s="390"/>
      <c r="I32" s="390"/>
      <c r="J32" s="390"/>
      <c r="K32" s="390"/>
      <c r="L32" s="390"/>
      <c r="M32" s="390"/>
      <c r="N32" s="42"/>
      <c r="O32" s="42"/>
      <c r="P32" s="42"/>
      <c r="Q32" s="42"/>
      <c r="R32" s="42"/>
      <c r="S32" s="42"/>
    </row>
    <row r="33" spans="1:19" x14ac:dyDescent="0.2">
      <c r="A33" s="53"/>
      <c r="B33" s="390"/>
      <c r="C33" s="390"/>
      <c r="D33" s="390"/>
      <c r="E33" s="390"/>
      <c r="F33" s="390"/>
      <c r="G33" s="390"/>
      <c r="H33" s="390"/>
      <c r="I33" s="390"/>
      <c r="J33" s="390"/>
      <c r="K33" s="390"/>
      <c r="L33" s="390"/>
      <c r="M33" s="390"/>
      <c r="N33" s="42"/>
      <c r="O33" s="42"/>
      <c r="P33" s="42"/>
      <c r="Q33" s="42"/>
      <c r="R33" s="42"/>
      <c r="S33" s="42"/>
    </row>
    <row r="34" spans="1:19" x14ac:dyDescent="0.2">
      <c r="A34" s="53"/>
      <c r="B34" s="390"/>
      <c r="C34" s="390"/>
      <c r="D34" s="390"/>
      <c r="E34" s="390"/>
      <c r="F34" s="390"/>
      <c r="G34" s="390"/>
      <c r="H34" s="390"/>
      <c r="I34" s="390"/>
      <c r="J34" s="390"/>
      <c r="K34" s="390"/>
      <c r="L34" s="390"/>
      <c r="M34" s="390"/>
      <c r="N34" s="42"/>
      <c r="O34" s="42"/>
      <c r="P34" s="42"/>
      <c r="Q34" s="42"/>
      <c r="R34" s="42"/>
      <c r="S34" s="42"/>
    </row>
    <row r="35" spans="1:19" x14ac:dyDescent="0.2">
      <c r="N35" s="42"/>
      <c r="O35" s="42"/>
      <c r="P35" s="42"/>
      <c r="Q35" s="42"/>
      <c r="R35" s="42"/>
      <c r="S35" s="42"/>
    </row>
    <row r="36" spans="1:19" ht="15.75" x14ac:dyDescent="0.25">
      <c r="B36" s="400" t="s">
        <v>589</v>
      </c>
      <c r="C36" s="400"/>
      <c r="D36" s="400"/>
      <c r="E36" s="400"/>
      <c r="F36" s="400"/>
      <c r="G36" s="400"/>
      <c r="H36" s="399"/>
      <c r="N36" s="42"/>
      <c r="O36" s="42"/>
      <c r="P36" s="42"/>
      <c r="Q36" s="42"/>
      <c r="R36" s="42"/>
      <c r="S36" s="42"/>
    </row>
    <row r="37" spans="1:19" x14ac:dyDescent="0.2">
      <c r="A37" s="13" t="s">
        <v>580</v>
      </c>
      <c r="B37" s="42">
        <v>100</v>
      </c>
      <c r="C37" s="42">
        <v>100</v>
      </c>
      <c r="D37" s="42">
        <v>100</v>
      </c>
      <c r="E37" s="42">
        <v>100</v>
      </c>
      <c r="F37" s="42">
        <v>100</v>
      </c>
      <c r="G37" s="42">
        <v>100</v>
      </c>
      <c r="H37" s="42">
        <v>100</v>
      </c>
      <c r="I37" s="42">
        <v>100</v>
      </c>
      <c r="J37" s="42">
        <v>100</v>
      </c>
      <c r="K37" s="42">
        <v>100</v>
      </c>
      <c r="L37" s="42">
        <v>100</v>
      </c>
      <c r="M37" s="42">
        <v>100</v>
      </c>
      <c r="N37" s="42"/>
      <c r="O37" s="42"/>
      <c r="P37" s="42"/>
      <c r="Q37" s="42"/>
      <c r="R37" s="42"/>
      <c r="S37" s="42"/>
    </row>
    <row r="38" spans="1:19" x14ac:dyDescent="0.2">
      <c r="A38" s="13" t="s">
        <v>75</v>
      </c>
      <c r="B38" s="392">
        <v>1</v>
      </c>
      <c r="C38" s="392">
        <v>1</v>
      </c>
      <c r="D38" s="392">
        <v>1</v>
      </c>
      <c r="E38" s="392">
        <v>1</v>
      </c>
      <c r="F38" s="392">
        <v>1</v>
      </c>
      <c r="G38" s="392">
        <v>1</v>
      </c>
      <c r="H38" s="392">
        <v>1</v>
      </c>
      <c r="I38" s="392">
        <v>1</v>
      </c>
      <c r="J38" s="392">
        <v>1</v>
      </c>
      <c r="K38" s="392">
        <v>1</v>
      </c>
      <c r="L38" s="392">
        <v>1</v>
      </c>
      <c r="M38" s="392">
        <v>1</v>
      </c>
      <c r="N38" s="42"/>
      <c r="O38" s="42"/>
      <c r="P38" s="42"/>
      <c r="Q38" s="42"/>
      <c r="R38" s="42"/>
      <c r="S38" s="42"/>
    </row>
    <row r="39" spans="1:19" x14ac:dyDescent="0.2">
      <c r="A39" s="43"/>
      <c r="B39" s="331" t="s">
        <v>579</v>
      </c>
      <c r="C39" s="49"/>
      <c r="D39" s="49"/>
      <c r="E39" s="49"/>
      <c r="F39" s="49"/>
      <c r="G39" s="49"/>
      <c r="H39" s="49"/>
      <c r="N39" s="42"/>
      <c r="O39" s="42"/>
      <c r="P39" s="42"/>
      <c r="Q39" s="42"/>
      <c r="R39" s="42"/>
      <c r="S39" s="42"/>
    </row>
    <row r="40" spans="1:19" x14ac:dyDescent="0.2">
      <c r="A40" s="335" t="s">
        <v>7</v>
      </c>
      <c r="B40" s="403">
        <f>B44</f>
        <v>10</v>
      </c>
      <c r="C40" s="403">
        <f t="shared" ref="C40:M40" si="6">C43</f>
        <v>5</v>
      </c>
      <c r="D40" s="403">
        <f t="shared" si="6"/>
        <v>6</v>
      </c>
      <c r="E40" s="403">
        <f t="shared" si="6"/>
        <v>7</v>
      </c>
      <c r="F40" s="403">
        <f t="shared" si="6"/>
        <v>8</v>
      </c>
      <c r="G40" s="403">
        <f t="shared" si="6"/>
        <v>9</v>
      </c>
      <c r="H40" s="403">
        <f t="shared" si="6"/>
        <v>10</v>
      </c>
      <c r="I40" s="403">
        <f t="shared" si="6"/>
        <v>11</v>
      </c>
      <c r="J40" s="403">
        <f t="shared" si="6"/>
        <v>12</v>
      </c>
      <c r="K40" s="403">
        <f t="shared" si="6"/>
        <v>13</v>
      </c>
      <c r="L40" s="403">
        <f t="shared" si="6"/>
        <v>14</v>
      </c>
      <c r="M40" s="403">
        <f t="shared" si="6"/>
        <v>15</v>
      </c>
      <c r="N40" s="42"/>
      <c r="O40" s="42"/>
      <c r="P40" s="42"/>
      <c r="Q40" s="42"/>
      <c r="R40" s="42"/>
      <c r="S40" s="42"/>
    </row>
    <row r="41" spans="1:19" x14ac:dyDescent="0.2">
      <c r="A41" s="4" t="s">
        <v>8</v>
      </c>
      <c r="B41" s="324">
        <f t="shared" ref="B41:M41" si="7">B37-B42-B43-B44-B45</f>
        <v>38.426500000000004</v>
      </c>
      <c r="C41" s="324">
        <f t="shared" si="7"/>
        <v>41.926500000000004</v>
      </c>
      <c r="D41" s="324">
        <f t="shared" si="7"/>
        <v>41.426500000000004</v>
      </c>
      <c r="E41" s="324">
        <f t="shared" si="7"/>
        <v>40.926500000000004</v>
      </c>
      <c r="F41" s="324">
        <f t="shared" si="7"/>
        <v>40.426500000000004</v>
      </c>
      <c r="G41" s="324">
        <f t="shared" si="7"/>
        <v>39.926500000000004</v>
      </c>
      <c r="H41" s="324">
        <f t="shared" si="7"/>
        <v>39.426500000000004</v>
      </c>
      <c r="I41" s="324">
        <f t="shared" si="7"/>
        <v>38.926500000000004</v>
      </c>
      <c r="J41" s="324">
        <f t="shared" si="7"/>
        <v>38.426500000000004</v>
      </c>
      <c r="K41" s="324">
        <f t="shared" si="7"/>
        <v>37.926500000000004</v>
      </c>
      <c r="L41" s="324">
        <f t="shared" si="7"/>
        <v>37.426500000000004</v>
      </c>
      <c r="M41" s="324">
        <f t="shared" si="7"/>
        <v>36.926500000000004</v>
      </c>
      <c r="N41" s="42"/>
      <c r="O41" s="42"/>
      <c r="P41" s="42"/>
      <c r="Q41" s="42"/>
      <c r="R41" s="42"/>
      <c r="S41" s="42"/>
    </row>
    <row r="42" spans="1:19" x14ac:dyDescent="0.2">
      <c r="A42" s="4" t="s">
        <v>6</v>
      </c>
      <c r="B42" s="324">
        <f t="shared" ref="B42:M42" si="8">(B37-B43-B44-B45)/(1+B38)</f>
        <v>38.426499999999997</v>
      </c>
      <c r="C42" s="324">
        <f t="shared" si="8"/>
        <v>41.926499999999997</v>
      </c>
      <c r="D42" s="324">
        <f t="shared" si="8"/>
        <v>41.426499999999997</v>
      </c>
      <c r="E42" s="324">
        <f t="shared" si="8"/>
        <v>40.926499999999997</v>
      </c>
      <c r="F42" s="324">
        <f t="shared" si="8"/>
        <v>40.426499999999997</v>
      </c>
      <c r="G42" s="324">
        <f t="shared" si="8"/>
        <v>39.926499999999997</v>
      </c>
      <c r="H42" s="324">
        <f t="shared" si="8"/>
        <v>39.426499999999997</v>
      </c>
      <c r="I42" s="324">
        <f t="shared" si="8"/>
        <v>38.926499999999997</v>
      </c>
      <c r="J42" s="324">
        <f t="shared" si="8"/>
        <v>38.426499999999997</v>
      </c>
      <c r="K42" s="324">
        <f t="shared" si="8"/>
        <v>37.926499999999997</v>
      </c>
      <c r="L42" s="324">
        <f t="shared" si="8"/>
        <v>37.426499999999997</v>
      </c>
      <c r="M42" s="324">
        <f t="shared" si="8"/>
        <v>36.926499999999997</v>
      </c>
      <c r="N42" s="42"/>
      <c r="O42" s="42"/>
      <c r="P42" s="42"/>
      <c r="Q42" s="42"/>
      <c r="R42" s="42"/>
      <c r="S42" s="42"/>
    </row>
    <row r="43" spans="1:19" x14ac:dyDescent="0.2">
      <c r="A43" s="4" t="s">
        <v>7</v>
      </c>
      <c r="B43" s="404">
        <v>12</v>
      </c>
      <c r="C43" s="404">
        <v>5</v>
      </c>
      <c r="D43" s="404">
        <v>6</v>
      </c>
      <c r="E43" s="404">
        <v>7</v>
      </c>
      <c r="F43" s="404">
        <v>8</v>
      </c>
      <c r="G43" s="404">
        <v>9</v>
      </c>
      <c r="H43" s="404">
        <v>10</v>
      </c>
      <c r="I43" s="404">
        <v>11</v>
      </c>
      <c r="J43" s="404">
        <v>12</v>
      </c>
      <c r="K43" s="404">
        <v>13</v>
      </c>
      <c r="L43" s="404">
        <v>14</v>
      </c>
      <c r="M43" s="404">
        <v>15</v>
      </c>
      <c r="N43" s="42"/>
      <c r="O43" s="42"/>
      <c r="P43" s="42"/>
      <c r="Q43" s="42"/>
      <c r="R43" s="42"/>
      <c r="S43" s="42"/>
    </row>
    <row r="44" spans="1:19" x14ac:dyDescent="0.2">
      <c r="A44" s="4" t="s">
        <v>9</v>
      </c>
      <c r="B44" s="405">
        <v>10</v>
      </c>
      <c r="C44" s="405">
        <v>10</v>
      </c>
      <c r="D44" s="405">
        <v>10</v>
      </c>
      <c r="E44" s="405">
        <v>10</v>
      </c>
      <c r="F44" s="405">
        <v>10</v>
      </c>
      <c r="G44" s="405">
        <v>10</v>
      </c>
      <c r="H44" s="405">
        <v>10</v>
      </c>
      <c r="I44" s="405">
        <v>10</v>
      </c>
      <c r="J44" s="405">
        <v>10</v>
      </c>
      <c r="K44" s="405">
        <v>10</v>
      </c>
      <c r="L44" s="405">
        <v>10</v>
      </c>
      <c r="M44" s="405">
        <v>10</v>
      </c>
      <c r="N44" s="42"/>
      <c r="O44" s="42"/>
      <c r="P44" s="42"/>
      <c r="Q44" s="42"/>
      <c r="R44" s="42"/>
      <c r="S44" s="42"/>
    </row>
    <row r="45" spans="1:19" x14ac:dyDescent="0.2">
      <c r="A45" s="4" t="s">
        <v>16</v>
      </c>
      <c r="B45" s="29">
        <v>1.147</v>
      </c>
      <c r="C45" s="389">
        <v>1.147</v>
      </c>
      <c r="D45" s="389">
        <v>1.147</v>
      </c>
      <c r="E45" s="389">
        <v>1.147</v>
      </c>
      <c r="F45" s="389">
        <v>1.147</v>
      </c>
      <c r="G45" s="389">
        <v>1.147</v>
      </c>
      <c r="H45" s="389">
        <v>1.147</v>
      </c>
      <c r="I45" s="389">
        <v>1.147</v>
      </c>
      <c r="J45" s="389">
        <v>1.147</v>
      </c>
      <c r="K45" s="389">
        <v>1.147</v>
      </c>
      <c r="L45" s="389">
        <v>1.147</v>
      </c>
      <c r="M45" s="389">
        <v>1.147</v>
      </c>
      <c r="N45" s="42"/>
      <c r="O45" s="42"/>
      <c r="P45" s="42"/>
      <c r="Q45" s="42"/>
      <c r="R45" s="42"/>
      <c r="S45" s="42"/>
    </row>
    <row r="46" spans="1:19" x14ac:dyDescent="0.2">
      <c r="A46" s="4" t="s">
        <v>75</v>
      </c>
      <c r="B46" s="389">
        <f t="shared" ref="B46:M46" si="9">B41/B42</f>
        <v>1.0000000000000002</v>
      </c>
      <c r="C46" s="389">
        <f t="shared" si="9"/>
        <v>1.0000000000000002</v>
      </c>
      <c r="D46" s="389">
        <f t="shared" si="9"/>
        <v>1.0000000000000002</v>
      </c>
      <c r="E46" s="389">
        <f t="shared" si="9"/>
        <v>1.0000000000000002</v>
      </c>
      <c r="F46" s="389">
        <f t="shared" si="9"/>
        <v>1.0000000000000002</v>
      </c>
      <c r="G46" s="389">
        <f t="shared" si="9"/>
        <v>1.0000000000000002</v>
      </c>
      <c r="H46" s="389">
        <f t="shared" si="9"/>
        <v>1.0000000000000002</v>
      </c>
      <c r="I46" s="389">
        <f t="shared" si="9"/>
        <v>1.0000000000000002</v>
      </c>
      <c r="J46" s="389">
        <f t="shared" si="9"/>
        <v>1.0000000000000002</v>
      </c>
      <c r="K46" s="389">
        <f t="shared" si="9"/>
        <v>1.0000000000000002</v>
      </c>
      <c r="L46" s="389">
        <f t="shared" si="9"/>
        <v>1.0000000000000002</v>
      </c>
      <c r="M46" s="389">
        <f t="shared" si="9"/>
        <v>1.0000000000000002</v>
      </c>
      <c r="N46" s="42"/>
      <c r="O46" s="42"/>
      <c r="P46" s="42"/>
      <c r="Q46" s="42"/>
      <c r="R46" s="42"/>
      <c r="S46" s="42"/>
    </row>
    <row r="47" spans="1:19" x14ac:dyDescent="0.2">
      <c r="A47" s="4" t="s">
        <v>62</v>
      </c>
      <c r="B47" s="324">
        <f t="shared" ref="B47:M47" si="10">(B41+B44)/(B42)</f>
        <v>1.2602370759762145</v>
      </c>
      <c r="C47" s="324">
        <f t="shared" si="10"/>
        <v>1.2385126352068503</v>
      </c>
      <c r="D47" s="324">
        <f t="shared" si="10"/>
        <v>1.2413913799138234</v>
      </c>
      <c r="E47" s="324">
        <f t="shared" si="10"/>
        <v>1.2443404640025413</v>
      </c>
      <c r="F47" s="324">
        <f t="shared" si="10"/>
        <v>1.2473624973717736</v>
      </c>
      <c r="G47" s="324">
        <f t="shared" si="10"/>
        <v>1.2504602206554547</v>
      </c>
      <c r="H47" s="324">
        <f t="shared" si="10"/>
        <v>1.2536365135124854</v>
      </c>
      <c r="I47" s="324">
        <f t="shared" si="10"/>
        <v>1.2568944035554188</v>
      </c>
      <c r="J47" s="324">
        <f t="shared" si="10"/>
        <v>1.2602370759762145</v>
      </c>
      <c r="K47" s="324">
        <f t="shared" si="10"/>
        <v>1.2636678839333977</v>
      </c>
      <c r="L47" s="324">
        <f t="shared" si="10"/>
        <v>1.2671903597718197</v>
      </c>
      <c r="M47" s="324">
        <f t="shared" si="10"/>
        <v>1.2708082271539412</v>
      </c>
      <c r="N47" s="42"/>
      <c r="O47" s="42"/>
      <c r="P47" s="42"/>
      <c r="Q47" s="42"/>
      <c r="R47" s="42"/>
      <c r="S47" s="42"/>
    </row>
    <row r="48" spans="1:19" x14ac:dyDescent="0.2">
      <c r="A48" s="4" t="s">
        <v>65</v>
      </c>
      <c r="B48" s="324">
        <f t="shared" ref="B48:M48" si="11">(B41+B44)/(B42+B43)</f>
        <v>0.96033831418004434</v>
      </c>
      <c r="C48" s="324">
        <f t="shared" si="11"/>
        <v>1.1065496041682206</v>
      </c>
      <c r="D48" s="324">
        <f t="shared" si="11"/>
        <v>1.0843410329668015</v>
      </c>
      <c r="E48" s="324">
        <f t="shared" si="11"/>
        <v>1.0625958498951522</v>
      </c>
      <c r="F48" s="324">
        <f t="shared" si="11"/>
        <v>1.0412997016096561</v>
      </c>
      <c r="G48" s="324">
        <f t="shared" si="11"/>
        <v>1.0204388214975526</v>
      </c>
      <c r="H48" s="324">
        <f t="shared" si="11"/>
        <v>1.0000000000000002</v>
      </c>
      <c r="I48" s="324">
        <f t="shared" si="11"/>
        <v>0.97997055671837618</v>
      </c>
      <c r="J48" s="324">
        <f t="shared" si="11"/>
        <v>0.96033831418004434</v>
      </c>
      <c r="K48" s="324">
        <f t="shared" si="11"/>
        <v>0.94109157314953917</v>
      </c>
      <c r="L48" s="324">
        <f t="shared" si="11"/>
        <v>0.92221908937998909</v>
      </c>
      <c r="M48" s="324">
        <f t="shared" si="11"/>
        <v>0.90371005170770236</v>
      </c>
      <c r="N48" s="42"/>
      <c r="O48" s="42"/>
      <c r="P48" s="42"/>
      <c r="Q48" s="42"/>
      <c r="R48" s="42"/>
      <c r="S48" s="42"/>
    </row>
    <row r="49" spans="1:19" ht="15.75" x14ac:dyDescent="0.25">
      <c r="A49" s="377" t="s">
        <v>563</v>
      </c>
      <c r="B49" s="324"/>
      <c r="C49" s="324"/>
      <c r="D49" s="324"/>
      <c r="E49" s="324"/>
      <c r="F49" s="324"/>
      <c r="G49" s="324"/>
      <c r="H49" s="324"/>
      <c r="I49" s="4"/>
      <c r="J49" s="4"/>
      <c r="K49" s="4"/>
      <c r="L49" s="4"/>
      <c r="M49" s="4"/>
      <c r="N49" s="42"/>
      <c r="O49" s="42"/>
      <c r="P49" s="42"/>
      <c r="Q49" s="42"/>
      <c r="R49" s="42"/>
      <c r="S49" s="42"/>
    </row>
    <row r="50" spans="1:19" x14ac:dyDescent="0.2">
      <c r="A50" s="4" t="s">
        <v>565</v>
      </c>
      <c r="B50" s="378">
        <v>16.589746861812205</v>
      </c>
      <c r="C50" s="378">
        <v>27.90903337272805</v>
      </c>
      <c r="D50" s="378">
        <v>26.57832227987133</v>
      </c>
      <c r="E50" s="378">
        <v>24.987522818026793</v>
      </c>
      <c r="F50" s="378">
        <v>23.113758079513783</v>
      </c>
      <c r="G50" s="378">
        <v>21.103451081897404</v>
      </c>
      <c r="H50" s="378">
        <v>19.211518369741565</v>
      </c>
      <c r="I50" s="378">
        <v>17.6670033296115</v>
      </c>
      <c r="J50" s="378">
        <v>16.589882711111485</v>
      </c>
      <c r="K50" s="378">
        <v>15.998800226442507</v>
      </c>
      <c r="L50" s="378">
        <v>15.858089679282033</v>
      </c>
      <c r="M50" s="378">
        <v>16.116539856857607</v>
      </c>
      <c r="N50" s="42"/>
      <c r="O50" s="42"/>
      <c r="P50" s="42"/>
      <c r="Q50" s="42"/>
      <c r="R50" s="42"/>
      <c r="S50" s="42"/>
    </row>
    <row r="51" spans="1:19" x14ac:dyDescent="0.2">
      <c r="A51" s="4" t="s">
        <v>566</v>
      </c>
      <c r="B51" s="378">
        <v>7.79995264742867</v>
      </c>
      <c r="C51" s="378">
        <v>9.5000021878760084</v>
      </c>
      <c r="D51" s="378">
        <v>8.8114433161675212</v>
      </c>
      <c r="E51" s="378">
        <v>8.2714508112163418</v>
      </c>
      <c r="F51" s="378">
        <v>7.8800246730225485</v>
      </c>
      <c r="G51" s="378">
        <v>7.6371649015860346</v>
      </c>
      <c r="H51" s="378">
        <v>7.542871496906856</v>
      </c>
      <c r="I51" s="378">
        <v>7.5971444589850154</v>
      </c>
      <c r="J51" s="378">
        <v>7.7999837878204472</v>
      </c>
      <c r="K51" s="378">
        <v>8.1513894834132188</v>
      </c>
      <c r="L51" s="378">
        <v>8.6513615457633186</v>
      </c>
      <c r="M51" s="378">
        <v>9.2998999748707138</v>
      </c>
      <c r="N51" s="42"/>
      <c r="O51" s="42"/>
      <c r="P51" s="42"/>
      <c r="Q51" s="42"/>
      <c r="R51" s="42"/>
      <c r="S51" s="42"/>
    </row>
    <row r="52" spans="1:19" x14ac:dyDescent="0.2">
      <c r="A52" s="4" t="s">
        <v>567</v>
      </c>
      <c r="B52" s="378">
        <v>4.4916280467641077</v>
      </c>
      <c r="C52" s="378">
        <v>4.5836546303908188</v>
      </c>
      <c r="D52" s="378">
        <v>4.2359855959263806</v>
      </c>
      <c r="E52" s="378">
        <v>4.0029198354622197</v>
      </c>
      <c r="F52" s="378">
        <v>3.8844007564696783</v>
      </c>
      <c r="G52" s="378">
        <v>3.8782994957753316</v>
      </c>
      <c r="H52" s="378">
        <v>3.9805979660350905</v>
      </c>
      <c r="I52" s="378">
        <v>4.1864651390966756</v>
      </c>
      <c r="J52" s="378">
        <v>4.4916346038666868</v>
      </c>
      <c r="K52" s="378">
        <v>4.8933206821839166</v>
      </c>
      <c r="L52" s="378">
        <v>5.3903850556062167</v>
      </c>
      <c r="M52" s="378">
        <v>5.9829745066908391</v>
      </c>
      <c r="N52" s="42"/>
      <c r="O52" s="42"/>
      <c r="P52" s="42"/>
      <c r="Q52" s="42"/>
      <c r="R52" s="42"/>
      <c r="S52" s="42"/>
    </row>
    <row r="53" spans="1:19" x14ac:dyDescent="0.2">
      <c r="A53" s="4" t="s">
        <v>568</v>
      </c>
      <c r="B53" s="378">
        <v>2.9999586546266439</v>
      </c>
      <c r="C53" s="378">
        <v>2.8000273800215956</v>
      </c>
      <c r="D53" s="378">
        <v>2.6057239542539756</v>
      </c>
      <c r="E53" s="378">
        <v>2.485708873961519</v>
      </c>
      <c r="F53" s="378">
        <v>2.4399821391442242</v>
      </c>
      <c r="G53" s="378">
        <v>2.4685437498020875</v>
      </c>
      <c r="H53" s="378">
        <v>2.5713937059351135</v>
      </c>
      <c r="I53" s="378">
        <v>2.7485320075433002</v>
      </c>
      <c r="J53" s="378">
        <v>2.9999586546266439</v>
      </c>
      <c r="K53" s="378">
        <v>3.3256736471851513</v>
      </c>
      <c r="L53" s="378">
        <v>3.7256769852188185</v>
      </c>
      <c r="M53" s="378">
        <v>4.1999686687276423</v>
      </c>
      <c r="N53" s="42"/>
      <c r="O53" s="42"/>
      <c r="P53" s="42"/>
      <c r="Q53" s="42"/>
      <c r="R53" s="42"/>
      <c r="S53" s="42"/>
    </row>
    <row r="54" spans="1:19" x14ac:dyDescent="0.2">
      <c r="A54" s="4" t="s">
        <v>569</v>
      </c>
      <c r="B54" s="378">
        <v>2.2331785676508771</v>
      </c>
      <c r="C54" s="378">
        <v>2.0063444153210805</v>
      </c>
      <c r="D54" s="378">
        <v>1.8876932373270194</v>
      </c>
      <c r="E54" s="378">
        <v>1.8180525107815992</v>
      </c>
      <c r="F54" s="378">
        <v>1.7974010649912209</v>
      </c>
      <c r="G54" s="378">
        <v>1.8265689190652281</v>
      </c>
      <c r="H54" s="378">
        <v>1.907309874014508</v>
      </c>
      <c r="I54" s="378">
        <v>2.0420161250512727</v>
      </c>
      <c r="J54" s="378">
        <v>2.2331768240606653</v>
      </c>
      <c r="K54" s="378">
        <v>2.4828420557959046</v>
      </c>
      <c r="L54" s="378">
        <v>2.7923061423847622</v>
      </c>
      <c r="M54" s="378">
        <v>3.1620627018674368</v>
      </c>
      <c r="N54" s="42"/>
      <c r="O54" s="42"/>
      <c r="P54" s="42"/>
      <c r="Q54" s="42"/>
      <c r="R54" s="42"/>
      <c r="S54" s="42"/>
    </row>
    <row r="55" spans="1:19" x14ac:dyDescent="0.2">
      <c r="A55" s="4" t="s">
        <v>570</v>
      </c>
      <c r="B55" s="408">
        <v>1328.2234251243763</v>
      </c>
      <c r="C55" s="408">
        <v>1354.298178257797</v>
      </c>
      <c r="D55" s="379">
        <v>1352.2956011084589</v>
      </c>
      <c r="E55" s="379">
        <v>1349.9815732617551</v>
      </c>
      <c r="F55" s="379">
        <v>1347.059599464538</v>
      </c>
      <c r="G55" s="379">
        <v>1343.3311355177732</v>
      </c>
      <c r="H55" s="379">
        <v>1338.7764269972533</v>
      </c>
      <c r="I55" s="408">
        <v>1333.6006256865878</v>
      </c>
      <c r="J55" s="408">
        <v>1328.2239586125786</v>
      </c>
      <c r="K55" s="408">
        <v>1323.2169988144119</v>
      </c>
      <c r="L55" s="408">
        <v>1319.1997037039589</v>
      </c>
      <c r="M55" s="408">
        <v>1316.7328215586019</v>
      </c>
      <c r="N55" s="42"/>
      <c r="O55" s="42"/>
      <c r="P55" s="42"/>
      <c r="Q55" s="42"/>
      <c r="R55" s="42"/>
      <c r="S55" s="42"/>
    </row>
    <row r="56" spans="1:19" x14ac:dyDescent="0.2">
      <c r="A56" s="4" t="s">
        <v>571</v>
      </c>
      <c r="B56" s="408">
        <v>1408.6474309884406</v>
      </c>
      <c r="C56" s="408">
        <v>1418.6339564253115</v>
      </c>
      <c r="D56" s="379">
        <v>1413.6199748848053</v>
      </c>
      <c r="E56" s="379">
        <v>1409.7763272637521</v>
      </c>
      <c r="F56" s="379">
        <v>1407.04040079233</v>
      </c>
      <c r="G56" s="379">
        <v>1405.4011287501448</v>
      </c>
      <c r="H56" s="379">
        <v>1404.952483923639</v>
      </c>
      <c r="I56" s="408">
        <v>1405.9212797577784</v>
      </c>
      <c r="J56" s="408">
        <v>1408.647714703015</v>
      </c>
      <c r="K56" s="408">
        <v>1413.5180982283302</v>
      </c>
      <c r="L56" s="408">
        <v>1420.8718335819699</v>
      </c>
      <c r="M56" s="408">
        <v>1430.916095589522</v>
      </c>
      <c r="N56" s="42"/>
      <c r="O56" s="42"/>
      <c r="P56" s="42"/>
      <c r="Q56" s="42"/>
      <c r="R56" s="42"/>
      <c r="S56" s="42"/>
    </row>
    <row r="57" spans="1:19" x14ac:dyDescent="0.2">
      <c r="A57" s="4" t="s">
        <v>572</v>
      </c>
      <c r="B57" s="378">
        <v>0.22381377061003729</v>
      </c>
      <c r="C57" s="378">
        <v>0.27978211366515909</v>
      </c>
      <c r="D57" s="378">
        <v>0.29352113835922816</v>
      </c>
      <c r="E57" s="378">
        <v>0.30102975253312075</v>
      </c>
      <c r="F57" s="378">
        <v>0.30009602408662245</v>
      </c>
      <c r="G57" s="378">
        <v>0.28999519836603393</v>
      </c>
      <c r="H57" s="378">
        <v>0.27200170025275511</v>
      </c>
      <c r="I57" s="378">
        <v>0.24889155430316307</v>
      </c>
      <c r="J57" s="378">
        <v>0.22381446571283017</v>
      </c>
      <c r="K57" s="378">
        <v>0.19933312126680058</v>
      </c>
      <c r="L57" s="378">
        <v>0.17703966683492214</v>
      </c>
      <c r="M57" s="378">
        <v>0.15764130213261987</v>
      </c>
      <c r="N57" s="42"/>
      <c r="O57" s="42"/>
      <c r="P57" s="42"/>
      <c r="Q57" s="42"/>
      <c r="R57" s="42"/>
    </row>
    <row r="58" spans="1:19" x14ac:dyDescent="0.2">
      <c r="A58" s="4" t="s">
        <v>573</v>
      </c>
      <c r="B58" s="378">
        <v>4.7999939928020261</v>
      </c>
      <c r="C58" s="378">
        <v>6.6999748078544128</v>
      </c>
      <c r="D58" s="378">
        <v>6.2057193619135456</v>
      </c>
      <c r="E58" s="378">
        <v>5.7857419372548229</v>
      </c>
      <c r="F58" s="378">
        <v>5.4400425338783247</v>
      </c>
      <c r="G58" s="378">
        <v>5.1686211517839471</v>
      </c>
      <c r="H58" s="378">
        <v>4.9714777909717425</v>
      </c>
      <c r="I58" s="378">
        <v>4.8486124514417153</v>
      </c>
      <c r="J58" s="378">
        <v>4.8000251331938033</v>
      </c>
      <c r="K58" s="378">
        <v>4.825715836228067</v>
      </c>
      <c r="L58" s="378">
        <v>4.9256845605445001</v>
      </c>
      <c r="M58" s="378">
        <v>5.0999313061430716</v>
      </c>
      <c r="N58" s="42"/>
      <c r="O58" s="42"/>
      <c r="P58" s="42"/>
      <c r="Q58" s="42"/>
      <c r="R58" s="42"/>
    </row>
    <row r="59" spans="1:19" x14ac:dyDescent="0.2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</row>
    <row r="60" spans="1:19" x14ac:dyDescent="0.2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</row>
    <row r="61" spans="1:19" x14ac:dyDescent="0.2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</row>
    <row r="62" spans="1:19" x14ac:dyDescent="0.2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</row>
    <row r="63" spans="1:19" x14ac:dyDescent="0.2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</row>
    <row r="64" spans="1:19" x14ac:dyDescent="0.2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</row>
    <row r="65" spans="1:20" x14ac:dyDescent="0.2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</row>
    <row r="66" spans="1:20" x14ac:dyDescent="0.2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</row>
    <row r="67" spans="1:20" x14ac:dyDescent="0.2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</row>
    <row r="68" spans="1:20" x14ac:dyDescent="0.2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</row>
    <row r="69" spans="1:20" x14ac:dyDescent="0.2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</row>
    <row r="70" spans="1:20" x14ac:dyDescent="0.2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</row>
    <row r="71" spans="1:20" x14ac:dyDescent="0.2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</row>
    <row r="72" spans="1:20" ht="15.75" x14ac:dyDescent="0.25">
      <c r="B72" s="400" t="s">
        <v>590</v>
      </c>
      <c r="C72" s="400"/>
      <c r="D72" s="400"/>
      <c r="E72" s="400"/>
      <c r="F72" s="400"/>
      <c r="G72" s="400"/>
      <c r="H72" s="399"/>
      <c r="N72" s="42"/>
      <c r="O72" s="42"/>
      <c r="P72" s="42"/>
      <c r="Q72" s="42"/>
      <c r="R72" s="42"/>
      <c r="S72" s="42"/>
      <c r="T72" s="42"/>
    </row>
    <row r="73" spans="1:20" x14ac:dyDescent="0.2">
      <c r="A73" s="13" t="s">
        <v>580</v>
      </c>
      <c r="B73" s="42">
        <v>100</v>
      </c>
      <c r="C73" s="42">
        <v>100</v>
      </c>
      <c r="D73" s="42">
        <v>100</v>
      </c>
      <c r="E73" s="42">
        <v>100</v>
      </c>
      <c r="F73" s="42">
        <v>100</v>
      </c>
      <c r="G73" s="42">
        <v>100</v>
      </c>
      <c r="H73" s="42">
        <v>100</v>
      </c>
      <c r="I73" s="42">
        <v>100</v>
      </c>
      <c r="J73" s="42">
        <v>100</v>
      </c>
      <c r="K73" s="42">
        <v>100</v>
      </c>
      <c r="L73" s="42">
        <v>100</v>
      </c>
      <c r="M73" s="42">
        <v>100</v>
      </c>
      <c r="N73" s="42"/>
      <c r="O73" s="42"/>
      <c r="P73" s="42"/>
      <c r="Q73" s="42"/>
      <c r="R73" s="42"/>
      <c r="S73" s="42"/>
      <c r="T73" s="42"/>
    </row>
    <row r="74" spans="1:20" x14ac:dyDescent="0.2">
      <c r="A74" s="13" t="s">
        <v>75</v>
      </c>
      <c r="B74" s="392">
        <v>1</v>
      </c>
      <c r="C74" s="392">
        <v>1.2</v>
      </c>
      <c r="D74" s="392">
        <v>1.2</v>
      </c>
      <c r="E74" s="392">
        <v>1.2</v>
      </c>
      <c r="F74" s="392">
        <v>1.2</v>
      </c>
      <c r="G74" s="392">
        <v>1.2</v>
      </c>
      <c r="H74" s="392">
        <v>1.2</v>
      </c>
      <c r="I74" s="392">
        <v>1.2</v>
      </c>
      <c r="J74" s="392">
        <v>1.2</v>
      </c>
      <c r="K74" s="392">
        <v>1.2</v>
      </c>
      <c r="L74" s="392">
        <v>1.2</v>
      </c>
      <c r="M74" s="392">
        <v>1.2</v>
      </c>
      <c r="N74" s="42"/>
      <c r="O74" s="42"/>
      <c r="P74" s="42"/>
      <c r="Q74" s="42"/>
      <c r="R74" s="42"/>
      <c r="S74" s="42"/>
      <c r="T74" s="42"/>
    </row>
    <row r="75" spans="1:20" x14ac:dyDescent="0.2">
      <c r="N75" s="42"/>
      <c r="O75" s="392"/>
      <c r="P75" s="392"/>
      <c r="Q75" s="392"/>
      <c r="R75" s="392"/>
      <c r="S75" s="42"/>
      <c r="T75" s="42"/>
    </row>
    <row r="76" spans="1:20" x14ac:dyDescent="0.2">
      <c r="N76" s="42"/>
      <c r="O76" s="42"/>
      <c r="P76" s="42"/>
      <c r="Q76" s="42"/>
      <c r="R76" s="42"/>
      <c r="S76" s="42"/>
      <c r="T76" s="42"/>
    </row>
    <row r="77" spans="1:20" x14ac:dyDescent="0.2">
      <c r="A77" s="43"/>
      <c r="B77" s="331" t="s">
        <v>579</v>
      </c>
      <c r="C77" s="49"/>
      <c r="D77" s="49"/>
      <c r="E77" s="49"/>
      <c r="F77" s="49"/>
      <c r="G77" s="49"/>
      <c r="H77" s="49"/>
      <c r="N77" s="42"/>
      <c r="O77" s="42"/>
      <c r="P77" s="42"/>
      <c r="Q77" s="42"/>
      <c r="R77" s="42"/>
      <c r="S77" s="42"/>
      <c r="T77" s="42"/>
    </row>
    <row r="78" spans="1:20" x14ac:dyDescent="0.2">
      <c r="A78" s="335" t="s">
        <v>7</v>
      </c>
      <c r="B78" s="403">
        <f>B82</f>
        <v>10</v>
      </c>
      <c r="C78" s="403">
        <f t="shared" ref="C78:M78" si="12">C81</f>
        <v>5</v>
      </c>
      <c r="D78" s="403">
        <f t="shared" si="12"/>
        <v>6</v>
      </c>
      <c r="E78" s="403">
        <f t="shared" si="12"/>
        <v>7</v>
      </c>
      <c r="F78" s="403">
        <f t="shared" si="12"/>
        <v>8</v>
      </c>
      <c r="G78" s="403">
        <f t="shared" si="12"/>
        <v>9</v>
      </c>
      <c r="H78" s="403">
        <f t="shared" si="12"/>
        <v>10</v>
      </c>
      <c r="I78" s="403">
        <f t="shared" si="12"/>
        <v>11</v>
      </c>
      <c r="J78" s="403">
        <f t="shared" si="12"/>
        <v>12</v>
      </c>
      <c r="K78" s="403">
        <f t="shared" si="12"/>
        <v>13</v>
      </c>
      <c r="L78" s="403">
        <f t="shared" si="12"/>
        <v>14</v>
      </c>
      <c r="M78" s="403">
        <f t="shared" si="12"/>
        <v>15</v>
      </c>
      <c r="N78" s="42"/>
      <c r="O78" s="42"/>
      <c r="P78" s="42"/>
      <c r="Q78" s="42"/>
      <c r="R78" s="42"/>
      <c r="S78" s="42"/>
      <c r="T78" s="42"/>
    </row>
    <row r="79" spans="1:20" x14ac:dyDescent="0.2">
      <c r="A79" s="4" t="s">
        <v>8</v>
      </c>
      <c r="B79" s="324">
        <f t="shared" ref="B79:M79" si="13">B73-B80-B81-B82-B83</f>
        <v>38.426500000000004</v>
      </c>
      <c r="C79" s="324">
        <f t="shared" si="13"/>
        <v>45.738000000000007</v>
      </c>
      <c r="D79" s="324">
        <f t="shared" si="13"/>
        <v>45.19254545454546</v>
      </c>
      <c r="E79" s="324">
        <f t="shared" si="13"/>
        <v>44.647090909090913</v>
      </c>
      <c r="F79" s="324">
        <f t="shared" si="13"/>
        <v>44.101636363636374</v>
      </c>
      <c r="G79" s="324">
        <f t="shared" si="13"/>
        <v>43.556181818181827</v>
      </c>
      <c r="H79" s="324">
        <f t="shared" si="13"/>
        <v>43.010727272727273</v>
      </c>
      <c r="I79" s="324">
        <f t="shared" si="13"/>
        <v>42.46527272727274</v>
      </c>
      <c r="J79" s="324">
        <f t="shared" si="13"/>
        <v>41.919818181818179</v>
      </c>
      <c r="K79" s="324">
        <f t="shared" si="13"/>
        <v>41.374363636363647</v>
      </c>
      <c r="L79" s="324">
        <f t="shared" si="13"/>
        <v>40.8289090909091</v>
      </c>
      <c r="M79" s="324">
        <f t="shared" si="13"/>
        <v>40.283454545454553</v>
      </c>
      <c r="N79" s="42"/>
      <c r="O79" s="42"/>
      <c r="P79" s="42"/>
      <c r="Q79" s="42"/>
      <c r="R79" s="42"/>
      <c r="S79" s="42"/>
      <c r="T79" s="42"/>
    </row>
    <row r="80" spans="1:20" x14ac:dyDescent="0.2">
      <c r="A80" s="4" t="s">
        <v>6</v>
      </c>
      <c r="B80" s="324">
        <f t="shared" ref="B80:M80" si="14">(B73-B81-B82-B83)/(1+B74)</f>
        <v>38.426499999999997</v>
      </c>
      <c r="C80" s="324">
        <f t="shared" si="14"/>
        <v>38.114999999999995</v>
      </c>
      <c r="D80" s="324">
        <f t="shared" si="14"/>
        <v>37.660454545454542</v>
      </c>
      <c r="E80" s="324">
        <f t="shared" si="14"/>
        <v>37.205909090909088</v>
      </c>
      <c r="F80" s="324">
        <f t="shared" si="14"/>
        <v>36.751363636363628</v>
      </c>
      <c r="G80" s="324">
        <f t="shared" si="14"/>
        <v>36.296818181818175</v>
      </c>
      <c r="H80" s="324">
        <f t="shared" si="14"/>
        <v>35.842272727272722</v>
      </c>
      <c r="I80" s="324">
        <f t="shared" si="14"/>
        <v>35.387727272727268</v>
      </c>
      <c r="J80" s="324">
        <f t="shared" si="14"/>
        <v>34.933181818181815</v>
      </c>
      <c r="K80" s="324">
        <f t="shared" si="14"/>
        <v>34.478636363636362</v>
      </c>
      <c r="L80" s="324">
        <f t="shared" si="14"/>
        <v>34.024090909090901</v>
      </c>
      <c r="M80" s="324">
        <f t="shared" si="14"/>
        <v>33.569545454545448</v>
      </c>
      <c r="N80" s="42"/>
      <c r="O80" s="42"/>
      <c r="P80" s="42"/>
      <c r="Q80" s="42"/>
      <c r="R80" s="42"/>
      <c r="S80" s="42"/>
      <c r="T80" s="42"/>
    </row>
    <row r="81" spans="1:20" x14ac:dyDescent="0.2">
      <c r="A81" s="4" t="s">
        <v>7</v>
      </c>
      <c r="B81" s="404">
        <v>12</v>
      </c>
      <c r="C81" s="404">
        <v>5</v>
      </c>
      <c r="D81" s="404">
        <v>6</v>
      </c>
      <c r="E81" s="404">
        <v>7</v>
      </c>
      <c r="F81" s="404">
        <v>8</v>
      </c>
      <c r="G81" s="404">
        <v>9</v>
      </c>
      <c r="H81" s="404">
        <v>10</v>
      </c>
      <c r="I81" s="404">
        <v>11</v>
      </c>
      <c r="J81" s="404">
        <v>12</v>
      </c>
      <c r="K81" s="404">
        <v>13</v>
      </c>
      <c r="L81" s="404">
        <v>14</v>
      </c>
      <c r="M81" s="404">
        <v>15</v>
      </c>
      <c r="N81" s="42"/>
      <c r="O81" s="42"/>
      <c r="P81" s="42"/>
      <c r="Q81" s="42"/>
      <c r="R81" s="42"/>
      <c r="S81" s="42"/>
      <c r="T81" s="42"/>
    </row>
    <row r="82" spans="1:20" x14ac:dyDescent="0.2">
      <c r="A82" s="4" t="s">
        <v>9</v>
      </c>
      <c r="B82" s="405">
        <v>10</v>
      </c>
      <c r="C82" s="405">
        <v>10</v>
      </c>
      <c r="D82" s="405">
        <v>10</v>
      </c>
      <c r="E82" s="405">
        <v>10</v>
      </c>
      <c r="F82" s="405">
        <v>10</v>
      </c>
      <c r="G82" s="405">
        <v>10</v>
      </c>
      <c r="H82" s="405">
        <v>10</v>
      </c>
      <c r="I82" s="405">
        <v>10</v>
      </c>
      <c r="J82" s="405">
        <v>10</v>
      </c>
      <c r="K82" s="405">
        <v>10</v>
      </c>
      <c r="L82" s="405">
        <v>10</v>
      </c>
      <c r="M82" s="405">
        <v>10</v>
      </c>
      <c r="N82" s="42"/>
      <c r="O82" s="42"/>
      <c r="P82" s="42"/>
      <c r="Q82" s="42"/>
      <c r="R82" s="42"/>
      <c r="S82" s="42"/>
      <c r="T82" s="42"/>
    </row>
    <row r="83" spans="1:20" x14ac:dyDescent="0.2">
      <c r="A83" s="4" t="s">
        <v>16</v>
      </c>
      <c r="B83" s="29">
        <v>1.147</v>
      </c>
      <c r="C83" s="389">
        <v>1.147</v>
      </c>
      <c r="D83" s="389">
        <v>1.147</v>
      </c>
      <c r="E83" s="389">
        <v>1.147</v>
      </c>
      <c r="F83" s="389">
        <v>1.147</v>
      </c>
      <c r="G83" s="389">
        <v>1.147</v>
      </c>
      <c r="H83" s="389">
        <v>1.147</v>
      </c>
      <c r="I83" s="389">
        <v>1.147</v>
      </c>
      <c r="J83" s="389">
        <v>1.147</v>
      </c>
      <c r="K83" s="389">
        <v>1.147</v>
      </c>
      <c r="L83" s="389">
        <v>1.147</v>
      </c>
      <c r="M83" s="389">
        <v>1.147</v>
      </c>
      <c r="N83" s="42"/>
      <c r="O83" s="42"/>
      <c r="P83" s="42"/>
      <c r="Q83" s="42"/>
      <c r="R83" s="42"/>
      <c r="S83" s="42"/>
      <c r="T83" s="42"/>
    </row>
    <row r="84" spans="1:20" x14ac:dyDescent="0.2">
      <c r="A84" s="4" t="s">
        <v>75</v>
      </c>
      <c r="B84" s="389">
        <f t="shared" ref="B84:M84" si="15">B79/B80</f>
        <v>1.0000000000000002</v>
      </c>
      <c r="C84" s="389">
        <f t="shared" si="15"/>
        <v>1.2000000000000004</v>
      </c>
      <c r="D84" s="389">
        <f t="shared" si="15"/>
        <v>1.2000000000000002</v>
      </c>
      <c r="E84" s="389">
        <f t="shared" si="15"/>
        <v>1.2000000000000002</v>
      </c>
      <c r="F84" s="389">
        <f t="shared" si="15"/>
        <v>1.2000000000000006</v>
      </c>
      <c r="G84" s="389">
        <f t="shared" si="15"/>
        <v>1.2000000000000004</v>
      </c>
      <c r="H84" s="389">
        <f t="shared" si="15"/>
        <v>1.2000000000000002</v>
      </c>
      <c r="I84" s="389">
        <f t="shared" si="15"/>
        <v>1.2000000000000006</v>
      </c>
      <c r="J84" s="389">
        <f t="shared" si="15"/>
        <v>1.2</v>
      </c>
      <c r="K84" s="389">
        <f t="shared" si="15"/>
        <v>1.2000000000000004</v>
      </c>
      <c r="L84" s="389">
        <f t="shared" si="15"/>
        <v>1.2000000000000006</v>
      </c>
      <c r="M84" s="389">
        <f t="shared" si="15"/>
        <v>1.2000000000000004</v>
      </c>
      <c r="N84" s="42"/>
      <c r="O84" s="42"/>
      <c r="P84" s="42"/>
      <c r="Q84" s="42"/>
      <c r="R84" s="42"/>
      <c r="S84" s="42"/>
      <c r="T84" s="42"/>
    </row>
    <row r="85" spans="1:20" x14ac:dyDescent="0.2">
      <c r="A85" s="4" t="s">
        <v>62</v>
      </c>
      <c r="B85" s="324">
        <f t="shared" ref="B85:M85" si="16">(B79+B82)/(B80)</f>
        <v>1.2602370759762145</v>
      </c>
      <c r="C85" s="324">
        <f t="shared" si="16"/>
        <v>1.4623638987275354</v>
      </c>
      <c r="D85" s="324">
        <f t="shared" si="16"/>
        <v>1.4655305179052058</v>
      </c>
      <c r="E85" s="324">
        <f t="shared" si="16"/>
        <v>1.4687745104027954</v>
      </c>
      <c r="F85" s="324">
        <f t="shared" si="16"/>
        <v>1.4720987471089515</v>
      </c>
      <c r="G85" s="324">
        <f t="shared" si="16"/>
        <v>1.4755062427210004</v>
      </c>
      <c r="H85" s="324">
        <f t="shared" si="16"/>
        <v>1.4790001648637341</v>
      </c>
      <c r="I85" s="324">
        <f t="shared" si="16"/>
        <v>1.4825838439109609</v>
      </c>
      <c r="J85" s="324">
        <f t="shared" si="16"/>
        <v>1.4862607835738357</v>
      </c>
      <c r="K85" s="324">
        <f t="shared" si="16"/>
        <v>1.4900346723267377</v>
      </c>
      <c r="L85" s="324">
        <f t="shared" si="16"/>
        <v>1.4939093957490019</v>
      </c>
      <c r="M85" s="324">
        <f t="shared" si="16"/>
        <v>1.4978890498693356</v>
      </c>
      <c r="N85" s="42"/>
      <c r="O85" s="42"/>
      <c r="P85" s="42"/>
      <c r="Q85" s="42"/>
      <c r="R85" s="42"/>
      <c r="S85" s="42"/>
      <c r="T85" s="42"/>
    </row>
    <row r="86" spans="1:20" x14ac:dyDescent="0.2">
      <c r="A86" s="4" t="s">
        <v>65</v>
      </c>
      <c r="B86" s="324">
        <f t="shared" ref="B86:M86" si="17">(B79+B82)/(B80+B81)</f>
        <v>0.96033831418004434</v>
      </c>
      <c r="C86" s="324">
        <f t="shared" si="17"/>
        <v>1.2927751362634816</v>
      </c>
      <c r="D86" s="324">
        <f t="shared" si="17"/>
        <v>1.2641312608663968</v>
      </c>
      <c r="E86" s="324">
        <f t="shared" si="17"/>
        <v>1.2361942562183172</v>
      </c>
      <c r="F86" s="324">
        <f t="shared" si="17"/>
        <v>1.2089382751160456</v>
      </c>
      <c r="G86" s="324">
        <f t="shared" si="17"/>
        <v>1.182338715342238</v>
      </c>
      <c r="H86" s="324">
        <f t="shared" si="17"/>
        <v>1.1563721455980487</v>
      </c>
      <c r="I86" s="324">
        <f t="shared" si="17"/>
        <v>1.131016236661343</v>
      </c>
      <c r="J86" s="324">
        <f t="shared" si="17"/>
        <v>1.1062496973453555</v>
      </c>
      <c r="K86" s="324">
        <f t="shared" si="17"/>
        <v>1.0820522148717608</v>
      </c>
      <c r="L86" s="324">
        <f t="shared" si="17"/>
        <v>1.0584043993071663</v>
      </c>
      <c r="M86" s="324">
        <f t="shared" si="17"/>
        <v>1.0352877317436107</v>
      </c>
      <c r="N86" s="42"/>
      <c r="O86" s="42"/>
      <c r="P86" s="42"/>
      <c r="Q86" s="42"/>
      <c r="R86" s="42"/>
      <c r="S86" s="42"/>
      <c r="T86" s="42"/>
    </row>
    <row r="87" spans="1:20" ht="15.75" x14ac:dyDescent="0.25">
      <c r="A87" s="377" t="s">
        <v>563</v>
      </c>
      <c r="B87" s="324"/>
      <c r="C87" s="324"/>
      <c r="D87" s="324"/>
      <c r="E87" s="324"/>
      <c r="F87" s="324"/>
      <c r="G87" s="324"/>
      <c r="H87" s="324"/>
      <c r="I87" s="4"/>
      <c r="J87" s="4"/>
      <c r="K87" s="4"/>
      <c r="L87" s="4"/>
      <c r="M87" s="4"/>
      <c r="N87" s="42"/>
      <c r="O87" s="42"/>
      <c r="P87" s="42"/>
      <c r="Q87" s="42"/>
      <c r="R87" s="42"/>
      <c r="S87" s="42"/>
      <c r="T87" s="42"/>
    </row>
    <row r="88" spans="1:20" x14ac:dyDescent="0.2">
      <c r="A88" s="4" t="s">
        <v>565</v>
      </c>
      <c r="B88" s="378">
        <v>16.589746861812205</v>
      </c>
      <c r="C88" s="378">
        <v>29.647166395251311</v>
      </c>
      <c r="D88" s="378">
        <v>39.004702338640882</v>
      </c>
      <c r="E88" s="378">
        <v>52.658569902850353</v>
      </c>
      <c r="F88" s="378">
        <v>70.756818910937341</v>
      </c>
      <c r="G88" s="378">
        <v>89.722009833523387</v>
      </c>
      <c r="H88" s="378">
        <v>101.271560147343</v>
      </c>
      <c r="I88" s="378">
        <v>99.156532124649686</v>
      </c>
      <c r="J88" s="378">
        <v>86.484161515132584</v>
      </c>
      <c r="K88" s="378">
        <v>71.003834228029888</v>
      </c>
      <c r="L88" s="378">
        <v>57.601312359869091</v>
      </c>
      <c r="M88" s="378">
        <v>47.48197998079943</v>
      </c>
      <c r="N88" s="42"/>
      <c r="O88" s="42"/>
      <c r="P88" s="42"/>
      <c r="Q88" s="42"/>
      <c r="R88" s="42"/>
      <c r="S88" s="42"/>
      <c r="T88" s="42"/>
    </row>
    <row r="89" spans="1:20" x14ac:dyDescent="0.2">
      <c r="A89" s="4" t="s">
        <v>566</v>
      </c>
      <c r="B89" s="378">
        <v>7.79995264742867</v>
      </c>
      <c r="C89" s="378">
        <v>9.4999994626541735</v>
      </c>
      <c r="D89" s="378">
        <v>9.6428535105536941</v>
      </c>
      <c r="E89" s="378">
        <v>9.8095183296556776</v>
      </c>
      <c r="F89" s="378">
        <v>9.9999939199401346</v>
      </c>
      <c r="G89" s="378">
        <v>10.214280281453972</v>
      </c>
      <c r="H89" s="378">
        <v>10.452377414175551</v>
      </c>
      <c r="I89" s="378">
        <v>10.71428531807695</v>
      </c>
      <c r="J89" s="378">
        <v>11.000003993194404</v>
      </c>
      <c r="K89" s="378">
        <v>11.309533439527589</v>
      </c>
      <c r="L89" s="378">
        <v>11.642873657065765</v>
      </c>
      <c r="M89" s="378">
        <v>12.000024645792076</v>
      </c>
      <c r="N89" s="42"/>
      <c r="O89" s="42"/>
      <c r="P89" s="42"/>
      <c r="Q89" s="42"/>
      <c r="R89" s="42"/>
      <c r="S89" s="42"/>
      <c r="T89" s="42"/>
    </row>
    <row r="90" spans="1:20" x14ac:dyDescent="0.2">
      <c r="A90" s="4" t="s">
        <v>567</v>
      </c>
      <c r="B90" s="378">
        <v>4.4916280467641077</v>
      </c>
      <c r="C90" s="378">
        <v>4.4609308050499186</v>
      </c>
      <c r="D90" s="378">
        <v>4.0624949155590313</v>
      </c>
      <c r="E90" s="378">
        <v>3.7259413614426302</v>
      </c>
      <c r="F90" s="378">
        <v>3.4722258234981989</v>
      </c>
      <c r="G90" s="378">
        <v>3.3230166361696649</v>
      </c>
      <c r="H90" s="378">
        <v>3.2959338664116933</v>
      </c>
      <c r="I90" s="378">
        <v>3.3993001049740097</v>
      </c>
      <c r="J90" s="378">
        <v>3.629980279778056</v>
      </c>
      <c r="K90" s="378">
        <v>3.9760076481210103</v>
      </c>
      <c r="L90" s="378">
        <v>4.4215152647814966</v>
      </c>
      <c r="M90" s="378">
        <v>4.9507373607444656</v>
      </c>
      <c r="N90" s="42"/>
      <c r="O90" s="42"/>
      <c r="P90" s="42"/>
      <c r="Q90" s="42"/>
      <c r="R90" s="42"/>
      <c r="S90" s="42"/>
      <c r="T90" s="42"/>
    </row>
    <row r="91" spans="1:20" x14ac:dyDescent="0.2">
      <c r="A91" s="4" t="s">
        <v>568</v>
      </c>
      <c r="B91" s="378">
        <v>2.9999586546266439</v>
      </c>
      <c r="C91" s="378">
        <v>2.6999932524322414</v>
      </c>
      <c r="D91" s="378">
        <v>2.3799976169792991</v>
      </c>
      <c r="E91" s="378">
        <v>2.1333346664417379</v>
      </c>
      <c r="F91" s="378">
        <v>1.9600044008068553</v>
      </c>
      <c r="G91" s="378">
        <v>1.8600068201285442</v>
      </c>
      <c r="H91" s="378">
        <v>1.8333419243978144</v>
      </c>
      <c r="I91" s="378">
        <v>1.8800097135426292</v>
      </c>
      <c r="J91" s="378">
        <v>2.0000101876613159</v>
      </c>
      <c r="K91" s="378">
        <v>2.1933433467091668</v>
      </c>
      <c r="L91" s="378">
        <v>2.4600091906595924</v>
      </c>
      <c r="M91" s="378">
        <v>2.8000077195810977</v>
      </c>
      <c r="N91" s="42"/>
      <c r="O91" s="42"/>
      <c r="P91" s="42"/>
      <c r="Q91" s="42"/>
      <c r="R91" s="42"/>
      <c r="S91" s="42"/>
      <c r="T91" s="42"/>
    </row>
    <row r="92" spans="1:20" x14ac:dyDescent="0.2">
      <c r="A92" s="4" t="s">
        <v>569</v>
      </c>
      <c r="B92" s="378">
        <v>2.2331785676508771</v>
      </c>
      <c r="C92" s="378">
        <v>1.9342854724154575</v>
      </c>
      <c r="D92" s="378">
        <v>1.7097640499456563</v>
      </c>
      <c r="E92" s="378">
        <v>1.5472252994410589</v>
      </c>
      <c r="F92" s="378">
        <v>1.4387870763658466</v>
      </c>
      <c r="G92" s="378">
        <v>1.3780918139592488</v>
      </c>
      <c r="H92" s="378">
        <v>1.3607670611979883</v>
      </c>
      <c r="I92" s="378">
        <v>1.3849929857844521</v>
      </c>
      <c r="J92" s="378">
        <v>1.4516094747717181</v>
      </c>
      <c r="K92" s="378">
        <v>1.5635137597330733</v>
      </c>
      <c r="L92" s="378">
        <v>1.7247989463567084</v>
      </c>
      <c r="M92" s="378">
        <v>1.9401554967290047</v>
      </c>
      <c r="N92" s="42"/>
      <c r="O92" s="42"/>
      <c r="P92" s="42"/>
      <c r="Q92" s="42"/>
      <c r="R92" s="42"/>
      <c r="S92" s="42"/>
      <c r="T92" s="42"/>
    </row>
    <row r="93" spans="1:20" x14ac:dyDescent="0.2">
      <c r="A93" s="4" t="s">
        <v>570</v>
      </c>
      <c r="B93" s="408">
        <v>1328.2234251243763</v>
      </c>
      <c r="C93" s="408">
        <v>1356.3072555516708</v>
      </c>
      <c r="D93" s="408">
        <v>1363.4729586519736</v>
      </c>
      <c r="E93" s="408">
        <v>1368.8715872495504</v>
      </c>
      <c r="F93" s="408">
        <v>1372.7669138256369</v>
      </c>
      <c r="G93" s="408">
        <v>1375.3211814519536</v>
      </c>
      <c r="H93" s="408">
        <v>1376.6591647639257</v>
      </c>
      <c r="I93" s="408">
        <v>1376.9201825012403</v>
      </c>
      <c r="J93" s="408">
        <v>1376.2757772839184</v>
      </c>
      <c r="K93" s="408">
        <v>1374.9088462663476</v>
      </c>
      <c r="L93" s="408">
        <v>1372.9829015097384</v>
      </c>
      <c r="M93" s="408">
        <v>1370.6261827778678</v>
      </c>
      <c r="N93" s="42"/>
      <c r="O93" s="42"/>
      <c r="P93" s="42"/>
      <c r="Q93" s="42"/>
      <c r="R93" s="42"/>
      <c r="S93" s="42"/>
      <c r="T93" s="42"/>
    </row>
    <row r="94" spans="1:20" x14ac:dyDescent="0.2">
      <c r="A94" s="4" t="s">
        <v>571</v>
      </c>
      <c r="B94" s="408">
        <v>1408.6474309884406</v>
      </c>
      <c r="C94" s="408">
        <v>1417.8147755007533</v>
      </c>
      <c r="D94" s="408">
        <v>1415.861351014657</v>
      </c>
      <c r="E94" s="408">
        <v>1414.4964889600296</v>
      </c>
      <c r="F94" s="408">
        <v>1413.6817702535641</v>
      </c>
      <c r="G94" s="408">
        <v>1413.4415255709432</v>
      </c>
      <c r="H94" s="408">
        <v>1413.8386813776042</v>
      </c>
      <c r="I94" s="408">
        <v>1414.9464170259689</v>
      </c>
      <c r="J94" s="408">
        <v>1416.8287979006204</v>
      </c>
      <c r="K94" s="408">
        <v>1419.5426638032582</v>
      </c>
      <c r="L94" s="408">
        <v>1423.1536286683154</v>
      </c>
      <c r="M94" s="408">
        <v>1427.7518611558125</v>
      </c>
      <c r="N94" s="42"/>
      <c r="O94" s="42"/>
      <c r="P94" s="42"/>
      <c r="Q94" s="42"/>
      <c r="R94" s="42"/>
      <c r="S94" s="42"/>
      <c r="T94" s="42"/>
    </row>
    <row r="95" spans="1:20" x14ac:dyDescent="0.2">
      <c r="A95" s="4" t="s">
        <v>572</v>
      </c>
      <c r="B95" s="378">
        <v>0.22381377061003729</v>
      </c>
      <c r="C95" s="378">
        <v>0.29264714322575286</v>
      </c>
      <c r="D95" s="378">
        <v>0.34358756182832462</v>
      </c>
      <c r="E95" s="378">
        <v>0.39452139785904961</v>
      </c>
      <c r="F95" s="378">
        <v>0.43993799738018369</v>
      </c>
      <c r="G95" s="378">
        <v>0.47218881193240159</v>
      </c>
      <c r="H95" s="378">
        <v>0.4841375477533163</v>
      </c>
      <c r="I95" s="378">
        <v>0.47335741298009781</v>
      </c>
      <c r="J95" s="378">
        <v>0.44386336026931061</v>
      </c>
      <c r="K95" s="378">
        <v>0.40328165936320931</v>
      </c>
      <c r="L95" s="378">
        <v>0.35877494745305499</v>
      </c>
      <c r="M95" s="378">
        <v>0.31509472641903019</v>
      </c>
      <c r="N95" s="42"/>
      <c r="O95" s="42"/>
      <c r="P95" s="42"/>
      <c r="Q95" s="42"/>
      <c r="R95" s="42"/>
      <c r="S95" s="42"/>
      <c r="T95" s="42"/>
    </row>
    <row r="96" spans="1:20" x14ac:dyDescent="0.2">
      <c r="A96" s="4" t="s">
        <v>573</v>
      </c>
      <c r="B96" s="378">
        <v>4.7999939928020261</v>
      </c>
      <c r="C96" s="378">
        <v>6.8000062102219321</v>
      </c>
      <c r="D96" s="378">
        <v>7.262855893574395</v>
      </c>
      <c r="E96" s="378">
        <v>7.6761836632139397</v>
      </c>
      <c r="F96" s="378">
        <v>8.0399895191332789</v>
      </c>
      <c r="G96" s="378">
        <v>8.3542734613254268</v>
      </c>
      <c r="H96" s="378">
        <v>8.6190354897777368</v>
      </c>
      <c r="I96" s="378">
        <v>8.8342756045343211</v>
      </c>
      <c r="J96" s="378">
        <v>8.999993805533089</v>
      </c>
      <c r="K96" s="378">
        <v>9.1161900928184227</v>
      </c>
      <c r="L96" s="378">
        <v>9.1828644664061727</v>
      </c>
      <c r="M96" s="378">
        <v>9.2000169262109779</v>
      </c>
      <c r="N96" s="42"/>
      <c r="O96" s="42"/>
      <c r="P96" s="42"/>
      <c r="Q96" s="42"/>
      <c r="R96" s="42"/>
      <c r="S96" s="42"/>
      <c r="T96" s="42"/>
    </row>
    <row r="97" spans="1:20" x14ac:dyDescent="0.2">
      <c r="A97" s="42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</row>
    <row r="98" spans="1:20" x14ac:dyDescent="0.2">
      <c r="A98" s="42"/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</row>
    <row r="99" spans="1:20" x14ac:dyDescent="0.2">
      <c r="A99" s="42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</row>
    <row r="100" spans="1:20" x14ac:dyDescent="0.2">
      <c r="A100" s="42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</row>
    <row r="101" spans="1:20" x14ac:dyDescent="0.2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1:20" x14ac:dyDescent="0.2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  <row r="103" spans="1:20" x14ac:dyDescent="0.2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</row>
    <row r="104" spans="1:20" x14ac:dyDescent="0.2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</row>
    <row r="105" spans="1:20" x14ac:dyDescent="0.2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</row>
    <row r="106" spans="1:20" x14ac:dyDescent="0.2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</row>
    <row r="107" spans="1:20" x14ac:dyDescent="0.2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1:20" x14ac:dyDescent="0.2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</row>
    <row r="109" spans="1:20" x14ac:dyDescent="0.2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</row>
    <row r="110" spans="1:20" x14ac:dyDescent="0.2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1:20" x14ac:dyDescent="0.2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</row>
    <row r="112" spans="1:20" x14ac:dyDescent="0.2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</row>
    <row r="113" spans="1:14" x14ac:dyDescent="0.2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</row>
    <row r="114" spans="1:14" x14ac:dyDescent="0.2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</row>
    <row r="115" spans="1:14" x14ac:dyDescent="0.2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</row>
    <row r="116" spans="1:14" x14ac:dyDescent="0.2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</row>
    <row r="117" spans="1:14" x14ac:dyDescent="0.2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</row>
    <row r="118" spans="1:14" x14ac:dyDescent="0.2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</row>
    <row r="119" spans="1:14" x14ac:dyDescent="0.2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</row>
    <row r="120" spans="1:14" x14ac:dyDescent="0.2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</row>
    <row r="121" spans="1:14" x14ac:dyDescent="0.2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</row>
    <row r="122" spans="1:14" x14ac:dyDescent="0.2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</row>
    <row r="123" spans="1:14" x14ac:dyDescent="0.2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</row>
    <row r="124" spans="1:14" x14ac:dyDescent="0.2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</row>
    <row r="125" spans="1:14" x14ac:dyDescent="0.2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</row>
    <row r="126" spans="1:14" x14ac:dyDescent="0.2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</row>
    <row r="127" spans="1:14" x14ac:dyDescent="0.2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</row>
    <row r="128" spans="1:14" x14ac:dyDescent="0.2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</row>
    <row r="129" spans="1:14" x14ac:dyDescent="0.2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</row>
    <row r="130" spans="1:14" x14ac:dyDescent="0.2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</row>
    <row r="131" spans="1:14" x14ac:dyDescent="0.2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</row>
    <row r="132" spans="1:14" x14ac:dyDescent="0.2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</row>
    <row r="133" spans="1:14" x14ac:dyDescent="0.2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</row>
    <row r="134" spans="1:14" x14ac:dyDescent="0.2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</row>
    <row r="135" spans="1:14" x14ac:dyDescent="0.2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</row>
    <row r="136" spans="1:14" x14ac:dyDescent="0.2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</row>
    <row r="137" spans="1:14" x14ac:dyDescent="0.2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</row>
    <row r="138" spans="1:14" x14ac:dyDescent="0.2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</row>
    <row r="139" spans="1:14" x14ac:dyDescent="0.2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</row>
    <row r="140" spans="1:14" x14ac:dyDescent="0.2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</row>
    <row r="141" spans="1:14" x14ac:dyDescent="0.2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</row>
    <row r="142" spans="1:14" x14ac:dyDescent="0.2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</row>
    <row r="143" spans="1:14" x14ac:dyDescent="0.2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</row>
    <row r="144" spans="1:14" x14ac:dyDescent="0.2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</row>
    <row r="145" spans="1:14" x14ac:dyDescent="0.2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</row>
    <row r="146" spans="1:14" x14ac:dyDescent="0.2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</row>
    <row r="147" spans="1:14" x14ac:dyDescent="0.2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</row>
    <row r="148" spans="1:14" x14ac:dyDescent="0.2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</row>
    <row r="149" spans="1:14" x14ac:dyDescent="0.2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</row>
    <row r="150" spans="1:14" x14ac:dyDescent="0.2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</row>
    <row r="151" spans="1:14" x14ac:dyDescent="0.2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</row>
    <row r="152" spans="1:14" x14ac:dyDescent="0.2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</row>
    <row r="153" spans="1:14" x14ac:dyDescent="0.2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</row>
    <row r="154" spans="1:14" x14ac:dyDescent="0.2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</row>
    <row r="155" spans="1:14" x14ac:dyDescent="0.2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</row>
    <row r="156" spans="1:14" x14ac:dyDescent="0.2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</row>
    <row r="157" spans="1:14" x14ac:dyDescent="0.2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</row>
    <row r="158" spans="1:14" x14ac:dyDescent="0.2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</row>
    <row r="159" spans="1:14" x14ac:dyDescent="0.2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</row>
    <row r="160" spans="1:14" x14ac:dyDescent="0.2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</row>
    <row r="161" spans="1:14" x14ac:dyDescent="0.2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</row>
    <row r="162" spans="1:14" x14ac:dyDescent="0.2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</row>
    <row r="163" spans="1:14" x14ac:dyDescent="0.2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</row>
    <row r="164" spans="1:14" x14ac:dyDescent="0.2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</row>
    <row r="165" spans="1:14" x14ac:dyDescent="0.2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</row>
    <row r="166" spans="1:14" x14ac:dyDescent="0.2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</row>
    <row r="167" spans="1:14" x14ac:dyDescent="0.2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</row>
    <row r="168" spans="1:14" x14ac:dyDescent="0.2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</row>
    <row r="169" spans="1:14" x14ac:dyDescent="0.2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</row>
    <row r="170" spans="1:14" x14ac:dyDescent="0.2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</row>
    <row r="171" spans="1:14" x14ac:dyDescent="0.2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</row>
    <row r="172" spans="1:14" x14ac:dyDescent="0.2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</row>
    <row r="173" spans="1:14" x14ac:dyDescent="0.2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</row>
    <row r="174" spans="1:14" x14ac:dyDescent="0.2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</row>
    <row r="175" spans="1:14" x14ac:dyDescent="0.2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</row>
    <row r="176" spans="1:14" x14ac:dyDescent="0.2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</row>
    <row r="177" spans="1:14" x14ac:dyDescent="0.2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</row>
    <row r="178" spans="1:14" x14ac:dyDescent="0.2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</row>
    <row r="179" spans="1:14" x14ac:dyDescent="0.2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</row>
    <row r="180" spans="1:14" x14ac:dyDescent="0.2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</row>
    <row r="181" spans="1:14" x14ac:dyDescent="0.2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</row>
    <row r="182" spans="1:14" x14ac:dyDescent="0.2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</row>
    <row r="183" spans="1:14" x14ac:dyDescent="0.2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</row>
    <row r="184" spans="1:14" x14ac:dyDescent="0.2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</row>
    <row r="185" spans="1:14" x14ac:dyDescent="0.2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</row>
    <row r="186" spans="1:14" x14ac:dyDescent="0.2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</row>
    <row r="187" spans="1:14" x14ac:dyDescent="0.2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</row>
    <row r="188" spans="1:14" x14ac:dyDescent="0.2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</row>
    <row r="189" spans="1:14" x14ac:dyDescent="0.2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</row>
    <row r="190" spans="1:14" x14ac:dyDescent="0.2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</row>
    <row r="191" spans="1:14" x14ac:dyDescent="0.2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</row>
    <row r="192" spans="1:14" x14ac:dyDescent="0.2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</row>
    <row r="193" spans="1:14" x14ac:dyDescent="0.2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</row>
    <row r="194" spans="1:14" x14ac:dyDescent="0.2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</row>
    <row r="195" spans="1:14" x14ac:dyDescent="0.2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</row>
    <row r="196" spans="1:14" x14ac:dyDescent="0.2">
      <c r="A196" s="42"/>
      <c r="B196" s="42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</row>
    <row r="197" spans="1:14" x14ac:dyDescent="0.2">
      <c r="A197" s="42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x14ac:dyDescent="0.2">
      <c r="A198" s="42"/>
      <c r="B198" s="42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</row>
    <row r="199" spans="1:14" x14ac:dyDescent="0.2">
      <c r="A199" s="42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</row>
    <row r="200" spans="1:14" x14ac:dyDescent="0.2">
      <c r="A200" s="42"/>
      <c r="B200" s="42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x14ac:dyDescent="0.2">
      <c r="A201" s="42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</row>
    <row r="202" spans="1:14" x14ac:dyDescent="0.2">
      <c r="A202" s="42"/>
      <c r="B202" s="42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</row>
    <row r="203" spans="1:14" x14ac:dyDescent="0.2">
      <c r="A203" s="42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</row>
    <row r="204" spans="1:14" x14ac:dyDescent="0.2">
      <c r="A204" s="42"/>
      <c r="B204" s="42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</row>
    <row r="205" spans="1:14" x14ac:dyDescent="0.2">
      <c r="A205" s="42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</row>
    <row r="206" spans="1:14" x14ac:dyDescent="0.2">
      <c r="A206" s="42"/>
      <c r="B206" s="42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</row>
    <row r="207" spans="1:14" x14ac:dyDescent="0.2">
      <c r="A207" s="42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</row>
    <row r="208" spans="1:14" x14ac:dyDescent="0.2">
      <c r="A208" s="42"/>
      <c r="B208" s="42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</row>
    <row r="209" spans="1:14" x14ac:dyDescent="0.2">
      <c r="A209" s="42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</row>
    <row r="210" spans="1:14" x14ac:dyDescent="0.2">
      <c r="A210" s="42"/>
      <c r="B210" s="42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</row>
    <row r="211" spans="1:14" x14ac:dyDescent="0.2">
      <c r="A211" s="42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</row>
    <row r="212" spans="1:14" x14ac:dyDescent="0.2">
      <c r="A212" s="42"/>
      <c r="B212" s="42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</row>
    <row r="213" spans="1:14" x14ac:dyDescent="0.2">
      <c r="A213" s="42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</row>
    <row r="214" spans="1:14" x14ac:dyDescent="0.2">
      <c r="A214" s="42"/>
      <c r="B214" s="42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</row>
    <row r="215" spans="1:14" x14ac:dyDescent="0.2">
      <c r="A215" s="42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</row>
    <row r="216" spans="1:14" x14ac:dyDescent="0.2">
      <c r="A216" s="42"/>
      <c r="B216" s="42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</row>
    <row r="217" spans="1:14" x14ac:dyDescent="0.2">
      <c r="A217" s="42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</row>
    <row r="218" spans="1:14" x14ac:dyDescent="0.2">
      <c r="A218" s="42"/>
      <c r="B218" s="42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</row>
    <row r="219" spans="1:14" x14ac:dyDescent="0.2">
      <c r="A219" s="42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</row>
    <row r="220" spans="1:14" x14ac:dyDescent="0.2">
      <c r="A220" s="42"/>
      <c r="B220" s="42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</row>
    <row r="221" spans="1:14" x14ac:dyDescent="0.2">
      <c r="A221" s="42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</row>
    <row r="222" spans="1:14" x14ac:dyDescent="0.2">
      <c r="A222" s="42"/>
      <c r="B222" s="42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</row>
    <row r="223" spans="1:14" x14ac:dyDescent="0.2">
      <c r="A223" s="42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</row>
    <row r="224" spans="1:14" x14ac:dyDescent="0.2">
      <c r="A224" s="42"/>
      <c r="B224" s="42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</row>
    <row r="225" spans="1:14" x14ac:dyDescent="0.2">
      <c r="A225" s="42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</row>
    <row r="226" spans="1:14" x14ac:dyDescent="0.2">
      <c r="A226" s="42"/>
      <c r="B226" s="42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</row>
    <row r="227" spans="1:14" x14ac:dyDescent="0.2">
      <c r="A227" s="42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</row>
    <row r="228" spans="1:14" x14ac:dyDescent="0.2">
      <c r="A228" s="42"/>
      <c r="B228" s="42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</row>
    <row r="229" spans="1:14" x14ac:dyDescent="0.2">
      <c r="A229" s="42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</row>
    <row r="230" spans="1:14" x14ac:dyDescent="0.2">
      <c r="A230" s="42"/>
      <c r="B230" s="42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</row>
    <row r="231" spans="1:14" x14ac:dyDescent="0.2">
      <c r="A231" s="42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</row>
    <row r="232" spans="1:14" x14ac:dyDescent="0.2">
      <c r="A232" s="42"/>
      <c r="B232" s="42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</row>
    <row r="233" spans="1:14" x14ac:dyDescent="0.2">
      <c r="A233" s="42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</row>
    <row r="234" spans="1:14" x14ac:dyDescent="0.2">
      <c r="A234" s="42"/>
      <c r="B234" s="42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</row>
    <row r="235" spans="1:14" x14ac:dyDescent="0.2">
      <c r="A235" s="42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</row>
    <row r="236" spans="1:14" x14ac:dyDescent="0.2">
      <c r="A236" s="42"/>
      <c r="B236" s="42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</row>
    <row r="237" spans="1:14" x14ac:dyDescent="0.2">
      <c r="A237" s="42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</row>
    <row r="238" spans="1:14" x14ac:dyDescent="0.2">
      <c r="A238" s="42"/>
      <c r="B238" s="42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</row>
    <row r="239" spans="1:14" x14ac:dyDescent="0.2">
      <c r="A239" s="42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</row>
    <row r="240" spans="1:14" x14ac:dyDescent="0.2">
      <c r="A240" s="42"/>
      <c r="B240" s="42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</row>
    <row r="241" spans="1:14" x14ac:dyDescent="0.2">
      <c r="A241" s="42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</row>
    <row r="242" spans="1:14" x14ac:dyDescent="0.2">
      <c r="A242" s="42"/>
      <c r="B242" s="42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</row>
    <row r="243" spans="1:14" x14ac:dyDescent="0.2">
      <c r="A243" s="42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</row>
    <row r="244" spans="1:14" x14ac:dyDescent="0.2">
      <c r="A244" s="42"/>
      <c r="B244" s="42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</row>
    <row r="245" spans="1:14" x14ac:dyDescent="0.2">
      <c r="A245" s="42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</row>
    <row r="246" spans="1:14" x14ac:dyDescent="0.2">
      <c r="A246" s="42"/>
      <c r="B246" s="42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</row>
    <row r="247" spans="1:14" x14ac:dyDescent="0.2">
      <c r="A247" s="42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</row>
    <row r="248" spans="1:14" x14ac:dyDescent="0.2">
      <c r="A248" s="42"/>
      <c r="B248" s="42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</row>
    <row r="249" spans="1:14" x14ac:dyDescent="0.2">
      <c r="A249" s="42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</row>
    <row r="250" spans="1:14" x14ac:dyDescent="0.2">
      <c r="A250" s="42"/>
      <c r="B250" s="42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</row>
    <row r="251" spans="1:14" x14ac:dyDescent="0.2">
      <c r="A251" s="42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</row>
    <row r="252" spans="1:14" x14ac:dyDescent="0.2">
      <c r="A252" s="42"/>
      <c r="B252" s="42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</row>
    <row r="253" spans="1:14" x14ac:dyDescent="0.2">
      <c r="A253" s="42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</row>
    <row r="254" spans="1:14" x14ac:dyDescent="0.2">
      <c r="A254" s="42"/>
      <c r="B254" s="42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</row>
    <row r="255" spans="1:14" x14ac:dyDescent="0.2">
      <c r="A255" s="42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</row>
    <row r="256" spans="1:14" x14ac:dyDescent="0.2">
      <c r="A256" s="42"/>
      <c r="B256" s="42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</row>
    <row r="257" spans="1:14" x14ac:dyDescent="0.2">
      <c r="A257" s="42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</row>
    <row r="258" spans="1:14" x14ac:dyDescent="0.2">
      <c r="A258" s="42"/>
      <c r="B258" s="42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</row>
    <row r="259" spans="1:14" x14ac:dyDescent="0.2">
      <c r="A259" s="42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</row>
    <row r="260" spans="1:14" x14ac:dyDescent="0.2">
      <c r="A260" s="42"/>
      <c r="B260" s="42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</row>
    <row r="261" spans="1:14" x14ac:dyDescent="0.2">
      <c r="A261" s="42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</row>
    <row r="262" spans="1:14" x14ac:dyDescent="0.2">
      <c r="A262" s="42"/>
      <c r="B262" s="42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</row>
    <row r="263" spans="1:14" x14ac:dyDescent="0.2">
      <c r="A263" s="42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</row>
    <row r="264" spans="1:14" x14ac:dyDescent="0.2">
      <c r="A264" s="42"/>
      <c r="B264" s="42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</row>
    <row r="265" spans="1:14" x14ac:dyDescent="0.2">
      <c r="A265" s="42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</row>
    <row r="266" spans="1:14" x14ac:dyDescent="0.2">
      <c r="A266" s="42"/>
      <c r="B266" s="42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</row>
    <row r="267" spans="1:14" x14ac:dyDescent="0.2">
      <c r="A267" s="42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</row>
    <row r="268" spans="1:14" x14ac:dyDescent="0.2">
      <c r="A268" s="42"/>
      <c r="B268" s="42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</row>
    <row r="269" spans="1:14" x14ac:dyDescent="0.2">
      <c r="A269" s="42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</row>
    <row r="270" spans="1:14" x14ac:dyDescent="0.2">
      <c r="A270" s="42"/>
      <c r="B270" s="42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</row>
    <row r="271" spans="1:14" x14ac:dyDescent="0.2">
      <c r="A271" s="42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</row>
    <row r="272" spans="1:14" x14ac:dyDescent="0.2">
      <c r="A272" s="42"/>
      <c r="B272" s="42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</row>
    <row r="273" spans="1:14" x14ac:dyDescent="0.2">
      <c r="A273" s="42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</row>
    <row r="274" spans="1:14" x14ac:dyDescent="0.2">
      <c r="A274" s="42"/>
      <c r="B274" s="42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</row>
    <row r="275" spans="1:14" x14ac:dyDescent="0.2">
      <c r="A275" s="42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</row>
    <row r="276" spans="1:14" x14ac:dyDescent="0.2">
      <c r="A276" s="42"/>
      <c r="B276" s="42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</row>
    <row r="277" spans="1:14" x14ac:dyDescent="0.2">
      <c r="A277" s="42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</row>
    <row r="278" spans="1:14" x14ac:dyDescent="0.2">
      <c r="A278" s="42"/>
      <c r="B278" s="42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</row>
    <row r="279" spans="1:14" x14ac:dyDescent="0.2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</row>
    <row r="280" spans="1:14" x14ac:dyDescent="0.2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</row>
    <row r="281" spans="1:14" x14ac:dyDescent="0.2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</row>
    <row r="282" spans="1:14" x14ac:dyDescent="0.2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</row>
    <row r="283" spans="1:14" x14ac:dyDescent="0.2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</row>
    <row r="284" spans="1:14" x14ac:dyDescent="0.2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</row>
    <row r="285" spans="1:14" x14ac:dyDescent="0.2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</row>
    <row r="286" spans="1:14" x14ac:dyDescent="0.2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</row>
    <row r="287" spans="1:14" x14ac:dyDescent="0.2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</row>
    <row r="288" spans="1:14" x14ac:dyDescent="0.2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</row>
    <row r="289" spans="1:14" x14ac:dyDescent="0.2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</row>
    <row r="290" spans="1:14" x14ac:dyDescent="0.2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</row>
    <row r="291" spans="1:14" x14ac:dyDescent="0.2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</row>
    <row r="292" spans="1:14" x14ac:dyDescent="0.2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</row>
    <row r="293" spans="1:14" x14ac:dyDescent="0.2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</row>
    <row r="294" spans="1:14" x14ac:dyDescent="0.2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</row>
    <row r="295" spans="1:14" x14ac:dyDescent="0.2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</row>
    <row r="296" spans="1:14" x14ac:dyDescent="0.2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</row>
    <row r="297" spans="1:14" x14ac:dyDescent="0.2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</row>
    <row r="298" spans="1:14" x14ac:dyDescent="0.2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</row>
    <row r="299" spans="1:14" x14ac:dyDescent="0.2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</row>
    <row r="300" spans="1:14" x14ac:dyDescent="0.2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</row>
    <row r="301" spans="1:14" x14ac:dyDescent="0.2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</row>
    <row r="302" spans="1:14" x14ac:dyDescent="0.2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</row>
    <row r="303" spans="1:14" x14ac:dyDescent="0.2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</row>
    <row r="304" spans="1:14" x14ac:dyDescent="0.2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</row>
    <row r="305" spans="1:14" x14ac:dyDescent="0.2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</row>
    <row r="306" spans="1:14" x14ac:dyDescent="0.2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</row>
    <row r="307" spans="1:14" x14ac:dyDescent="0.2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</row>
    <row r="308" spans="1:14" x14ac:dyDescent="0.2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</row>
    <row r="309" spans="1:14" x14ac:dyDescent="0.2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</row>
    <row r="310" spans="1:14" x14ac:dyDescent="0.2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</row>
    <row r="311" spans="1:14" x14ac:dyDescent="0.2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</row>
    <row r="312" spans="1:14" x14ac:dyDescent="0.2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</row>
    <row r="313" spans="1:14" x14ac:dyDescent="0.2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</row>
    <row r="314" spans="1:14" x14ac:dyDescent="0.2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</row>
    <row r="315" spans="1:14" x14ac:dyDescent="0.2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</row>
    <row r="316" spans="1:14" x14ac:dyDescent="0.2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</row>
    <row r="317" spans="1:14" x14ac:dyDescent="0.2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</row>
    <row r="318" spans="1:14" x14ac:dyDescent="0.2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</row>
    <row r="319" spans="1:14" x14ac:dyDescent="0.2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</row>
    <row r="320" spans="1:14" x14ac:dyDescent="0.2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</row>
    <row r="321" spans="1:14" x14ac:dyDescent="0.2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</row>
    <row r="322" spans="1:14" x14ac:dyDescent="0.2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</row>
    <row r="323" spans="1:14" x14ac:dyDescent="0.2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</row>
    <row r="324" spans="1:14" x14ac:dyDescent="0.2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</row>
    <row r="325" spans="1:14" x14ac:dyDescent="0.2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</row>
    <row r="326" spans="1:14" x14ac:dyDescent="0.2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</row>
    <row r="327" spans="1:14" x14ac:dyDescent="0.2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</row>
    <row r="328" spans="1:14" x14ac:dyDescent="0.2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</row>
    <row r="329" spans="1:14" x14ac:dyDescent="0.2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</row>
    <row r="330" spans="1:14" x14ac:dyDescent="0.2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</row>
    <row r="331" spans="1:14" x14ac:dyDescent="0.2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</row>
    <row r="332" spans="1:14" x14ac:dyDescent="0.2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</row>
    <row r="333" spans="1:14" x14ac:dyDescent="0.2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</row>
    <row r="334" spans="1:14" x14ac:dyDescent="0.2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</row>
    <row r="335" spans="1:14" x14ac:dyDescent="0.2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</row>
    <row r="336" spans="1:14" x14ac:dyDescent="0.2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</row>
    <row r="337" spans="1:14" x14ac:dyDescent="0.2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</row>
    <row r="338" spans="1:14" x14ac:dyDescent="0.2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</row>
    <row r="339" spans="1:14" x14ac:dyDescent="0.2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</row>
    <row r="340" spans="1:14" x14ac:dyDescent="0.2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</row>
    <row r="341" spans="1:14" x14ac:dyDescent="0.2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</row>
    <row r="342" spans="1:14" x14ac:dyDescent="0.2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</row>
    <row r="343" spans="1:14" x14ac:dyDescent="0.2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</row>
    <row r="344" spans="1:14" x14ac:dyDescent="0.2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</row>
    <row r="345" spans="1:14" x14ac:dyDescent="0.2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</row>
    <row r="346" spans="1:14" x14ac:dyDescent="0.2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</row>
    <row r="347" spans="1:14" x14ac:dyDescent="0.2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</row>
    <row r="348" spans="1:14" x14ac:dyDescent="0.2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</row>
    <row r="349" spans="1:14" x14ac:dyDescent="0.2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</row>
    <row r="350" spans="1:14" x14ac:dyDescent="0.2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</row>
    <row r="351" spans="1:14" x14ac:dyDescent="0.2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</row>
    <row r="352" spans="1:14" x14ac:dyDescent="0.2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</row>
    <row r="353" spans="1:14" x14ac:dyDescent="0.2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</row>
    <row r="354" spans="1:14" x14ac:dyDescent="0.2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</row>
    <row r="355" spans="1:14" x14ac:dyDescent="0.2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</row>
    <row r="356" spans="1:14" x14ac:dyDescent="0.2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</row>
    <row r="357" spans="1:14" x14ac:dyDescent="0.2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</row>
    <row r="358" spans="1:14" x14ac:dyDescent="0.2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</row>
    <row r="359" spans="1:14" x14ac:dyDescent="0.2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</row>
    <row r="360" spans="1:14" x14ac:dyDescent="0.2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</row>
    <row r="361" spans="1:14" x14ac:dyDescent="0.2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</row>
    <row r="362" spans="1:14" x14ac:dyDescent="0.2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</row>
    <row r="363" spans="1:14" x14ac:dyDescent="0.2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</row>
    <row r="364" spans="1:14" x14ac:dyDescent="0.2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</row>
    <row r="365" spans="1:14" x14ac:dyDescent="0.2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</row>
    <row r="366" spans="1:14" x14ac:dyDescent="0.2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</row>
    <row r="367" spans="1:14" x14ac:dyDescent="0.2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</row>
    <row r="368" spans="1:14" x14ac:dyDescent="0.2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</row>
    <row r="369" spans="1:14" x14ac:dyDescent="0.2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</row>
    <row r="370" spans="1:14" x14ac:dyDescent="0.2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</row>
    <row r="371" spans="1:14" x14ac:dyDescent="0.2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</row>
    <row r="372" spans="1:14" x14ac:dyDescent="0.2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</row>
    <row r="373" spans="1:14" x14ac:dyDescent="0.2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</row>
    <row r="374" spans="1:14" x14ac:dyDescent="0.2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</row>
    <row r="375" spans="1:14" x14ac:dyDescent="0.2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</row>
    <row r="376" spans="1:14" x14ac:dyDescent="0.2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</row>
    <row r="377" spans="1:14" x14ac:dyDescent="0.2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</row>
    <row r="378" spans="1:14" x14ac:dyDescent="0.2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</row>
    <row r="379" spans="1:14" x14ac:dyDescent="0.2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</row>
    <row r="380" spans="1:14" x14ac:dyDescent="0.2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</row>
    <row r="381" spans="1:14" x14ac:dyDescent="0.2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</row>
    <row r="382" spans="1:14" x14ac:dyDescent="0.2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</row>
    <row r="383" spans="1:14" x14ac:dyDescent="0.2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</row>
    <row r="384" spans="1:14" x14ac:dyDescent="0.2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</row>
    <row r="385" spans="1:14" x14ac:dyDescent="0.2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</row>
    <row r="386" spans="1:14" x14ac:dyDescent="0.2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</row>
    <row r="387" spans="1:14" x14ac:dyDescent="0.2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</row>
    <row r="388" spans="1:14" x14ac:dyDescent="0.2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</row>
    <row r="389" spans="1:14" x14ac:dyDescent="0.2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</row>
    <row r="390" spans="1:14" x14ac:dyDescent="0.2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</row>
    <row r="391" spans="1:14" x14ac:dyDescent="0.2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</row>
    <row r="392" spans="1:14" x14ac:dyDescent="0.2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</row>
    <row r="393" spans="1:14" x14ac:dyDescent="0.2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</row>
    <row r="394" spans="1:14" x14ac:dyDescent="0.2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</row>
    <row r="395" spans="1:14" x14ac:dyDescent="0.2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</row>
    <row r="396" spans="1:14" x14ac:dyDescent="0.2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</row>
    <row r="397" spans="1:14" x14ac:dyDescent="0.2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</row>
    <row r="398" spans="1:14" x14ac:dyDescent="0.2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</row>
    <row r="399" spans="1:14" x14ac:dyDescent="0.2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</row>
    <row r="400" spans="1:14" x14ac:dyDescent="0.2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</row>
    <row r="401" spans="1:14" x14ac:dyDescent="0.2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</row>
    <row r="402" spans="1:14" x14ac:dyDescent="0.2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</row>
    <row r="403" spans="1:14" x14ac:dyDescent="0.2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</row>
    <row r="404" spans="1:14" x14ac:dyDescent="0.2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</row>
    <row r="405" spans="1:14" x14ac:dyDescent="0.2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</row>
    <row r="406" spans="1:14" x14ac:dyDescent="0.2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</row>
    <row r="407" spans="1:14" x14ac:dyDescent="0.2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</row>
    <row r="408" spans="1:14" x14ac:dyDescent="0.2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</row>
    <row r="409" spans="1:14" x14ac:dyDescent="0.2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</row>
    <row r="410" spans="1:14" x14ac:dyDescent="0.2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</row>
    <row r="411" spans="1:14" x14ac:dyDescent="0.2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</row>
    <row r="412" spans="1:14" x14ac:dyDescent="0.2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</row>
    <row r="413" spans="1:14" x14ac:dyDescent="0.2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</row>
    <row r="414" spans="1:14" x14ac:dyDescent="0.2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</row>
    <row r="415" spans="1:14" x14ac:dyDescent="0.2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</row>
    <row r="416" spans="1:14" x14ac:dyDescent="0.2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</row>
    <row r="417" spans="1:14" x14ac:dyDescent="0.2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</row>
    <row r="418" spans="1:14" x14ac:dyDescent="0.2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</row>
    <row r="419" spans="1:14" x14ac:dyDescent="0.2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</row>
    <row r="420" spans="1:14" x14ac:dyDescent="0.2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</row>
    <row r="421" spans="1:14" x14ac:dyDescent="0.2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</row>
    <row r="422" spans="1:14" x14ac:dyDescent="0.2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</row>
    <row r="423" spans="1:14" x14ac:dyDescent="0.2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</row>
    <row r="424" spans="1:14" x14ac:dyDescent="0.2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</row>
    <row r="425" spans="1:14" x14ac:dyDescent="0.2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</row>
    <row r="426" spans="1:14" x14ac:dyDescent="0.2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</row>
    <row r="427" spans="1:14" x14ac:dyDescent="0.2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</row>
    <row r="428" spans="1:14" x14ac:dyDescent="0.2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</row>
    <row r="429" spans="1:14" x14ac:dyDescent="0.2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</row>
    <row r="430" spans="1:14" x14ac:dyDescent="0.2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</row>
    <row r="431" spans="1:14" x14ac:dyDescent="0.2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</row>
    <row r="432" spans="1:14" x14ac:dyDescent="0.2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</row>
    <row r="433" spans="1:14" x14ac:dyDescent="0.2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</row>
    <row r="434" spans="1:14" x14ac:dyDescent="0.2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</row>
    <row r="435" spans="1:14" x14ac:dyDescent="0.2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</row>
    <row r="436" spans="1:14" x14ac:dyDescent="0.2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</row>
    <row r="437" spans="1:14" x14ac:dyDescent="0.2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</row>
    <row r="438" spans="1:14" x14ac:dyDescent="0.2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</row>
    <row r="439" spans="1:14" x14ac:dyDescent="0.2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</row>
    <row r="440" spans="1:14" x14ac:dyDescent="0.2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</row>
    <row r="441" spans="1:14" x14ac:dyDescent="0.2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</row>
    <row r="442" spans="1:14" x14ac:dyDescent="0.2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</row>
    <row r="443" spans="1:14" x14ac:dyDescent="0.2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</row>
    <row r="444" spans="1:14" x14ac:dyDescent="0.2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</row>
    <row r="445" spans="1:14" x14ac:dyDescent="0.2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</row>
    <row r="446" spans="1:14" x14ac:dyDescent="0.2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</row>
    <row r="447" spans="1:14" x14ac:dyDescent="0.2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</row>
    <row r="448" spans="1:14" x14ac:dyDescent="0.2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</row>
    <row r="449" spans="1:14" x14ac:dyDescent="0.2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</row>
    <row r="450" spans="1:14" x14ac:dyDescent="0.2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</row>
    <row r="451" spans="1:14" x14ac:dyDescent="0.2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</row>
    <row r="452" spans="1:14" x14ac:dyDescent="0.2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</row>
    <row r="453" spans="1:14" x14ac:dyDescent="0.2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</row>
    <row r="454" spans="1:14" x14ac:dyDescent="0.2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</row>
    <row r="455" spans="1:14" x14ac:dyDescent="0.2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</row>
    <row r="456" spans="1:14" x14ac:dyDescent="0.2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</row>
    <row r="457" spans="1:14" x14ac:dyDescent="0.2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</row>
    <row r="458" spans="1:14" x14ac:dyDescent="0.2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</row>
    <row r="459" spans="1:14" x14ac:dyDescent="0.2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</row>
    <row r="460" spans="1:14" x14ac:dyDescent="0.2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</row>
    <row r="461" spans="1:14" x14ac:dyDescent="0.2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</row>
    <row r="462" spans="1:14" x14ac:dyDescent="0.2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</row>
    <row r="463" spans="1:14" x14ac:dyDescent="0.2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</row>
    <row r="464" spans="1:14" x14ac:dyDescent="0.2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</row>
    <row r="465" spans="1:14" x14ac:dyDescent="0.2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</row>
    <row r="466" spans="1:14" x14ac:dyDescent="0.2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</row>
    <row r="467" spans="1:14" x14ac:dyDescent="0.2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</row>
    <row r="468" spans="1:14" x14ac:dyDescent="0.2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</row>
    <row r="469" spans="1:14" x14ac:dyDescent="0.2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</row>
    <row r="470" spans="1:14" x14ac:dyDescent="0.2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</row>
    <row r="471" spans="1:14" x14ac:dyDescent="0.2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</row>
    <row r="472" spans="1:14" x14ac:dyDescent="0.2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</row>
    <row r="473" spans="1:14" x14ac:dyDescent="0.2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</row>
    <row r="474" spans="1:14" x14ac:dyDescent="0.2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</row>
    <row r="475" spans="1:14" x14ac:dyDescent="0.2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</row>
    <row r="476" spans="1:14" x14ac:dyDescent="0.2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</row>
    <row r="477" spans="1:14" x14ac:dyDescent="0.2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</row>
    <row r="478" spans="1:14" x14ac:dyDescent="0.2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</row>
    <row r="479" spans="1:14" x14ac:dyDescent="0.2">
      <c r="A479" s="42"/>
      <c r="B479" s="42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</row>
    <row r="480" spans="1:14" x14ac:dyDescent="0.2">
      <c r="A480" s="42"/>
      <c r="B480" s="42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</row>
    <row r="481" spans="1:14" x14ac:dyDescent="0.2">
      <c r="A481" s="42"/>
      <c r="B481" s="42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</row>
    <row r="482" spans="1:14" x14ac:dyDescent="0.2">
      <c r="A482" s="42"/>
      <c r="B482" s="42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</row>
    <row r="483" spans="1:14" x14ac:dyDescent="0.2">
      <c r="A483" s="42"/>
      <c r="B483" s="42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</row>
    <row r="484" spans="1:14" x14ac:dyDescent="0.2">
      <c r="A484" s="42"/>
      <c r="B484" s="42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</row>
    <row r="485" spans="1:14" x14ac:dyDescent="0.2">
      <c r="A485" s="42"/>
      <c r="B485" s="42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</row>
    <row r="486" spans="1:14" x14ac:dyDescent="0.2">
      <c r="A486" s="42"/>
      <c r="B486" s="42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</row>
    <row r="487" spans="1:14" x14ac:dyDescent="0.2">
      <c r="A487" s="42"/>
      <c r="B487" s="42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</row>
    <row r="488" spans="1:14" x14ac:dyDescent="0.2">
      <c r="A488" s="42"/>
      <c r="B488" s="42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</row>
    <row r="489" spans="1:14" x14ac:dyDescent="0.2">
      <c r="A489" s="42"/>
      <c r="B489" s="42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</row>
    <row r="490" spans="1:14" x14ac:dyDescent="0.2">
      <c r="A490" s="42"/>
      <c r="B490" s="42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</row>
    <row r="491" spans="1:14" x14ac:dyDescent="0.2">
      <c r="A491" s="42"/>
      <c r="B491" s="42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</row>
    <row r="492" spans="1:14" x14ac:dyDescent="0.2">
      <c r="A492" s="42"/>
      <c r="B492" s="42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</row>
    <row r="493" spans="1:14" x14ac:dyDescent="0.2">
      <c r="A493" s="42"/>
      <c r="B493" s="42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</row>
    <row r="494" spans="1:14" x14ac:dyDescent="0.2">
      <c r="A494" s="42"/>
      <c r="B494" s="42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</row>
    <row r="495" spans="1:14" x14ac:dyDescent="0.2">
      <c r="A495" s="42"/>
      <c r="B495" s="42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</row>
    <row r="496" spans="1:14" x14ac:dyDescent="0.2">
      <c r="A496" s="42"/>
      <c r="B496" s="42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</row>
    <row r="497" spans="1:14" x14ac:dyDescent="0.2">
      <c r="A497" s="42"/>
      <c r="B497" s="42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</row>
    <row r="498" spans="1:14" x14ac:dyDescent="0.2">
      <c r="A498" s="42"/>
      <c r="B498" s="42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</row>
    <row r="499" spans="1:14" x14ac:dyDescent="0.2">
      <c r="A499" s="42"/>
      <c r="B499" s="42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</row>
    <row r="500" spans="1:14" x14ac:dyDescent="0.2">
      <c r="A500" s="42"/>
      <c r="B500" s="42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</row>
    <row r="501" spans="1:14" x14ac:dyDescent="0.2">
      <c r="A501" s="42"/>
      <c r="B501" s="42"/>
      <c r="C501" s="42"/>
      <c r="D501" s="42"/>
      <c r="E501" s="42"/>
      <c r="F501" s="42"/>
      <c r="G501" s="42"/>
      <c r="H501" s="42"/>
      <c r="I501" s="42"/>
      <c r="J501" s="42"/>
      <c r="K501" s="42"/>
      <c r="L501" s="42"/>
      <c r="M501" s="42"/>
      <c r="N501" s="42"/>
    </row>
    <row r="502" spans="1:14" x14ac:dyDescent="0.2">
      <c r="A502" s="42"/>
      <c r="B502" s="42"/>
      <c r="C502" s="42"/>
      <c r="D502" s="42"/>
      <c r="E502" s="42"/>
      <c r="F502" s="42"/>
      <c r="G502" s="42"/>
      <c r="H502" s="42"/>
      <c r="I502" s="42"/>
      <c r="J502" s="42"/>
      <c r="K502" s="42"/>
      <c r="L502" s="42"/>
      <c r="M502" s="42"/>
      <c r="N502" s="42"/>
    </row>
    <row r="503" spans="1:14" x14ac:dyDescent="0.2">
      <c r="A503" s="42"/>
      <c r="B503" s="42"/>
      <c r="C503" s="42"/>
      <c r="D503" s="42"/>
      <c r="E503" s="42"/>
      <c r="F503" s="42"/>
      <c r="G503" s="42"/>
      <c r="H503" s="42"/>
      <c r="I503" s="42"/>
      <c r="J503" s="42"/>
      <c r="K503" s="42"/>
      <c r="L503" s="42"/>
      <c r="M503" s="42"/>
      <c r="N503" s="42"/>
    </row>
    <row r="504" spans="1:14" x14ac:dyDescent="0.2">
      <c r="A504" s="42"/>
      <c r="B504" s="42"/>
      <c r="C504" s="42"/>
      <c r="D504" s="42"/>
      <c r="E504" s="42"/>
      <c r="F504" s="42"/>
      <c r="G504" s="42"/>
      <c r="H504" s="42"/>
      <c r="I504" s="42"/>
      <c r="J504" s="42"/>
      <c r="K504" s="42"/>
      <c r="L504" s="42"/>
      <c r="M504" s="42"/>
      <c r="N504" s="42"/>
    </row>
    <row r="505" spans="1:14" x14ac:dyDescent="0.2">
      <c r="A505" s="42"/>
      <c r="B505" s="42"/>
      <c r="C505" s="42"/>
      <c r="D505" s="42"/>
      <c r="E505" s="42"/>
      <c r="F505" s="42"/>
      <c r="G505" s="42"/>
      <c r="H505" s="42"/>
      <c r="I505" s="42"/>
      <c r="J505" s="42"/>
      <c r="K505" s="42"/>
      <c r="L505" s="42"/>
      <c r="M505" s="42"/>
      <c r="N505" s="42"/>
    </row>
    <row r="506" spans="1:14" x14ac:dyDescent="0.2">
      <c r="A506" s="42"/>
      <c r="B506" s="42"/>
      <c r="C506" s="42"/>
      <c r="D506" s="42"/>
      <c r="E506" s="42"/>
      <c r="F506" s="42"/>
      <c r="G506" s="42"/>
      <c r="H506" s="42"/>
      <c r="I506" s="42"/>
      <c r="J506" s="42"/>
      <c r="K506" s="42"/>
      <c r="L506" s="42"/>
      <c r="M506" s="42"/>
      <c r="N506" s="42"/>
    </row>
    <row r="507" spans="1:14" x14ac:dyDescent="0.2">
      <c r="A507" s="42"/>
      <c r="B507" s="42"/>
      <c r="C507" s="42"/>
      <c r="D507" s="42"/>
      <c r="E507" s="42"/>
      <c r="F507" s="42"/>
      <c r="G507" s="42"/>
      <c r="H507" s="42"/>
      <c r="I507" s="42"/>
      <c r="J507" s="42"/>
      <c r="K507" s="42"/>
      <c r="L507" s="42"/>
      <c r="M507" s="42"/>
      <c r="N507" s="42"/>
    </row>
    <row r="508" spans="1:14" x14ac:dyDescent="0.2">
      <c r="A508" s="42"/>
      <c r="B508" s="42"/>
      <c r="C508" s="42"/>
      <c r="D508" s="42"/>
      <c r="E508" s="42"/>
      <c r="F508" s="42"/>
      <c r="G508" s="42"/>
      <c r="H508" s="42"/>
      <c r="I508" s="42"/>
      <c r="J508" s="42"/>
      <c r="K508" s="42"/>
      <c r="L508" s="42"/>
      <c r="M508" s="42"/>
      <c r="N508" s="42"/>
    </row>
    <row r="509" spans="1:14" x14ac:dyDescent="0.2">
      <c r="A509" s="42"/>
      <c r="B509" s="42"/>
      <c r="C509" s="42"/>
      <c r="D509" s="42"/>
      <c r="E509" s="42"/>
      <c r="F509" s="42"/>
      <c r="G509" s="42"/>
      <c r="H509" s="42"/>
      <c r="I509" s="42"/>
      <c r="J509" s="42"/>
      <c r="K509" s="42"/>
      <c r="L509" s="42"/>
      <c r="M509" s="42"/>
      <c r="N509" s="42"/>
    </row>
    <row r="510" spans="1:14" x14ac:dyDescent="0.2">
      <c r="A510" s="42"/>
      <c r="B510" s="42"/>
      <c r="C510" s="42"/>
      <c r="D510" s="42"/>
      <c r="E510" s="42"/>
      <c r="F510" s="42"/>
      <c r="G510" s="42"/>
      <c r="H510" s="42"/>
      <c r="I510" s="42"/>
      <c r="J510" s="42"/>
      <c r="K510" s="42"/>
      <c r="L510" s="42"/>
      <c r="M510" s="42"/>
      <c r="N510" s="42"/>
    </row>
    <row r="511" spans="1:14" x14ac:dyDescent="0.2">
      <c r="A511" s="42"/>
      <c r="B511" s="42"/>
      <c r="C511" s="42"/>
      <c r="D511" s="42"/>
      <c r="E511" s="42"/>
      <c r="F511" s="42"/>
      <c r="G511" s="42"/>
      <c r="H511" s="42"/>
      <c r="I511" s="42"/>
      <c r="J511" s="42"/>
      <c r="K511" s="42"/>
      <c r="L511" s="42"/>
      <c r="M511" s="42"/>
      <c r="N511" s="42"/>
    </row>
    <row r="512" spans="1:14" x14ac:dyDescent="0.2">
      <c r="A512" s="42"/>
      <c r="B512" s="42"/>
      <c r="C512" s="42"/>
      <c r="D512" s="42"/>
      <c r="E512" s="42"/>
      <c r="F512" s="42"/>
      <c r="G512" s="42"/>
      <c r="H512" s="42"/>
      <c r="I512" s="42"/>
      <c r="J512" s="42"/>
      <c r="K512" s="42"/>
      <c r="L512" s="42"/>
      <c r="M512" s="42"/>
      <c r="N512" s="42"/>
    </row>
    <row r="513" spans="1:14" x14ac:dyDescent="0.2">
      <c r="A513" s="42"/>
      <c r="B513" s="42"/>
      <c r="C513" s="42"/>
      <c r="D513" s="42"/>
      <c r="E513" s="42"/>
      <c r="F513" s="42"/>
      <c r="G513" s="42"/>
      <c r="H513" s="42"/>
      <c r="I513" s="42"/>
      <c r="J513" s="42"/>
      <c r="K513" s="42"/>
      <c r="L513" s="42"/>
      <c r="M513" s="42"/>
      <c r="N513" s="42"/>
    </row>
    <row r="514" spans="1:14" x14ac:dyDescent="0.2">
      <c r="A514" s="42"/>
      <c r="B514" s="42"/>
      <c r="C514" s="42"/>
      <c r="D514" s="42"/>
      <c r="E514" s="42"/>
      <c r="F514" s="42"/>
      <c r="G514" s="42"/>
      <c r="H514" s="42"/>
      <c r="I514" s="42"/>
      <c r="J514" s="42"/>
      <c r="K514" s="42"/>
      <c r="L514" s="42"/>
      <c r="M514" s="42"/>
      <c r="N514" s="42"/>
    </row>
    <row r="515" spans="1:14" x14ac:dyDescent="0.2">
      <c r="A515" s="42"/>
      <c r="B515" s="42"/>
      <c r="C515" s="42"/>
      <c r="D515" s="42"/>
      <c r="E515" s="42"/>
      <c r="F515" s="42"/>
      <c r="G515" s="42"/>
      <c r="H515" s="42"/>
      <c r="I515" s="42"/>
      <c r="J515" s="42"/>
      <c r="K515" s="42"/>
      <c r="L515" s="42"/>
      <c r="M515" s="42"/>
      <c r="N515" s="42"/>
    </row>
    <row r="516" spans="1:14" x14ac:dyDescent="0.2">
      <c r="A516" s="42"/>
      <c r="B516" s="42"/>
      <c r="C516" s="42"/>
      <c r="D516" s="42"/>
      <c r="E516" s="42"/>
      <c r="F516" s="42"/>
      <c r="G516" s="42"/>
      <c r="H516" s="42"/>
      <c r="I516" s="42"/>
      <c r="J516" s="42"/>
      <c r="K516" s="42"/>
      <c r="L516" s="42"/>
      <c r="M516" s="42"/>
      <c r="N516" s="42"/>
    </row>
    <row r="517" spans="1:14" x14ac:dyDescent="0.2">
      <c r="A517" s="42"/>
      <c r="B517" s="42"/>
      <c r="C517" s="42"/>
      <c r="D517" s="42"/>
      <c r="E517" s="42"/>
      <c r="F517" s="42"/>
      <c r="G517" s="42"/>
      <c r="H517" s="42"/>
      <c r="I517" s="42"/>
      <c r="J517" s="42"/>
      <c r="K517" s="42"/>
      <c r="L517" s="42"/>
      <c r="M517" s="42"/>
      <c r="N517" s="42"/>
    </row>
    <row r="518" spans="1:14" x14ac:dyDescent="0.2">
      <c r="A518" s="42"/>
      <c r="B518" s="42"/>
      <c r="C518" s="42"/>
      <c r="D518" s="42"/>
      <c r="E518" s="42"/>
      <c r="F518" s="42"/>
      <c r="G518" s="42"/>
      <c r="H518" s="42"/>
      <c r="I518" s="42"/>
      <c r="J518" s="42"/>
      <c r="K518" s="42"/>
      <c r="L518" s="42"/>
      <c r="M518" s="42"/>
      <c r="N518" s="42"/>
    </row>
    <row r="519" spans="1:14" x14ac:dyDescent="0.2">
      <c r="A519" s="42"/>
      <c r="B519" s="42"/>
      <c r="C519" s="42"/>
      <c r="D519" s="42"/>
      <c r="E519" s="42"/>
      <c r="F519" s="42"/>
      <c r="G519" s="42"/>
      <c r="H519" s="42"/>
      <c r="I519" s="42"/>
      <c r="J519" s="42"/>
      <c r="K519" s="42"/>
      <c r="L519" s="42"/>
      <c r="M519" s="42"/>
      <c r="N519" s="42"/>
    </row>
    <row r="520" spans="1:14" x14ac:dyDescent="0.2">
      <c r="A520" s="42"/>
      <c r="B520" s="42"/>
      <c r="C520" s="42"/>
      <c r="D520" s="42"/>
      <c r="E520" s="42"/>
      <c r="F520" s="42"/>
      <c r="G520" s="42"/>
      <c r="H520" s="42"/>
      <c r="I520" s="42"/>
      <c r="J520" s="42"/>
      <c r="K520" s="42"/>
      <c r="L520" s="42"/>
      <c r="M520" s="42"/>
      <c r="N520" s="42"/>
    </row>
    <row r="521" spans="1:14" x14ac:dyDescent="0.2">
      <c r="A521" s="42"/>
      <c r="B521" s="42"/>
      <c r="C521" s="42"/>
      <c r="D521" s="42"/>
      <c r="E521" s="42"/>
      <c r="F521" s="42"/>
      <c r="G521" s="42"/>
      <c r="H521" s="42"/>
      <c r="I521" s="42"/>
      <c r="J521" s="42"/>
      <c r="K521" s="42"/>
      <c r="L521" s="42"/>
      <c r="M521" s="42"/>
      <c r="N521" s="42"/>
    </row>
    <row r="522" spans="1:14" x14ac:dyDescent="0.2">
      <c r="A522" s="42"/>
      <c r="B522" s="42"/>
      <c r="C522" s="42"/>
      <c r="D522" s="42"/>
      <c r="E522" s="42"/>
      <c r="F522" s="42"/>
      <c r="G522" s="42"/>
      <c r="H522" s="42"/>
      <c r="I522" s="42"/>
      <c r="J522" s="42"/>
      <c r="K522" s="42"/>
      <c r="L522" s="42"/>
      <c r="M522" s="42"/>
      <c r="N522" s="42"/>
    </row>
    <row r="523" spans="1:14" x14ac:dyDescent="0.2">
      <c r="A523" s="42"/>
      <c r="B523" s="42"/>
      <c r="C523" s="42"/>
      <c r="D523" s="42"/>
      <c r="E523" s="42"/>
      <c r="F523" s="42"/>
      <c r="G523" s="42"/>
      <c r="H523" s="42"/>
      <c r="I523" s="42"/>
      <c r="J523" s="42"/>
      <c r="K523" s="42"/>
      <c r="L523" s="42"/>
      <c r="M523" s="42"/>
      <c r="N523" s="42"/>
    </row>
    <row r="524" spans="1:14" x14ac:dyDescent="0.2">
      <c r="A524" s="42"/>
      <c r="B524" s="42"/>
      <c r="C524" s="42"/>
      <c r="D524" s="42"/>
      <c r="E524" s="42"/>
      <c r="F524" s="42"/>
      <c r="G524" s="42"/>
      <c r="H524" s="42"/>
      <c r="I524" s="42"/>
      <c r="J524" s="42"/>
      <c r="K524" s="42"/>
      <c r="L524" s="42"/>
      <c r="M524" s="42"/>
      <c r="N524" s="42"/>
    </row>
    <row r="525" spans="1:14" x14ac:dyDescent="0.2">
      <c r="A525" s="42"/>
      <c r="B525" s="42"/>
      <c r="C525" s="42"/>
      <c r="D525" s="42"/>
      <c r="E525" s="42"/>
      <c r="F525" s="42"/>
      <c r="G525" s="42"/>
      <c r="H525" s="42"/>
      <c r="I525" s="42"/>
      <c r="J525" s="42"/>
      <c r="K525" s="42"/>
      <c r="L525" s="42"/>
      <c r="M525" s="42"/>
      <c r="N525" s="42"/>
    </row>
    <row r="526" spans="1:14" x14ac:dyDescent="0.2">
      <c r="A526" s="42"/>
      <c r="B526" s="42"/>
      <c r="C526" s="42"/>
      <c r="D526" s="42"/>
      <c r="E526" s="42"/>
      <c r="F526" s="42"/>
      <c r="G526" s="42"/>
      <c r="H526" s="42"/>
      <c r="I526" s="42"/>
      <c r="J526" s="42"/>
      <c r="K526" s="42"/>
      <c r="L526" s="42"/>
      <c r="M526" s="42"/>
      <c r="N526" s="42"/>
    </row>
    <row r="527" spans="1:14" x14ac:dyDescent="0.2">
      <c r="A527" s="42"/>
      <c r="B527" s="42"/>
      <c r="C527" s="42"/>
      <c r="D527" s="42"/>
      <c r="E527" s="42"/>
      <c r="F527" s="42"/>
      <c r="G527" s="42"/>
      <c r="H527" s="42"/>
      <c r="I527" s="42"/>
      <c r="J527" s="42"/>
      <c r="K527" s="42"/>
      <c r="L527" s="42"/>
      <c r="M527" s="42"/>
      <c r="N527" s="42"/>
    </row>
    <row r="528" spans="1:14" x14ac:dyDescent="0.2">
      <c r="A528" s="42"/>
      <c r="B528" s="42"/>
      <c r="C528" s="42"/>
      <c r="D528" s="42"/>
      <c r="E528" s="42"/>
      <c r="F528" s="42"/>
      <c r="G528" s="42"/>
      <c r="H528" s="42"/>
      <c r="I528" s="42"/>
      <c r="J528" s="42"/>
      <c r="K528" s="42"/>
      <c r="L528" s="42"/>
      <c r="M528" s="42"/>
      <c r="N528" s="42"/>
    </row>
    <row r="529" spans="1:14" x14ac:dyDescent="0.2">
      <c r="A529" s="42"/>
      <c r="B529" s="42"/>
      <c r="C529" s="42"/>
      <c r="D529" s="42"/>
      <c r="E529" s="42"/>
      <c r="F529" s="42"/>
      <c r="G529" s="42"/>
      <c r="H529" s="42"/>
      <c r="I529" s="42"/>
      <c r="J529" s="42"/>
      <c r="K529" s="42"/>
      <c r="L529" s="42"/>
      <c r="M529" s="42"/>
      <c r="N529" s="42"/>
    </row>
    <row r="530" spans="1:14" x14ac:dyDescent="0.2">
      <c r="A530" s="42"/>
      <c r="B530" s="42"/>
      <c r="C530" s="42"/>
      <c r="D530" s="42"/>
      <c r="E530" s="42"/>
      <c r="F530" s="42"/>
      <c r="G530" s="42"/>
      <c r="H530" s="42"/>
      <c r="I530" s="42"/>
      <c r="J530" s="42"/>
      <c r="K530" s="42"/>
      <c r="L530" s="42"/>
      <c r="M530" s="42"/>
      <c r="N530" s="42"/>
    </row>
    <row r="531" spans="1:14" x14ac:dyDescent="0.2">
      <c r="A531" s="42"/>
      <c r="B531" s="42"/>
      <c r="C531" s="42"/>
      <c r="D531" s="42"/>
      <c r="E531" s="42"/>
      <c r="F531" s="42"/>
      <c r="G531" s="42"/>
      <c r="H531" s="42"/>
      <c r="I531" s="42"/>
      <c r="J531" s="42"/>
      <c r="K531" s="42"/>
      <c r="L531" s="42"/>
      <c r="M531" s="42"/>
      <c r="N531" s="42"/>
    </row>
    <row r="532" spans="1:14" x14ac:dyDescent="0.2">
      <c r="A532" s="42"/>
      <c r="B532" s="42"/>
      <c r="C532" s="42"/>
      <c r="D532" s="42"/>
      <c r="E532" s="42"/>
      <c r="F532" s="42"/>
      <c r="G532" s="42"/>
      <c r="H532" s="42"/>
      <c r="I532" s="42"/>
      <c r="J532" s="42"/>
      <c r="K532" s="42"/>
      <c r="L532" s="42"/>
      <c r="M532" s="42"/>
      <c r="N532" s="42"/>
    </row>
    <row r="533" spans="1:14" x14ac:dyDescent="0.2">
      <c r="A533" s="42"/>
      <c r="B533" s="42"/>
      <c r="C533" s="42"/>
      <c r="D533" s="42"/>
      <c r="E533" s="42"/>
      <c r="F533" s="42"/>
      <c r="G533" s="42"/>
      <c r="H533" s="42"/>
      <c r="I533" s="42"/>
      <c r="J533" s="42"/>
      <c r="K533" s="42"/>
      <c r="L533" s="42"/>
      <c r="M533" s="42"/>
      <c r="N533" s="42"/>
    </row>
    <row r="534" spans="1:14" x14ac:dyDescent="0.2">
      <c r="A534" s="42"/>
      <c r="B534" s="42"/>
      <c r="C534" s="42"/>
      <c r="D534" s="42"/>
      <c r="E534" s="42"/>
      <c r="F534" s="42"/>
      <c r="G534" s="42"/>
      <c r="H534" s="42"/>
      <c r="I534" s="42"/>
      <c r="J534" s="42"/>
      <c r="K534" s="42"/>
      <c r="L534" s="42"/>
      <c r="M534" s="42"/>
      <c r="N534" s="42"/>
    </row>
    <row r="535" spans="1:14" x14ac:dyDescent="0.2">
      <c r="A535" s="42"/>
      <c r="B535" s="42"/>
      <c r="C535" s="42"/>
      <c r="D535" s="42"/>
      <c r="E535" s="42"/>
      <c r="F535" s="42"/>
      <c r="G535" s="42"/>
      <c r="H535" s="42"/>
      <c r="I535" s="42"/>
      <c r="J535" s="42"/>
      <c r="K535" s="42"/>
      <c r="L535" s="42"/>
      <c r="M535" s="42"/>
      <c r="N535" s="42"/>
    </row>
    <row r="536" spans="1:14" x14ac:dyDescent="0.2">
      <c r="A536" s="42"/>
      <c r="B536" s="42"/>
      <c r="C536" s="42"/>
      <c r="D536" s="42"/>
      <c r="E536" s="42"/>
      <c r="F536" s="42"/>
      <c r="G536" s="42"/>
      <c r="H536" s="42"/>
      <c r="I536" s="42"/>
      <c r="J536" s="42"/>
      <c r="K536" s="42"/>
      <c r="L536" s="42"/>
      <c r="M536" s="42"/>
      <c r="N536" s="42"/>
    </row>
    <row r="537" spans="1:14" x14ac:dyDescent="0.2">
      <c r="A537" s="42"/>
      <c r="B537" s="42"/>
      <c r="C537" s="42"/>
      <c r="D537" s="42"/>
      <c r="E537" s="42"/>
      <c r="F537" s="42"/>
      <c r="G537" s="42"/>
      <c r="H537" s="42"/>
      <c r="I537" s="42"/>
      <c r="J537" s="42"/>
      <c r="K537" s="42"/>
      <c r="L537" s="42"/>
      <c r="M537" s="42"/>
      <c r="N537" s="42"/>
    </row>
    <row r="538" spans="1:14" x14ac:dyDescent="0.2">
      <c r="A538" s="42"/>
      <c r="B538" s="42"/>
      <c r="C538" s="42"/>
      <c r="D538" s="42"/>
      <c r="E538" s="42"/>
      <c r="F538" s="42"/>
      <c r="G538" s="42"/>
      <c r="H538" s="42"/>
      <c r="I538" s="42"/>
      <c r="J538" s="42"/>
      <c r="K538" s="42"/>
      <c r="L538" s="42"/>
      <c r="M538" s="42"/>
      <c r="N538" s="42"/>
    </row>
    <row r="539" spans="1:14" x14ac:dyDescent="0.2">
      <c r="A539" s="42"/>
      <c r="B539" s="42"/>
      <c r="C539" s="42"/>
      <c r="D539" s="42"/>
      <c r="E539" s="42"/>
      <c r="F539" s="42"/>
      <c r="G539" s="42"/>
      <c r="H539" s="42"/>
      <c r="I539" s="42"/>
      <c r="J539" s="42"/>
      <c r="K539" s="42"/>
      <c r="L539" s="42"/>
      <c r="M539" s="42"/>
      <c r="N539" s="42"/>
    </row>
    <row r="540" spans="1:14" x14ac:dyDescent="0.2">
      <c r="A540" s="42"/>
      <c r="B540" s="42"/>
      <c r="C540" s="42"/>
      <c r="D540" s="42"/>
      <c r="E540" s="42"/>
      <c r="F540" s="42"/>
      <c r="G540" s="42"/>
      <c r="H540" s="42"/>
      <c r="I540" s="42"/>
      <c r="J540" s="42"/>
      <c r="K540" s="42"/>
      <c r="L540" s="42"/>
      <c r="M540" s="42"/>
      <c r="N540" s="42"/>
    </row>
    <row r="541" spans="1:14" x14ac:dyDescent="0.2">
      <c r="A541" s="42"/>
      <c r="B541" s="42"/>
      <c r="C541" s="42"/>
      <c r="D541" s="42"/>
      <c r="E541" s="42"/>
      <c r="F541" s="42"/>
      <c r="G541" s="42"/>
      <c r="H541" s="42"/>
      <c r="I541" s="42"/>
      <c r="J541" s="42"/>
      <c r="K541" s="42"/>
      <c r="L541" s="42"/>
      <c r="M541" s="42"/>
      <c r="N541" s="42"/>
    </row>
    <row r="542" spans="1:14" x14ac:dyDescent="0.2">
      <c r="A542" s="42"/>
      <c r="B542" s="42"/>
      <c r="C542" s="42"/>
      <c r="D542" s="42"/>
      <c r="E542" s="42"/>
      <c r="F542" s="42"/>
      <c r="G542" s="42"/>
      <c r="H542" s="42"/>
      <c r="I542" s="42"/>
      <c r="J542" s="42"/>
      <c r="K542" s="42"/>
      <c r="L542" s="42"/>
      <c r="M542" s="42"/>
      <c r="N542" s="42"/>
    </row>
    <row r="543" spans="1:14" x14ac:dyDescent="0.2">
      <c r="A543" s="42"/>
      <c r="B543" s="42"/>
      <c r="C543" s="42"/>
      <c r="D543" s="42"/>
      <c r="E543" s="42"/>
      <c r="F543" s="42"/>
      <c r="G543" s="42"/>
      <c r="H543" s="42"/>
      <c r="I543" s="42"/>
      <c r="J543" s="42"/>
      <c r="K543" s="42"/>
      <c r="L543" s="42"/>
      <c r="M543" s="42"/>
      <c r="N543" s="42"/>
    </row>
    <row r="544" spans="1:14" x14ac:dyDescent="0.2">
      <c r="A544" s="42"/>
      <c r="B544" s="42"/>
      <c r="C544" s="42"/>
      <c r="D544" s="42"/>
      <c r="E544" s="42"/>
      <c r="F544" s="42"/>
      <c r="G544" s="42"/>
      <c r="H544" s="42"/>
      <c r="I544" s="42"/>
      <c r="J544" s="42"/>
      <c r="K544" s="42"/>
      <c r="L544" s="42"/>
      <c r="M544" s="42"/>
      <c r="N544" s="42"/>
    </row>
    <row r="545" spans="1:14" x14ac:dyDescent="0.2">
      <c r="A545" s="42"/>
      <c r="B545" s="42"/>
      <c r="C545" s="42"/>
      <c r="D545" s="42"/>
      <c r="E545" s="42"/>
      <c r="F545" s="42"/>
      <c r="G545" s="42"/>
      <c r="H545" s="42"/>
      <c r="I545" s="42"/>
      <c r="J545" s="42"/>
      <c r="K545" s="42"/>
      <c r="L545" s="42"/>
      <c r="M545" s="42"/>
      <c r="N545" s="42"/>
    </row>
    <row r="546" spans="1:14" x14ac:dyDescent="0.2">
      <c r="A546" s="42"/>
      <c r="B546" s="42"/>
      <c r="C546" s="42"/>
      <c r="D546" s="42"/>
      <c r="E546" s="42"/>
      <c r="F546" s="42"/>
      <c r="G546" s="42"/>
      <c r="H546" s="42"/>
      <c r="I546" s="42"/>
      <c r="J546" s="42"/>
      <c r="K546" s="42"/>
      <c r="L546" s="42"/>
      <c r="M546" s="42"/>
      <c r="N546" s="42"/>
    </row>
    <row r="547" spans="1:14" x14ac:dyDescent="0.2">
      <c r="A547" s="42"/>
      <c r="B547" s="42"/>
      <c r="C547" s="42"/>
      <c r="D547" s="42"/>
      <c r="E547" s="42"/>
      <c r="F547" s="42"/>
      <c r="G547" s="42"/>
      <c r="H547" s="42"/>
      <c r="I547" s="42"/>
      <c r="J547" s="42"/>
      <c r="K547" s="42"/>
      <c r="L547" s="42"/>
      <c r="M547" s="42"/>
      <c r="N547" s="42"/>
    </row>
    <row r="548" spans="1:14" x14ac:dyDescent="0.2">
      <c r="A548" s="42"/>
      <c r="B548" s="42"/>
      <c r="C548" s="42"/>
      <c r="D548" s="42"/>
      <c r="E548" s="42"/>
      <c r="F548" s="42"/>
      <c r="G548" s="42"/>
      <c r="H548" s="42"/>
      <c r="I548" s="42"/>
      <c r="J548" s="42"/>
      <c r="K548" s="42"/>
      <c r="L548" s="42"/>
      <c r="M548" s="42"/>
      <c r="N548" s="42"/>
    </row>
    <row r="549" spans="1:14" x14ac:dyDescent="0.2">
      <c r="A549" s="42"/>
      <c r="B549" s="42"/>
      <c r="C549" s="42"/>
      <c r="D549" s="42"/>
      <c r="E549" s="42"/>
      <c r="F549" s="42"/>
      <c r="G549" s="42"/>
      <c r="H549" s="42"/>
      <c r="I549" s="42"/>
      <c r="J549" s="42"/>
      <c r="K549" s="42"/>
      <c r="L549" s="42"/>
      <c r="M549" s="42"/>
      <c r="N549" s="42"/>
    </row>
    <row r="550" spans="1:14" x14ac:dyDescent="0.2">
      <c r="A550" s="42"/>
      <c r="B550" s="42"/>
      <c r="C550" s="42"/>
      <c r="D550" s="42"/>
      <c r="E550" s="42"/>
      <c r="F550" s="42"/>
      <c r="G550" s="42"/>
      <c r="H550" s="42"/>
      <c r="I550" s="42"/>
      <c r="J550" s="42"/>
      <c r="K550" s="42"/>
      <c r="L550" s="42"/>
      <c r="M550" s="42"/>
      <c r="N550" s="42"/>
    </row>
    <row r="551" spans="1:14" x14ac:dyDescent="0.2">
      <c r="A551" s="42"/>
      <c r="B551" s="42"/>
      <c r="C551" s="42"/>
      <c r="D551" s="42"/>
      <c r="E551" s="42"/>
      <c r="F551" s="42"/>
      <c r="G551" s="42"/>
      <c r="H551" s="42"/>
      <c r="I551" s="42"/>
      <c r="J551" s="42"/>
      <c r="K551" s="42"/>
      <c r="L551" s="42"/>
      <c r="M551" s="42"/>
      <c r="N551" s="42"/>
    </row>
    <row r="552" spans="1:14" x14ac:dyDescent="0.2">
      <c r="A552" s="42"/>
      <c r="B552" s="42"/>
      <c r="C552" s="42"/>
      <c r="D552" s="42"/>
      <c r="E552" s="42"/>
      <c r="F552" s="42"/>
      <c r="G552" s="42"/>
      <c r="H552" s="42"/>
      <c r="I552" s="42"/>
      <c r="J552" s="42"/>
      <c r="K552" s="42"/>
      <c r="L552" s="42"/>
      <c r="M552" s="42"/>
      <c r="N552" s="42"/>
    </row>
    <row r="553" spans="1:14" x14ac:dyDescent="0.2">
      <c r="A553" s="42"/>
      <c r="B553" s="42"/>
      <c r="C553" s="42"/>
      <c r="D553" s="42"/>
      <c r="E553" s="42"/>
      <c r="F553" s="42"/>
      <c r="G553" s="42"/>
      <c r="H553" s="42"/>
      <c r="I553" s="42"/>
      <c r="J553" s="42"/>
      <c r="K553" s="42"/>
      <c r="L553" s="42"/>
      <c r="M553" s="42"/>
      <c r="N553" s="42"/>
    </row>
    <row r="554" spans="1:14" x14ac:dyDescent="0.2">
      <c r="A554" s="42"/>
      <c r="B554" s="42"/>
      <c r="C554" s="42"/>
      <c r="D554" s="42"/>
      <c r="E554" s="42"/>
      <c r="F554" s="42"/>
      <c r="G554" s="42"/>
      <c r="H554" s="42"/>
      <c r="I554" s="42"/>
      <c r="J554" s="42"/>
      <c r="K554" s="42"/>
      <c r="L554" s="42"/>
      <c r="M554" s="42"/>
      <c r="N554" s="42"/>
    </row>
    <row r="555" spans="1:14" x14ac:dyDescent="0.2">
      <c r="A555" s="42"/>
      <c r="B555" s="42"/>
      <c r="C555" s="42"/>
      <c r="D555" s="42"/>
      <c r="E555" s="42"/>
      <c r="F555" s="42"/>
      <c r="G555" s="42"/>
      <c r="H555" s="42"/>
      <c r="I555" s="42"/>
      <c r="J555" s="42"/>
      <c r="K555" s="42"/>
      <c r="L555" s="42"/>
      <c r="M555" s="42"/>
      <c r="N555" s="42"/>
    </row>
    <row r="556" spans="1:14" x14ac:dyDescent="0.2">
      <c r="A556" s="42"/>
      <c r="B556" s="42"/>
      <c r="C556" s="42"/>
      <c r="D556" s="42"/>
      <c r="E556" s="42"/>
      <c r="F556" s="42"/>
      <c r="G556" s="42"/>
      <c r="H556" s="42"/>
      <c r="I556" s="42"/>
      <c r="J556" s="42"/>
      <c r="K556" s="42"/>
      <c r="L556" s="42"/>
      <c r="M556" s="42"/>
      <c r="N556" s="42"/>
    </row>
    <row r="557" spans="1:14" x14ac:dyDescent="0.2">
      <c r="A557" s="42"/>
      <c r="B557" s="42"/>
      <c r="C557" s="42"/>
      <c r="D557" s="42"/>
      <c r="E557" s="42"/>
      <c r="F557" s="42"/>
      <c r="G557" s="42"/>
      <c r="H557" s="42"/>
      <c r="I557" s="42"/>
      <c r="J557" s="42"/>
      <c r="K557" s="42"/>
      <c r="L557" s="42"/>
      <c r="M557" s="42"/>
      <c r="N557" s="42"/>
    </row>
    <row r="558" spans="1:14" x14ac:dyDescent="0.2">
      <c r="A558" s="42"/>
      <c r="B558" s="42"/>
      <c r="C558" s="42"/>
      <c r="D558" s="42"/>
      <c r="E558" s="42"/>
      <c r="F558" s="42"/>
      <c r="G558" s="42"/>
      <c r="H558" s="42"/>
      <c r="I558" s="42"/>
      <c r="J558" s="42"/>
      <c r="K558" s="42"/>
      <c r="L558" s="42"/>
      <c r="M558" s="42"/>
      <c r="N558" s="42"/>
    </row>
    <row r="559" spans="1:14" x14ac:dyDescent="0.2">
      <c r="A559" s="42"/>
      <c r="B559" s="42"/>
      <c r="C559" s="42"/>
      <c r="D559" s="42"/>
      <c r="E559" s="42"/>
      <c r="F559" s="42"/>
      <c r="G559" s="42"/>
      <c r="H559" s="42"/>
      <c r="I559" s="42"/>
      <c r="J559" s="42"/>
      <c r="K559" s="42"/>
      <c r="L559" s="42"/>
      <c r="M559" s="42"/>
      <c r="N559" s="42"/>
    </row>
    <row r="560" spans="1:14" x14ac:dyDescent="0.2">
      <c r="A560" s="42"/>
      <c r="B560" s="42"/>
      <c r="C560" s="42"/>
      <c r="D560" s="42"/>
      <c r="E560" s="42"/>
      <c r="F560" s="42"/>
      <c r="G560" s="42"/>
      <c r="H560" s="42"/>
      <c r="I560" s="42"/>
      <c r="J560" s="42"/>
      <c r="K560" s="42"/>
      <c r="L560" s="42"/>
      <c r="M560" s="42"/>
      <c r="N560" s="42"/>
    </row>
    <row r="561" spans="1:14" x14ac:dyDescent="0.2">
      <c r="A561" s="42"/>
      <c r="B561" s="42"/>
      <c r="C561" s="42"/>
      <c r="D561" s="42"/>
      <c r="E561" s="42"/>
      <c r="F561" s="42"/>
      <c r="G561" s="42"/>
      <c r="H561" s="42"/>
      <c r="I561" s="42"/>
      <c r="J561" s="42"/>
      <c r="K561" s="42"/>
      <c r="L561" s="42"/>
      <c r="M561" s="42"/>
      <c r="N561" s="42"/>
    </row>
    <row r="562" spans="1:14" x14ac:dyDescent="0.2">
      <c r="A562" s="42"/>
      <c r="B562" s="42"/>
      <c r="C562" s="42"/>
      <c r="D562" s="42"/>
      <c r="E562" s="42"/>
      <c r="F562" s="42"/>
      <c r="G562" s="42"/>
      <c r="H562" s="42"/>
      <c r="I562" s="42"/>
      <c r="J562" s="42"/>
      <c r="K562" s="42"/>
      <c r="L562" s="42"/>
      <c r="M562" s="42"/>
      <c r="N562" s="42"/>
    </row>
    <row r="563" spans="1:14" x14ac:dyDescent="0.2">
      <c r="A563" s="42"/>
      <c r="B563" s="42"/>
      <c r="C563" s="42"/>
      <c r="D563" s="42"/>
      <c r="E563" s="42"/>
      <c r="F563" s="42"/>
      <c r="G563" s="42"/>
      <c r="H563" s="42"/>
      <c r="I563" s="42"/>
      <c r="J563" s="42"/>
      <c r="K563" s="42"/>
      <c r="L563" s="42"/>
      <c r="M563" s="42"/>
      <c r="N563" s="42"/>
    </row>
    <row r="564" spans="1:14" x14ac:dyDescent="0.2">
      <c r="A564" s="42"/>
      <c r="B564" s="42"/>
      <c r="C564" s="42"/>
      <c r="D564" s="42"/>
      <c r="E564" s="42"/>
      <c r="F564" s="42"/>
      <c r="G564" s="42"/>
      <c r="H564" s="42"/>
      <c r="I564" s="42"/>
      <c r="J564" s="42"/>
      <c r="K564" s="42"/>
      <c r="L564" s="42"/>
      <c r="M564" s="42"/>
      <c r="N564" s="42"/>
    </row>
    <row r="565" spans="1:14" x14ac:dyDescent="0.2">
      <c r="A565" s="42"/>
      <c r="B565" s="42"/>
      <c r="C565" s="42"/>
      <c r="D565" s="42"/>
      <c r="E565" s="42"/>
      <c r="F565" s="42"/>
      <c r="G565" s="42"/>
      <c r="H565" s="42"/>
      <c r="I565" s="42"/>
      <c r="J565" s="42"/>
      <c r="K565" s="42"/>
      <c r="L565" s="42"/>
      <c r="M565" s="42"/>
      <c r="N565" s="42"/>
    </row>
    <row r="566" spans="1:14" x14ac:dyDescent="0.2">
      <c r="A566" s="42"/>
      <c r="B566" s="42"/>
      <c r="C566" s="42"/>
      <c r="D566" s="42"/>
      <c r="E566" s="42"/>
      <c r="F566" s="42"/>
      <c r="G566" s="42"/>
      <c r="H566" s="42"/>
      <c r="I566" s="42"/>
      <c r="J566" s="42"/>
      <c r="K566" s="42"/>
      <c r="L566" s="42"/>
      <c r="M566" s="42"/>
      <c r="N566" s="42"/>
    </row>
    <row r="567" spans="1:14" x14ac:dyDescent="0.2">
      <c r="A567" s="42"/>
      <c r="B567" s="42"/>
      <c r="C567" s="42"/>
      <c r="D567" s="42"/>
      <c r="E567" s="42"/>
      <c r="F567" s="42"/>
      <c r="G567" s="42"/>
      <c r="H567" s="42"/>
      <c r="I567" s="42"/>
      <c r="J567" s="42"/>
      <c r="K567" s="42"/>
      <c r="L567" s="42"/>
      <c r="M567" s="42"/>
      <c r="N567" s="42"/>
    </row>
    <row r="568" spans="1:14" x14ac:dyDescent="0.2">
      <c r="A568" s="42"/>
      <c r="B568" s="42"/>
      <c r="C568" s="42"/>
      <c r="D568" s="42"/>
      <c r="E568" s="42"/>
      <c r="F568" s="42"/>
      <c r="G568" s="42"/>
      <c r="H568" s="42"/>
      <c r="I568" s="42"/>
      <c r="J568" s="42"/>
      <c r="K568" s="42"/>
      <c r="L568" s="42"/>
      <c r="M568" s="42"/>
      <c r="N568" s="42"/>
    </row>
    <row r="569" spans="1:14" x14ac:dyDescent="0.2">
      <c r="A569" s="42"/>
      <c r="B569" s="42"/>
      <c r="C569" s="42"/>
      <c r="D569" s="42"/>
      <c r="E569" s="42"/>
      <c r="F569" s="42"/>
      <c r="G569" s="42"/>
      <c r="H569" s="42"/>
      <c r="I569" s="42"/>
      <c r="J569" s="42"/>
      <c r="K569" s="42"/>
      <c r="L569" s="42"/>
      <c r="M569" s="42"/>
      <c r="N569" s="42"/>
    </row>
    <row r="570" spans="1:14" x14ac:dyDescent="0.2">
      <c r="A570" s="42"/>
      <c r="B570" s="42"/>
      <c r="C570" s="42"/>
      <c r="D570" s="42"/>
      <c r="E570" s="42"/>
      <c r="F570" s="42"/>
      <c r="G570" s="42"/>
      <c r="H570" s="42"/>
      <c r="I570" s="42"/>
      <c r="J570" s="42"/>
      <c r="K570" s="42"/>
      <c r="L570" s="42"/>
      <c r="M570" s="42"/>
      <c r="N570" s="42"/>
    </row>
    <row r="571" spans="1:14" x14ac:dyDescent="0.2">
      <c r="A571" s="42"/>
      <c r="B571" s="42"/>
      <c r="C571" s="42"/>
      <c r="D571" s="42"/>
      <c r="E571" s="42"/>
      <c r="F571" s="42"/>
      <c r="G571" s="42"/>
      <c r="H571" s="42"/>
      <c r="I571" s="42"/>
      <c r="J571" s="42"/>
      <c r="K571" s="42"/>
      <c r="L571" s="42"/>
      <c r="M571" s="42"/>
      <c r="N571" s="42"/>
    </row>
    <row r="572" spans="1:14" x14ac:dyDescent="0.2">
      <c r="A572" s="42"/>
      <c r="B572" s="42"/>
      <c r="C572" s="42"/>
      <c r="D572" s="42"/>
      <c r="E572" s="42"/>
      <c r="F572" s="42"/>
      <c r="G572" s="42"/>
      <c r="H572" s="42"/>
      <c r="I572" s="42"/>
      <c r="J572" s="42"/>
      <c r="K572" s="42"/>
      <c r="L572" s="42"/>
      <c r="M572" s="42"/>
      <c r="N572" s="42"/>
    </row>
    <row r="573" spans="1:14" x14ac:dyDescent="0.2">
      <c r="A573" s="42"/>
      <c r="B573" s="42"/>
      <c r="C573" s="42"/>
      <c r="D573" s="42"/>
      <c r="E573" s="42"/>
      <c r="F573" s="42"/>
      <c r="G573" s="42"/>
      <c r="H573" s="42"/>
      <c r="I573" s="42"/>
      <c r="J573" s="42"/>
      <c r="K573" s="42"/>
      <c r="L573" s="42"/>
      <c r="M573" s="42"/>
      <c r="N573" s="42"/>
    </row>
    <row r="574" spans="1:14" x14ac:dyDescent="0.2">
      <c r="A574" s="42"/>
      <c r="B574" s="42"/>
      <c r="C574" s="42"/>
      <c r="D574" s="42"/>
      <c r="E574" s="42"/>
      <c r="F574" s="42"/>
      <c r="G574" s="42"/>
      <c r="H574" s="42"/>
      <c r="I574" s="42"/>
      <c r="J574" s="42"/>
      <c r="K574" s="42"/>
      <c r="L574" s="42"/>
      <c r="M574" s="42"/>
      <c r="N574" s="42"/>
    </row>
    <row r="575" spans="1:14" x14ac:dyDescent="0.2">
      <c r="A575" s="42"/>
      <c r="B575" s="42"/>
      <c r="C575" s="42"/>
      <c r="D575" s="42"/>
      <c r="E575" s="42"/>
      <c r="F575" s="42"/>
      <c r="G575" s="42"/>
      <c r="H575" s="42"/>
      <c r="I575" s="42"/>
      <c r="J575" s="42"/>
      <c r="K575" s="42"/>
      <c r="L575" s="42"/>
      <c r="M575" s="42"/>
      <c r="N575" s="42"/>
    </row>
    <row r="576" spans="1:14" x14ac:dyDescent="0.2">
      <c r="A576" s="42"/>
      <c r="B576" s="42"/>
      <c r="C576" s="42"/>
      <c r="D576" s="42"/>
      <c r="E576" s="42"/>
      <c r="F576" s="42"/>
      <c r="G576" s="42"/>
      <c r="H576" s="42"/>
      <c r="I576" s="42"/>
      <c r="J576" s="42"/>
      <c r="K576" s="42"/>
      <c r="L576" s="42"/>
      <c r="M576" s="42"/>
      <c r="N576" s="42"/>
    </row>
    <row r="577" spans="1:14" x14ac:dyDescent="0.2">
      <c r="A577" s="42"/>
      <c r="B577" s="42"/>
      <c r="C577" s="42"/>
      <c r="D577" s="42"/>
      <c r="E577" s="42"/>
      <c r="F577" s="42"/>
      <c r="G577" s="42"/>
      <c r="H577" s="42"/>
      <c r="I577" s="42"/>
      <c r="J577" s="42"/>
      <c r="K577" s="42"/>
      <c r="L577" s="42"/>
      <c r="M577" s="42"/>
      <c r="N577" s="42"/>
    </row>
    <row r="578" spans="1:14" x14ac:dyDescent="0.2">
      <c r="A578" s="42"/>
      <c r="B578" s="42"/>
      <c r="C578" s="42"/>
      <c r="D578" s="42"/>
      <c r="E578" s="42"/>
      <c r="F578" s="42"/>
      <c r="G578" s="42"/>
      <c r="H578" s="42"/>
      <c r="I578" s="42"/>
      <c r="J578" s="42"/>
      <c r="K578" s="42"/>
      <c r="L578" s="42"/>
      <c r="M578" s="42"/>
      <c r="N578" s="42"/>
    </row>
    <row r="579" spans="1:14" x14ac:dyDescent="0.2">
      <c r="A579" s="42"/>
      <c r="B579" s="42"/>
      <c r="C579" s="42"/>
      <c r="D579" s="42"/>
      <c r="E579" s="42"/>
      <c r="F579" s="42"/>
      <c r="G579" s="42"/>
      <c r="H579" s="42"/>
      <c r="I579" s="42"/>
      <c r="J579" s="42"/>
      <c r="K579" s="42"/>
      <c r="L579" s="42"/>
      <c r="M579" s="42"/>
      <c r="N579" s="42"/>
    </row>
    <row r="580" spans="1:14" x14ac:dyDescent="0.2">
      <c r="A580" s="42"/>
      <c r="B580" s="42"/>
      <c r="C580" s="42"/>
      <c r="D580" s="42"/>
      <c r="E580" s="42"/>
      <c r="F580" s="42"/>
      <c r="G580" s="42"/>
      <c r="H580" s="42"/>
      <c r="I580" s="42"/>
      <c r="J580" s="42"/>
      <c r="K580" s="42"/>
      <c r="L580" s="42"/>
      <c r="M580" s="42"/>
      <c r="N580" s="42"/>
    </row>
    <row r="581" spans="1:14" x14ac:dyDescent="0.2">
      <c r="A581" s="42"/>
      <c r="B581" s="42"/>
      <c r="C581" s="42"/>
      <c r="D581" s="42"/>
      <c r="E581" s="42"/>
      <c r="F581" s="42"/>
      <c r="G581" s="42"/>
      <c r="H581" s="42"/>
      <c r="I581" s="42"/>
      <c r="J581" s="42"/>
      <c r="K581" s="42"/>
      <c r="L581" s="42"/>
      <c r="M581" s="42"/>
      <c r="N581" s="42"/>
    </row>
    <row r="582" spans="1:14" x14ac:dyDescent="0.2">
      <c r="A582" s="42"/>
      <c r="B582" s="42"/>
      <c r="C582" s="42"/>
      <c r="D582" s="42"/>
      <c r="E582" s="42"/>
      <c r="F582" s="42"/>
      <c r="G582" s="42"/>
      <c r="H582" s="42"/>
      <c r="I582" s="42"/>
      <c r="J582" s="42"/>
      <c r="K582" s="42"/>
      <c r="L582" s="42"/>
      <c r="M582" s="42"/>
      <c r="N582" s="42"/>
    </row>
    <row r="583" spans="1:14" x14ac:dyDescent="0.2">
      <c r="A583" s="42"/>
      <c r="B583" s="42"/>
      <c r="C583" s="42"/>
      <c r="D583" s="42"/>
      <c r="E583" s="42"/>
      <c r="F583" s="42"/>
      <c r="G583" s="42"/>
      <c r="H583" s="42"/>
      <c r="I583" s="42"/>
      <c r="J583" s="42"/>
      <c r="K583" s="42"/>
      <c r="L583" s="42"/>
      <c r="M583" s="42"/>
      <c r="N583" s="42"/>
    </row>
    <row r="584" spans="1:14" x14ac:dyDescent="0.2">
      <c r="A584" s="42"/>
      <c r="B584" s="42"/>
      <c r="C584" s="42"/>
      <c r="D584" s="42"/>
      <c r="E584" s="42"/>
      <c r="F584" s="42"/>
      <c r="G584" s="42"/>
      <c r="H584" s="42"/>
      <c r="I584" s="42"/>
      <c r="J584" s="42"/>
      <c r="K584" s="42"/>
      <c r="L584" s="42"/>
      <c r="M584" s="42"/>
      <c r="N584" s="42"/>
    </row>
    <row r="585" spans="1:14" x14ac:dyDescent="0.2">
      <c r="A585" s="42"/>
      <c r="B585" s="42"/>
      <c r="C585" s="42"/>
      <c r="D585" s="42"/>
      <c r="E585" s="42"/>
      <c r="F585" s="42"/>
      <c r="G585" s="42"/>
      <c r="H585" s="42"/>
      <c r="I585" s="42"/>
      <c r="J585" s="42"/>
      <c r="K585" s="42"/>
      <c r="L585" s="42"/>
      <c r="M585" s="42"/>
      <c r="N585" s="42"/>
    </row>
    <row r="586" spans="1:14" x14ac:dyDescent="0.2">
      <c r="A586" s="42"/>
      <c r="B586" s="42"/>
      <c r="C586" s="42"/>
      <c r="D586" s="42"/>
      <c r="E586" s="42"/>
      <c r="F586" s="42"/>
      <c r="G586" s="42"/>
      <c r="H586" s="42"/>
      <c r="I586" s="42"/>
      <c r="J586" s="42"/>
      <c r="K586" s="42"/>
      <c r="L586" s="42"/>
      <c r="M586" s="42"/>
      <c r="N586" s="42"/>
    </row>
    <row r="587" spans="1:14" x14ac:dyDescent="0.2">
      <c r="A587" s="42"/>
      <c r="B587" s="42"/>
      <c r="C587" s="42"/>
      <c r="D587" s="42"/>
      <c r="E587" s="42"/>
      <c r="F587" s="42"/>
      <c r="G587" s="42"/>
      <c r="H587" s="42"/>
      <c r="I587" s="42"/>
      <c r="J587" s="42"/>
      <c r="K587" s="42"/>
      <c r="L587" s="42"/>
      <c r="M587" s="42"/>
      <c r="N587" s="42"/>
    </row>
    <row r="588" spans="1:14" x14ac:dyDescent="0.2">
      <c r="A588" s="42"/>
      <c r="B588" s="42"/>
      <c r="C588" s="42"/>
      <c r="D588" s="42"/>
      <c r="E588" s="42"/>
      <c r="F588" s="42"/>
      <c r="G588" s="42"/>
      <c r="H588" s="42"/>
      <c r="I588" s="42"/>
      <c r="J588" s="42"/>
      <c r="K588" s="42"/>
      <c r="L588" s="42"/>
      <c r="M588" s="42"/>
      <c r="N588" s="42"/>
    </row>
    <row r="589" spans="1:14" x14ac:dyDescent="0.2">
      <c r="A589" s="42"/>
      <c r="B589" s="42"/>
      <c r="C589" s="42"/>
      <c r="D589" s="42"/>
      <c r="E589" s="42"/>
      <c r="F589" s="42"/>
      <c r="G589" s="42"/>
      <c r="H589" s="42"/>
      <c r="I589" s="42"/>
      <c r="J589" s="42"/>
      <c r="K589" s="42"/>
      <c r="L589" s="42"/>
      <c r="M589" s="42"/>
      <c r="N589" s="42"/>
    </row>
    <row r="590" spans="1:14" x14ac:dyDescent="0.2">
      <c r="A590" s="42"/>
      <c r="B590" s="42"/>
      <c r="C590" s="42"/>
      <c r="D590" s="42"/>
      <c r="E590" s="42"/>
      <c r="F590" s="42"/>
      <c r="G590" s="42"/>
      <c r="H590" s="42"/>
      <c r="I590" s="42"/>
      <c r="J590" s="42"/>
      <c r="K590" s="42"/>
      <c r="L590" s="42"/>
      <c r="M590" s="42"/>
      <c r="N590" s="42"/>
    </row>
    <row r="591" spans="1:14" x14ac:dyDescent="0.2">
      <c r="A591" s="42"/>
      <c r="B591" s="42"/>
      <c r="C591" s="42"/>
      <c r="D591" s="42"/>
      <c r="E591" s="42"/>
      <c r="F591" s="42"/>
      <c r="G591" s="42"/>
      <c r="H591" s="42"/>
      <c r="I591" s="42"/>
      <c r="J591" s="42"/>
      <c r="K591" s="42"/>
      <c r="L591" s="42"/>
      <c r="M591" s="42"/>
      <c r="N591" s="42"/>
    </row>
    <row r="592" spans="1:14" x14ac:dyDescent="0.2">
      <c r="A592" s="42"/>
      <c r="B592" s="42"/>
      <c r="C592" s="42"/>
      <c r="D592" s="42"/>
      <c r="E592" s="42"/>
      <c r="F592" s="42"/>
      <c r="G592" s="42"/>
      <c r="H592" s="42"/>
      <c r="I592" s="42"/>
      <c r="J592" s="42"/>
      <c r="K592" s="42"/>
      <c r="L592" s="42"/>
      <c r="M592" s="42"/>
      <c r="N592" s="42"/>
    </row>
    <row r="593" spans="1:14" x14ac:dyDescent="0.2">
      <c r="A593" s="42"/>
      <c r="B593" s="42"/>
      <c r="C593" s="42"/>
      <c r="D593" s="42"/>
      <c r="E593" s="42"/>
      <c r="F593" s="42"/>
      <c r="G593" s="42"/>
      <c r="H593" s="42"/>
      <c r="I593" s="42"/>
      <c r="J593" s="42"/>
      <c r="K593" s="42"/>
      <c r="L593" s="42"/>
      <c r="M593" s="42"/>
      <c r="N593" s="42"/>
    </row>
    <row r="594" spans="1:14" x14ac:dyDescent="0.2">
      <c r="A594" s="42"/>
      <c r="B594" s="42"/>
      <c r="C594" s="42"/>
      <c r="D594" s="42"/>
      <c r="E594" s="42"/>
      <c r="F594" s="42"/>
      <c r="G594" s="42"/>
      <c r="H594" s="42"/>
      <c r="I594" s="42"/>
      <c r="J594" s="42"/>
      <c r="K594" s="42"/>
      <c r="L594" s="42"/>
      <c r="M594" s="42"/>
      <c r="N594" s="42"/>
    </row>
    <row r="595" spans="1:14" x14ac:dyDescent="0.2">
      <c r="A595" s="42"/>
      <c r="B595" s="42"/>
      <c r="C595" s="42"/>
      <c r="D595" s="42"/>
      <c r="E595" s="42"/>
      <c r="F595" s="42"/>
      <c r="G595" s="42"/>
      <c r="H595" s="42"/>
      <c r="I595" s="42"/>
      <c r="J595" s="42"/>
      <c r="K595" s="42"/>
      <c r="L595" s="42"/>
      <c r="M595" s="42"/>
      <c r="N595" s="42"/>
    </row>
    <row r="596" spans="1:14" x14ac:dyDescent="0.2">
      <c r="A596" s="42"/>
      <c r="B596" s="42"/>
      <c r="C596" s="42"/>
      <c r="D596" s="42"/>
      <c r="E596" s="42"/>
      <c r="F596" s="42"/>
      <c r="G596" s="42"/>
      <c r="H596" s="42"/>
      <c r="I596" s="42"/>
      <c r="J596" s="42"/>
      <c r="K596" s="42"/>
      <c r="L596" s="42"/>
      <c r="M596" s="42"/>
      <c r="N596" s="42"/>
    </row>
    <row r="597" spans="1:14" x14ac:dyDescent="0.2">
      <c r="A597" s="42"/>
      <c r="B597" s="42"/>
      <c r="C597" s="42"/>
      <c r="D597" s="42"/>
      <c r="E597" s="42"/>
      <c r="F597" s="42"/>
      <c r="G597" s="42"/>
      <c r="H597" s="42"/>
      <c r="I597" s="42"/>
      <c r="J597" s="42"/>
      <c r="K597" s="42"/>
      <c r="L597" s="42"/>
      <c r="M597" s="42"/>
      <c r="N597" s="42"/>
    </row>
    <row r="598" spans="1:14" x14ac:dyDescent="0.2">
      <c r="A598" s="42"/>
      <c r="B598" s="42"/>
      <c r="C598" s="42"/>
      <c r="D598" s="42"/>
      <c r="E598" s="42"/>
      <c r="F598" s="42"/>
      <c r="G598" s="42"/>
      <c r="H598" s="42"/>
      <c r="I598" s="42"/>
      <c r="J598" s="42"/>
      <c r="K598" s="42"/>
      <c r="L598" s="42"/>
      <c r="M598" s="42"/>
      <c r="N598" s="42"/>
    </row>
    <row r="599" spans="1:14" x14ac:dyDescent="0.2">
      <c r="A599" s="42"/>
      <c r="B599" s="42"/>
      <c r="C599" s="42"/>
      <c r="D599" s="42"/>
      <c r="E599" s="42"/>
      <c r="F599" s="42"/>
      <c r="G599" s="42"/>
      <c r="H599" s="42"/>
      <c r="I599" s="42"/>
      <c r="J599" s="42"/>
      <c r="K599" s="42"/>
      <c r="L599" s="42"/>
      <c r="M599" s="42"/>
      <c r="N599" s="42"/>
    </row>
    <row r="600" spans="1:14" x14ac:dyDescent="0.2">
      <c r="A600" s="42"/>
      <c r="B600" s="42"/>
      <c r="C600" s="42"/>
      <c r="D600" s="42"/>
      <c r="E600" s="42"/>
      <c r="F600" s="42"/>
      <c r="G600" s="42"/>
      <c r="H600" s="42"/>
      <c r="I600" s="42"/>
      <c r="J600" s="42"/>
      <c r="K600" s="42"/>
      <c r="L600" s="42"/>
      <c r="M600" s="42"/>
      <c r="N600" s="42"/>
    </row>
    <row r="601" spans="1:14" x14ac:dyDescent="0.2">
      <c r="A601" s="42"/>
      <c r="B601" s="42"/>
      <c r="C601" s="42"/>
      <c r="D601" s="42"/>
      <c r="E601" s="42"/>
      <c r="F601" s="42"/>
      <c r="G601" s="42"/>
      <c r="H601" s="42"/>
      <c r="I601" s="42"/>
      <c r="J601" s="42"/>
      <c r="K601" s="42"/>
      <c r="L601" s="42"/>
      <c r="M601" s="42"/>
      <c r="N601" s="42"/>
    </row>
    <row r="602" spans="1:14" x14ac:dyDescent="0.2">
      <c r="A602" s="42"/>
      <c r="B602" s="42"/>
      <c r="C602" s="42"/>
      <c r="D602" s="42"/>
      <c r="E602" s="42"/>
      <c r="F602" s="42"/>
      <c r="G602" s="42"/>
      <c r="H602" s="42"/>
      <c r="I602" s="42"/>
      <c r="J602" s="42"/>
      <c r="K602" s="42"/>
      <c r="L602" s="42"/>
      <c r="M602" s="42"/>
      <c r="N602" s="42"/>
    </row>
    <row r="603" spans="1:14" x14ac:dyDescent="0.2">
      <c r="A603" s="42"/>
      <c r="B603" s="42"/>
      <c r="C603" s="42"/>
      <c r="D603" s="42"/>
      <c r="E603" s="42"/>
      <c r="F603" s="42"/>
      <c r="G603" s="42"/>
      <c r="H603" s="42"/>
      <c r="I603" s="42"/>
      <c r="J603" s="42"/>
      <c r="K603" s="42"/>
      <c r="L603" s="42"/>
      <c r="M603" s="42"/>
      <c r="N603" s="42"/>
    </row>
    <row r="604" spans="1:14" x14ac:dyDescent="0.2">
      <c r="A604" s="42"/>
      <c r="B604" s="42"/>
      <c r="C604" s="42"/>
      <c r="D604" s="42"/>
      <c r="E604" s="42"/>
      <c r="F604" s="42"/>
      <c r="G604" s="42"/>
      <c r="H604" s="42"/>
      <c r="I604" s="42"/>
      <c r="J604" s="42"/>
      <c r="K604" s="42"/>
      <c r="L604" s="42"/>
      <c r="M604" s="42"/>
      <c r="N604" s="42"/>
    </row>
    <row r="605" spans="1:14" x14ac:dyDescent="0.2">
      <c r="A605" s="42"/>
      <c r="B605" s="42"/>
      <c r="C605" s="42"/>
      <c r="D605" s="42"/>
      <c r="E605" s="42"/>
      <c r="F605" s="42"/>
      <c r="G605" s="42"/>
      <c r="H605" s="42"/>
      <c r="I605" s="42"/>
      <c r="J605" s="42"/>
      <c r="K605" s="42"/>
      <c r="L605" s="42"/>
      <c r="M605" s="42"/>
      <c r="N605" s="42"/>
    </row>
    <row r="606" spans="1:14" x14ac:dyDescent="0.2">
      <c r="A606" s="42"/>
      <c r="B606" s="42"/>
      <c r="C606" s="42"/>
      <c r="D606" s="42"/>
      <c r="E606" s="42"/>
      <c r="F606" s="42"/>
      <c r="G606" s="42"/>
      <c r="H606" s="42"/>
      <c r="I606" s="42"/>
      <c r="J606" s="42"/>
      <c r="K606" s="42"/>
      <c r="L606" s="42"/>
      <c r="M606" s="42"/>
      <c r="N606" s="42"/>
    </row>
    <row r="607" spans="1:14" x14ac:dyDescent="0.2">
      <c r="A607" s="42"/>
      <c r="B607" s="42"/>
      <c r="C607" s="42"/>
      <c r="D607" s="42"/>
      <c r="E607" s="42"/>
      <c r="F607" s="42"/>
      <c r="G607" s="42"/>
      <c r="H607" s="42"/>
      <c r="I607" s="42"/>
      <c r="J607" s="42"/>
      <c r="K607" s="42"/>
      <c r="L607" s="42"/>
      <c r="M607" s="42"/>
      <c r="N607" s="42"/>
    </row>
    <row r="608" spans="1:14" x14ac:dyDescent="0.2">
      <c r="A608" s="42"/>
      <c r="B608" s="42"/>
      <c r="C608" s="42"/>
      <c r="D608" s="42"/>
      <c r="E608" s="42"/>
      <c r="F608" s="42"/>
      <c r="G608" s="42"/>
      <c r="H608" s="42"/>
      <c r="I608" s="42"/>
      <c r="J608" s="42"/>
      <c r="K608" s="42"/>
      <c r="L608" s="42"/>
      <c r="M608" s="42"/>
      <c r="N608" s="42"/>
    </row>
    <row r="609" spans="1:14" x14ac:dyDescent="0.2">
      <c r="A609" s="42"/>
      <c r="B609" s="42"/>
      <c r="C609" s="42"/>
      <c r="D609" s="42"/>
      <c r="E609" s="42"/>
      <c r="F609" s="42"/>
      <c r="G609" s="42"/>
      <c r="H609" s="42"/>
      <c r="I609" s="42"/>
      <c r="J609" s="42"/>
      <c r="K609" s="42"/>
      <c r="L609" s="42"/>
      <c r="M609" s="42"/>
      <c r="N609" s="42"/>
    </row>
    <row r="610" spans="1:14" x14ac:dyDescent="0.2">
      <c r="A610" s="42"/>
      <c r="B610" s="42"/>
      <c r="C610" s="42"/>
      <c r="D610" s="42"/>
      <c r="E610" s="42"/>
      <c r="F610" s="42"/>
      <c r="G610" s="42"/>
      <c r="H610" s="42"/>
      <c r="I610" s="42"/>
      <c r="J610" s="42"/>
      <c r="K610" s="42"/>
      <c r="L610" s="42"/>
      <c r="M610" s="42"/>
      <c r="N610" s="42"/>
    </row>
    <row r="611" spans="1:14" x14ac:dyDescent="0.2">
      <c r="A611" s="42"/>
      <c r="B611" s="42"/>
      <c r="C611" s="42"/>
      <c r="D611" s="42"/>
      <c r="E611" s="42"/>
      <c r="F611" s="42"/>
      <c r="G611" s="42"/>
      <c r="H611" s="42"/>
      <c r="I611" s="42"/>
      <c r="J611" s="42"/>
      <c r="K611" s="42"/>
      <c r="L611" s="42"/>
      <c r="M611" s="42"/>
      <c r="N611" s="42"/>
    </row>
    <row r="612" spans="1:14" x14ac:dyDescent="0.2">
      <c r="A612" s="42"/>
      <c r="B612" s="42"/>
      <c r="C612" s="42"/>
      <c r="D612" s="42"/>
      <c r="E612" s="42"/>
      <c r="F612" s="42"/>
      <c r="G612" s="42"/>
      <c r="H612" s="42"/>
      <c r="I612" s="42"/>
      <c r="J612" s="42"/>
      <c r="K612" s="42"/>
      <c r="L612" s="42"/>
      <c r="M612" s="42"/>
      <c r="N612" s="42"/>
    </row>
    <row r="613" spans="1:14" x14ac:dyDescent="0.2">
      <c r="A613" s="42"/>
      <c r="B613" s="42"/>
      <c r="C613" s="42"/>
      <c r="D613" s="42"/>
      <c r="E613" s="42"/>
      <c r="F613" s="42"/>
      <c r="G613" s="42"/>
      <c r="H613" s="42"/>
      <c r="I613" s="42"/>
      <c r="J613" s="42"/>
      <c r="K613" s="42"/>
      <c r="L613" s="42"/>
      <c r="M613" s="42"/>
      <c r="N613" s="42"/>
    </row>
    <row r="614" spans="1:14" x14ac:dyDescent="0.2">
      <c r="A614" s="42"/>
      <c r="B614" s="42"/>
      <c r="C614" s="42"/>
      <c r="D614" s="42"/>
      <c r="E614" s="42"/>
      <c r="F614" s="42"/>
      <c r="G614" s="42"/>
      <c r="H614" s="42"/>
      <c r="I614" s="42"/>
      <c r="J614" s="42"/>
      <c r="K614" s="42"/>
      <c r="L614" s="42"/>
      <c r="M614" s="42"/>
      <c r="N614" s="42"/>
    </row>
    <row r="615" spans="1:14" x14ac:dyDescent="0.2">
      <c r="A615" s="42"/>
      <c r="B615" s="42"/>
      <c r="C615" s="42"/>
      <c r="D615" s="42"/>
      <c r="E615" s="42"/>
      <c r="F615" s="42"/>
      <c r="G615" s="42"/>
      <c r="H615" s="42"/>
      <c r="I615" s="42"/>
      <c r="J615" s="42"/>
      <c r="K615" s="42"/>
      <c r="L615" s="42"/>
      <c r="M615" s="42"/>
      <c r="N615" s="42"/>
    </row>
    <row r="616" spans="1:14" x14ac:dyDescent="0.2">
      <c r="A616" s="42"/>
      <c r="B616" s="42"/>
      <c r="C616" s="42"/>
      <c r="D616" s="42"/>
      <c r="E616" s="42"/>
      <c r="F616" s="42"/>
      <c r="G616" s="42"/>
      <c r="H616" s="42"/>
      <c r="I616" s="42"/>
      <c r="J616" s="42"/>
      <c r="K616" s="42"/>
      <c r="L616" s="42"/>
      <c r="M616" s="42"/>
      <c r="N616" s="42"/>
    </row>
    <row r="617" spans="1:14" x14ac:dyDescent="0.2">
      <c r="A617" s="42"/>
      <c r="B617" s="42"/>
      <c r="C617" s="42"/>
      <c r="D617" s="42"/>
      <c r="E617" s="42"/>
      <c r="F617" s="42"/>
      <c r="G617" s="42"/>
      <c r="H617" s="42"/>
      <c r="I617" s="42"/>
      <c r="J617" s="42"/>
      <c r="K617" s="42"/>
      <c r="L617" s="42"/>
      <c r="M617" s="42"/>
      <c r="N617" s="42"/>
    </row>
    <row r="618" spans="1:14" x14ac:dyDescent="0.2">
      <c r="A618" s="42"/>
      <c r="B618" s="42"/>
      <c r="C618" s="42"/>
      <c r="D618" s="42"/>
      <c r="E618" s="42"/>
      <c r="F618" s="42"/>
      <c r="G618" s="42"/>
      <c r="H618" s="42"/>
      <c r="I618" s="42"/>
      <c r="J618" s="42"/>
      <c r="K618" s="42"/>
      <c r="L618" s="42"/>
      <c r="M618" s="42"/>
      <c r="N618" s="42"/>
    </row>
    <row r="619" spans="1:14" x14ac:dyDescent="0.2">
      <c r="A619" s="42"/>
      <c r="B619" s="42"/>
      <c r="C619" s="42"/>
      <c r="D619" s="42"/>
      <c r="E619" s="42"/>
      <c r="F619" s="42"/>
      <c r="G619" s="42"/>
      <c r="H619" s="42"/>
      <c r="I619" s="42"/>
      <c r="J619" s="42"/>
      <c r="K619" s="42"/>
      <c r="L619" s="42"/>
      <c r="M619" s="42"/>
      <c r="N619" s="42"/>
    </row>
    <row r="620" spans="1:14" x14ac:dyDescent="0.2">
      <c r="A620" s="42"/>
      <c r="B620" s="42"/>
      <c r="C620" s="42"/>
      <c r="D620" s="42"/>
      <c r="E620" s="42"/>
      <c r="F620" s="42"/>
      <c r="G620" s="42"/>
      <c r="H620" s="42"/>
      <c r="I620" s="42"/>
      <c r="J620" s="42"/>
      <c r="K620" s="42"/>
      <c r="L620" s="42"/>
      <c r="M620" s="42"/>
      <c r="N620" s="42"/>
    </row>
    <row r="621" spans="1:14" x14ac:dyDescent="0.2">
      <c r="A621" s="42"/>
      <c r="B621" s="42"/>
      <c r="C621" s="42"/>
      <c r="D621" s="42"/>
      <c r="E621" s="42"/>
      <c r="F621" s="42"/>
      <c r="G621" s="42"/>
      <c r="H621" s="42"/>
      <c r="I621" s="42"/>
      <c r="J621" s="42"/>
      <c r="K621" s="42"/>
      <c r="L621" s="42"/>
      <c r="M621" s="42"/>
      <c r="N621" s="42"/>
    </row>
    <row r="622" spans="1:14" x14ac:dyDescent="0.2">
      <c r="A622" s="42"/>
      <c r="B622" s="42"/>
      <c r="C622" s="42"/>
      <c r="D622" s="42"/>
      <c r="E622" s="42"/>
      <c r="F622" s="42"/>
      <c r="G622" s="42"/>
      <c r="H622" s="42"/>
      <c r="I622" s="42"/>
      <c r="J622" s="42"/>
      <c r="K622" s="42"/>
      <c r="L622" s="42"/>
      <c r="M622" s="42"/>
      <c r="N622" s="42"/>
    </row>
    <row r="623" spans="1:14" x14ac:dyDescent="0.2">
      <c r="A623" s="42"/>
      <c r="B623" s="42"/>
      <c r="C623" s="42"/>
      <c r="D623" s="42"/>
      <c r="E623" s="42"/>
      <c r="F623" s="42"/>
      <c r="G623" s="42"/>
      <c r="H623" s="42"/>
      <c r="I623" s="42"/>
      <c r="J623" s="42"/>
      <c r="K623" s="42"/>
      <c r="L623" s="42"/>
      <c r="M623" s="42"/>
      <c r="N623" s="42"/>
    </row>
    <row r="624" spans="1:14" x14ac:dyDescent="0.2">
      <c r="A624" s="42"/>
      <c r="B624" s="42"/>
      <c r="C624" s="42"/>
      <c r="D624" s="42"/>
      <c r="E624" s="42"/>
      <c r="F624" s="42"/>
      <c r="G624" s="42"/>
      <c r="H624" s="42"/>
      <c r="I624" s="42"/>
      <c r="J624" s="42"/>
      <c r="K624" s="42"/>
      <c r="L624" s="42"/>
      <c r="M624" s="42"/>
      <c r="N624" s="42"/>
    </row>
    <row r="625" spans="1:14" x14ac:dyDescent="0.2">
      <c r="A625" s="42"/>
      <c r="B625" s="42"/>
      <c r="C625" s="42"/>
      <c r="D625" s="42"/>
      <c r="E625" s="42"/>
      <c r="F625" s="42"/>
      <c r="G625" s="42"/>
      <c r="H625" s="42"/>
      <c r="I625" s="42"/>
      <c r="J625" s="42"/>
      <c r="K625" s="42"/>
      <c r="L625" s="42"/>
      <c r="M625" s="42"/>
      <c r="N625" s="42"/>
    </row>
    <row r="626" spans="1:14" x14ac:dyDescent="0.2">
      <c r="A626" s="42"/>
      <c r="B626" s="42"/>
      <c r="C626" s="42"/>
      <c r="D626" s="42"/>
      <c r="E626" s="42"/>
      <c r="F626" s="42"/>
      <c r="G626" s="42"/>
      <c r="H626" s="42"/>
      <c r="I626" s="42"/>
      <c r="J626" s="42"/>
      <c r="K626" s="42"/>
      <c r="L626" s="42"/>
      <c r="M626" s="42"/>
      <c r="N626" s="42"/>
    </row>
    <row r="627" spans="1:14" x14ac:dyDescent="0.2">
      <c r="A627" s="42"/>
      <c r="B627" s="42"/>
      <c r="C627" s="42"/>
      <c r="D627" s="42"/>
      <c r="E627" s="42"/>
      <c r="F627" s="42"/>
      <c r="G627" s="42"/>
      <c r="H627" s="42"/>
      <c r="I627" s="42"/>
      <c r="J627" s="42"/>
      <c r="K627" s="42"/>
      <c r="L627" s="42"/>
      <c r="M627" s="42"/>
      <c r="N627" s="42"/>
    </row>
    <row r="628" spans="1:14" x14ac:dyDescent="0.2">
      <c r="A628" s="42"/>
      <c r="B628" s="42"/>
      <c r="C628" s="42"/>
      <c r="D628" s="42"/>
      <c r="E628" s="42"/>
      <c r="F628" s="42"/>
      <c r="G628" s="42"/>
      <c r="H628" s="42"/>
      <c r="I628" s="42"/>
      <c r="J628" s="42"/>
      <c r="K628" s="42"/>
      <c r="L628" s="42"/>
      <c r="M628" s="42"/>
      <c r="N628" s="42"/>
    </row>
    <row r="629" spans="1:14" x14ac:dyDescent="0.2">
      <c r="A629" s="42"/>
      <c r="B629" s="42"/>
      <c r="C629" s="42"/>
      <c r="D629" s="42"/>
      <c r="E629" s="42"/>
      <c r="F629" s="42"/>
      <c r="G629" s="42"/>
      <c r="H629" s="42"/>
      <c r="I629" s="42"/>
      <c r="J629" s="42"/>
      <c r="K629" s="42"/>
      <c r="L629" s="42"/>
      <c r="M629" s="42"/>
      <c r="N629" s="42"/>
    </row>
    <row r="630" spans="1:14" x14ac:dyDescent="0.2">
      <c r="A630" s="42"/>
      <c r="B630" s="42"/>
      <c r="C630" s="42"/>
      <c r="D630" s="42"/>
      <c r="E630" s="42"/>
      <c r="F630" s="42"/>
      <c r="G630" s="42"/>
      <c r="H630" s="42"/>
      <c r="I630" s="42"/>
      <c r="J630" s="42"/>
      <c r="K630" s="42"/>
      <c r="L630" s="42"/>
      <c r="M630" s="42"/>
      <c r="N630" s="42"/>
    </row>
    <row r="631" spans="1:14" x14ac:dyDescent="0.2">
      <c r="A631" s="42"/>
      <c r="B631" s="42"/>
      <c r="C631" s="42"/>
      <c r="D631" s="42"/>
      <c r="E631" s="42"/>
      <c r="F631" s="42"/>
      <c r="G631" s="42"/>
      <c r="H631" s="42"/>
      <c r="I631" s="42"/>
      <c r="J631" s="42"/>
      <c r="K631" s="42"/>
      <c r="L631" s="42"/>
      <c r="M631" s="42"/>
      <c r="N631" s="42"/>
    </row>
    <row r="632" spans="1:14" x14ac:dyDescent="0.2">
      <c r="A632" s="42"/>
      <c r="B632" s="42"/>
      <c r="C632" s="42"/>
      <c r="D632" s="42"/>
      <c r="E632" s="42"/>
      <c r="F632" s="42"/>
      <c r="G632" s="42"/>
      <c r="H632" s="42"/>
      <c r="I632" s="42"/>
      <c r="J632" s="42"/>
      <c r="K632" s="42"/>
      <c r="L632" s="42"/>
      <c r="M632" s="42"/>
      <c r="N632" s="42"/>
    </row>
    <row r="633" spans="1:14" x14ac:dyDescent="0.2">
      <c r="A633" s="42"/>
      <c r="B633" s="42"/>
      <c r="C633" s="42"/>
      <c r="D633" s="42"/>
      <c r="E633" s="42"/>
      <c r="F633" s="42"/>
      <c r="G633" s="42"/>
      <c r="H633" s="42"/>
      <c r="I633" s="42"/>
      <c r="J633" s="42"/>
      <c r="K633" s="42"/>
      <c r="L633" s="42"/>
      <c r="M633" s="42"/>
      <c r="N633" s="42"/>
    </row>
    <row r="634" spans="1:14" x14ac:dyDescent="0.2">
      <c r="A634" s="42"/>
      <c r="B634" s="42"/>
      <c r="C634" s="42"/>
      <c r="D634" s="42"/>
      <c r="E634" s="42"/>
      <c r="F634" s="42"/>
      <c r="G634" s="42"/>
      <c r="H634" s="42"/>
      <c r="I634" s="42"/>
      <c r="J634" s="42"/>
      <c r="K634" s="42"/>
      <c r="L634" s="42"/>
      <c r="M634" s="42"/>
      <c r="N634" s="42"/>
    </row>
    <row r="635" spans="1:14" x14ac:dyDescent="0.2">
      <c r="A635" s="42"/>
      <c r="B635" s="42"/>
      <c r="C635" s="42"/>
      <c r="D635" s="42"/>
      <c r="E635" s="42"/>
      <c r="F635" s="42"/>
      <c r="G635" s="42"/>
      <c r="H635" s="42"/>
      <c r="I635" s="42"/>
      <c r="J635" s="42"/>
      <c r="K635" s="42"/>
      <c r="L635" s="42"/>
      <c r="M635" s="42"/>
      <c r="N635" s="42"/>
    </row>
    <row r="636" spans="1:14" x14ac:dyDescent="0.2">
      <c r="A636" s="42"/>
      <c r="B636" s="42"/>
      <c r="C636" s="42"/>
      <c r="D636" s="42"/>
      <c r="E636" s="42"/>
      <c r="F636" s="42"/>
      <c r="G636" s="42"/>
      <c r="H636" s="42"/>
      <c r="I636" s="42"/>
      <c r="J636" s="42"/>
      <c r="K636" s="42"/>
      <c r="L636" s="42"/>
      <c r="M636" s="42"/>
      <c r="N636" s="42"/>
    </row>
    <row r="637" spans="1:14" x14ac:dyDescent="0.2">
      <c r="A637" s="42"/>
      <c r="B637" s="42"/>
      <c r="C637" s="42"/>
      <c r="D637" s="42"/>
      <c r="E637" s="42"/>
      <c r="F637" s="42"/>
      <c r="G637" s="42"/>
      <c r="H637" s="42"/>
      <c r="I637" s="42"/>
      <c r="J637" s="42"/>
      <c r="K637" s="42"/>
      <c r="L637" s="42"/>
      <c r="M637" s="42"/>
      <c r="N637" s="42"/>
    </row>
    <row r="638" spans="1:14" x14ac:dyDescent="0.2">
      <c r="A638" s="42"/>
      <c r="B638" s="42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</row>
    <row r="639" spans="1:14" x14ac:dyDescent="0.2">
      <c r="A639" s="42"/>
      <c r="B639" s="42"/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</row>
    <row r="640" spans="1:14" x14ac:dyDescent="0.2">
      <c r="A640" s="42"/>
      <c r="B640" s="42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</row>
    <row r="641" spans="1:14" x14ac:dyDescent="0.2">
      <c r="A641" s="42"/>
      <c r="B641" s="42"/>
      <c r="C641" s="42"/>
      <c r="D641" s="42"/>
      <c r="E641" s="42"/>
      <c r="F641" s="42"/>
      <c r="G641" s="42"/>
      <c r="H641" s="42"/>
      <c r="I641" s="42"/>
      <c r="J641" s="42"/>
      <c r="K641" s="42"/>
      <c r="L641" s="42"/>
      <c r="M641" s="42"/>
      <c r="N641" s="42"/>
    </row>
    <row r="642" spans="1:14" x14ac:dyDescent="0.2">
      <c r="A642" s="42"/>
      <c r="B642" s="42"/>
      <c r="C642" s="42"/>
      <c r="D642" s="42"/>
      <c r="E642" s="42"/>
      <c r="F642" s="42"/>
      <c r="G642" s="42"/>
      <c r="H642" s="42"/>
      <c r="I642" s="42"/>
      <c r="J642" s="42"/>
      <c r="K642" s="42"/>
      <c r="L642" s="42"/>
      <c r="M642" s="42"/>
      <c r="N642" s="42"/>
    </row>
    <row r="643" spans="1:14" x14ac:dyDescent="0.2">
      <c r="A643" s="42"/>
      <c r="B643" s="42"/>
      <c r="C643" s="42"/>
      <c r="D643" s="42"/>
      <c r="E643" s="42"/>
      <c r="F643" s="42"/>
      <c r="G643" s="42"/>
      <c r="H643" s="42"/>
      <c r="I643" s="42"/>
      <c r="J643" s="42"/>
      <c r="K643" s="42"/>
      <c r="L643" s="42"/>
      <c r="M643" s="42"/>
      <c r="N643" s="42"/>
    </row>
    <row r="644" spans="1:14" x14ac:dyDescent="0.2">
      <c r="A644" s="42"/>
      <c r="B644" s="42"/>
      <c r="C644" s="42"/>
      <c r="D644" s="42"/>
      <c r="E644" s="42"/>
      <c r="F644" s="42"/>
      <c r="G644" s="42"/>
      <c r="H644" s="42"/>
      <c r="I644" s="42"/>
      <c r="J644" s="42"/>
      <c r="K644" s="42"/>
      <c r="L644" s="42"/>
      <c r="M644" s="42"/>
      <c r="N644" s="42"/>
    </row>
    <row r="645" spans="1:14" x14ac:dyDescent="0.2">
      <c r="A645" s="42"/>
      <c r="B645" s="42"/>
      <c r="C645" s="42"/>
      <c r="D645" s="42"/>
      <c r="E645" s="42"/>
      <c r="F645" s="42"/>
      <c r="G645" s="42"/>
      <c r="H645" s="42"/>
      <c r="I645" s="42"/>
      <c r="J645" s="42"/>
      <c r="K645" s="42"/>
      <c r="L645" s="42"/>
      <c r="M645" s="42"/>
      <c r="N645" s="42"/>
    </row>
    <row r="646" spans="1:14" x14ac:dyDescent="0.2">
      <c r="A646" s="42"/>
      <c r="B646" s="42"/>
      <c r="C646" s="42"/>
      <c r="D646" s="42"/>
      <c r="E646" s="42"/>
      <c r="F646" s="42"/>
      <c r="G646" s="42"/>
      <c r="H646" s="42"/>
      <c r="I646" s="42"/>
      <c r="J646" s="42"/>
      <c r="K646" s="42"/>
      <c r="L646" s="42"/>
      <c r="M646" s="42"/>
      <c r="N646" s="42"/>
    </row>
    <row r="647" spans="1:14" x14ac:dyDescent="0.2">
      <c r="A647" s="42"/>
      <c r="B647" s="42"/>
      <c r="C647" s="42"/>
      <c r="D647" s="42"/>
      <c r="E647" s="42"/>
      <c r="F647" s="42"/>
      <c r="G647" s="42"/>
      <c r="H647" s="42"/>
      <c r="I647" s="42"/>
      <c r="J647" s="42"/>
      <c r="K647" s="42"/>
      <c r="L647" s="42"/>
      <c r="M647" s="42"/>
      <c r="N647" s="42"/>
    </row>
    <row r="648" spans="1:14" x14ac:dyDescent="0.2">
      <c r="A648" s="42"/>
      <c r="B648" s="42"/>
      <c r="C648" s="42"/>
      <c r="D648" s="42"/>
      <c r="E648" s="42"/>
      <c r="F648" s="42"/>
      <c r="G648" s="42"/>
      <c r="H648" s="42"/>
      <c r="I648" s="42"/>
      <c r="J648" s="42"/>
      <c r="K648" s="42"/>
      <c r="L648" s="42"/>
      <c r="M648" s="42"/>
      <c r="N648" s="42"/>
    </row>
    <row r="649" spans="1:14" x14ac:dyDescent="0.2">
      <c r="A649" s="42"/>
      <c r="B649" s="42"/>
      <c r="C649" s="42"/>
      <c r="D649" s="42"/>
      <c r="E649" s="42"/>
      <c r="F649" s="42"/>
      <c r="G649" s="42"/>
      <c r="H649" s="42"/>
      <c r="I649" s="42"/>
      <c r="J649" s="42"/>
      <c r="K649" s="42"/>
      <c r="L649" s="42"/>
      <c r="M649" s="42"/>
      <c r="N649" s="42"/>
    </row>
    <row r="650" spans="1:14" x14ac:dyDescent="0.2">
      <c r="A650" s="42"/>
      <c r="B650" s="42"/>
      <c r="C650" s="42"/>
      <c r="D650" s="42"/>
      <c r="E650" s="42"/>
      <c r="F650" s="42"/>
      <c r="G650" s="42"/>
      <c r="H650" s="42"/>
      <c r="I650" s="42"/>
      <c r="J650" s="42"/>
      <c r="K650" s="42"/>
      <c r="L650" s="42"/>
      <c r="M650" s="42"/>
      <c r="N650" s="42"/>
    </row>
    <row r="651" spans="1:14" x14ac:dyDescent="0.2">
      <c r="A651" s="42"/>
      <c r="B651" s="42"/>
      <c r="C651" s="42"/>
      <c r="D651" s="42"/>
      <c r="E651" s="42"/>
      <c r="F651" s="42"/>
      <c r="G651" s="42"/>
      <c r="H651" s="42"/>
      <c r="I651" s="42"/>
      <c r="J651" s="42"/>
      <c r="K651" s="42"/>
      <c r="L651" s="42"/>
      <c r="M651" s="42"/>
      <c r="N651" s="42"/>
    </row>
    <row r="652" spans="1:14" x14ac:dyDescent="0.2">
      <c r="A652" s="42"/>
      <c r="B652" s="42"/>
      <c r="C652" s="42"/>
      <c r="D652" s="42"/>
      <c r="E652" s="42"/>
      <c r="F652" s="42"/>
      <c r="G652" s="42"/>
      <c r="H652" s="42"/>
      <c r="I652" s="42"/>
      <c r="J652" s="42"/>
      <c r="K652" s="42"/>
      <c r="L652" s="42"/>
      <c r="M652" s="42"/>
      <c r="N652" s="42"/>
    </row>
    <row r="653" spans="1:14" x14ac:dyDescent="0.2">
      <c r="A653" s="42"/>
      <c r="B653" s="42"/>
      <c r="C653" s="42"/>
      <c r="D653" s="42"/>
      <c r="E653" s="42"/>
      <c r="F653" s="42"/>
      <c r="G653" s="42"/>
      <c r="H653" s="42"/>
      <c r="I653" s="42"/>
      <c r="J653" s="42"/>
      <c r="K653" s="42"/>
      <c r="L653" s="42"/>
      <c r="M653" s="42"/>
      <c r="N653" s="42"/>
    </row>
    <row r="654" spans="1:14" x14ac:dyDescent="0.2">
      <c r="A654" s="42"/>
      <c r="B654" s="42"/>
      <c r="C654" s="42"/>
      <c r="D654" s="42"/>
      <c r="E654" s="42"/>
      <c r="F654" s="42"/>
      <c r="G654" s="42"/>
      <c r="H654" s="42"/>
      <c r="I654" s="42"/>
      <c r="J654" s="42"/>
      <c r="K654" s="42"/>
      <c r="L654" s="42"/>
      <c r="M654" s="42"/>
      <c r="N654" s="42"/>
    </row>
    <row r="655" spans="1:14" x14ac:dyDescent="0.2">
      <c r="A655" s="42"/>
      <c r="B655" s="42"/>
      <c r="C655" s="42"/>
      <c r="D655" s="42"/>
      <c r="E655" s="42"/>
      <c r="F655" s="42"/>
      <c r="G655" s="42"/>
      <c r="H655" s="42"/>
      <c r="I655" s="42"/>
      <c r="J655" s="42"/>
      <c r="K655" s="42"/>
      <c r="L655" s="42"/>
      <c r="M655" s="42"/>
      <c r="N655" s="42"/>
    </row>
    <row r="656" spans="1:14" x14ac:dyDescent="0.2">
      <c r="A656" s="42"/>
      <c r="B656" s="42"/>
      <c r="C656" s="42"/>
      <c r="D656" s="42"/>
      <c r="E656" s="42"/>
      <c r="F656" s="42"/>
      <c r="G656" s="42"/>
      <c r="H656" s="42"/>
      <c r="I656" s="42"/>
      <c r="J656" s="42"/>
      <c r="K656" s="42"/>
      <c r="L656" s="42"/>
      <c r="M656" s="42"/>
      <c r="N656" s="42"/>
    </row>
    <row r="657" spans="1:14" x14ac:dyDescent="0.2">
      <c r="A657" s="42"/>
      <c r="B657" s="42"/>
      <c r="C657" s="42"/>
      <c r="D657" s="42"/>
      <c r="E657" s="42"/>
      <c r="F657" s="42"/>
      <c r="G657" s="42"/>
      <c r="H657" s="42"/>
      <c r="I657" s="42"/>
      <c r="J657" s="42"/>
      <c r="K657" s="42"/>
      <c r="L657" s="42"/>
      <c r="M657" s="42"/>
      <c r="N657" s="42"/>
    </row>
    <row r="658" spans="1:14" x14ac:dyDescent="0.2">
      <c r="A658" s="42"/>
      <c r="B658" s="42"/>
      <c r="C658" s="42"/>
      <c r="D658" s="42"/>
      <c r="E658" s="42"/>
      <c r="F658" s="42"/>
      <c r="G658" s="42"/>
      <c r="H658" s="42"/>
      <c r="I658" s="42"/>
      <c r="J658" s="42"/>
      <c r="K658" s="42"/>
      <c r="L658" s="42"/>
      <c r="M658" s="42"/>
      <c r="N658" s="42"/>
    </row>
    <row r="659" spans="1:14" x14ac:dyDescent="0.2">
      <c r="A659" s="42"/>
      <c r="B659" s="42"/>
      <c r="C659" s="42"/>
      <c r="D659" s="42"/>
      <c r="E659" s="42"/>
      <c r="F659" s="42"/>
      <c r="G659" s="42"/>
      <c r="H659" s="42"/>
      <c r="I659" s="42"/>
      <c r="J659" s="42"/>
      <c r="K659" s="42"/>
      <c r="L659" s="42"/>
      <c r="M659" s="42"/>
      <c r="N659" s="42"/>
    </row>
    <row r="660" spans="1:14" x14ac:dyDescent="0.2">
      <c r="A660" s="42"/>
      <c r="B660" s="42"/>
      <c r="C660" s="42"/>
      <c r="D660" s="42"/>
      <c r="E660" s="42"/>
      <c r="F660" s="42"/>
      <c r="G660" s="42"/>
      <c r="H660" s="42"/>
      <c r="I660" s="42"/>
      <c r="J660" s="42"/>
      <c r="K660" s="42"/>
      <c r="L660" s="42"/>
      <c r="M660" s="42"/>
      <c r="N660" s="42"/>
    </row>
    <row r="661" spans="1:14" x14ac:dyDescent="0.2">
      <c r="A661" s="42"/>
      <c r="B661" s="42"/>
      <c r="C661" s="42"/>
      <c r="D661" s="42"/>
      <c r="E661" s="42"/>
      <c r="F661" s="42"/>
      <c r="G661" s="42"/>
      <c r="H661" s="42"/>
      <c r="I661" s="42"/>
      <c r="J661" s="42"/>
      <c r="K661" s="42"/>
      <c r="L661" s="42"/>
      <c r="M661" s="42"/>
      <c r="N661" s="42"/>
    </row>
    <row r="662" spans="1:14" x14ac:dyDescent="0.2">
      <c r="A662" s="42"/>
      <c r="B662" s="42"/>
      <c r="C662" s="42"/>
      <c r="D662" s="42"/>
      <c r="E662" s="42"/>
      <c r="F662" s="42"/>
      <c r="G662" s="42"/>
      <c r="H662" s="42"/>
      <c r="I662" s="42"/>
      <c r="J662" s="42"/>
      <c r="K662" s="42"/>
      <c r="L662" s="42"/>
      <c r="M662" s="42"/>
      <c r="N662" s="42"/>
    </row>
    <row r="663" spans="1:14" x14ac:dyDescent="0.2">
      <c r="A663" s="42"/>
      <c r="B663" s="42"/>
      <c r="C663" s="42"/>
      <c r="D663" s="42"/>
      <c r="E663" s="42"/>
      <c r="F663" s="42"/>
      <c r="G663" s="42"/>
      <c r="H663" s="42"/>
      <c r="I663" s="42"/>
      <c r="J663" s="42"/>
      <c r="K663" s="42"/>
      <c r="L663" s="42"/>
      <c r="M663" s="42"/>
      <c r="N663" s="42"/>
    </row>
    <row r="664" spans="1:14" x14ac:dyDescent="0.2">
      <c r="A664" s="42"/>
      <c r="B664" s="42"/>
      <c r="C664" s="42"/>
      <c r="D664" s="42"/>
      <c r="E664" s="42"/>
      <c r="F664" s="42"/>
      <c r="G664" s="42"/>
      <c r="H664" s="42"/>
      <c r="I664" s="42"/>
      <c r="J664" s="42"/>
      <c r="K664" s="42"/>
      <c r="L664" s="42"/>
      <c r="M664" s="42"/>
      <c r="N664" s="42"/>
    </row>
    <row r="665" spans="1:14" x14ac:dyDescent="0.2">
      <c r="A665" s="42"/>
      <c r="B665" s="42"/>
      <c r="C665" s="42"/>
      <c r="D665" s="42"/>
      <c r="E665" s="42"/>
      <c r="F665" s="42"/>
      <c r="G665" s="42"/>
      <c r="H665" s="42"/>
      <c r="I665" s="42"/>
      <c r="J665" s="42"/>
      <c r="K665" s="42"/>
      <c r="L665" s="42"/>
      <c r="M665" s="42"/>
      <c r="N665" s="42"/>
    </row>
    <row r="666" spans="1:14" x14ac:dyDescent="0.2">
      <c r="A666" s="42"/>
      <c r="B666" s="42"/>
      <c r="C666" s="42"/>
      <c r="D666" s="42"/>
      <c r="E666" s="42"/>
      <c r="F666" s="42"/>
      <c r="G666" s="42"/>
      <c r="H666" s="42"/>
      <c r="I666" s="42"/>
      <c r="J666" s="42"/>
      <c r="K666" s="42"/>
      <c r="L666" s="42"/>
      <c r="M666" s="42"/>
      <c r="N666" s="42"/>
    </row>
    <row r="667" spans="1:14" x14ac:dyDescent="0.2">
      <c r="A667" s="42"/>
      <c r="B667" s="42"/>
      <c r="C667" s="42"/>
      <c r="D667" s="42"/>
      <c r="E667" s="42"/>
      <c r="F667" s="42"/>
      <c r="G667" s="42"/>
      <c r="H667" s="42"/>
      <c r="I667" s="42"/>
      <c r="J667" s="42"/>
      <c r="K667" s="42"/>
      <c r="L667" s="42"/>
      <c r="M667" s="42"/>
      <c r="N667" s="42"/>
    </row>
    <row r="668" spans="1:14" x14ac:dyDescent="0.2">
      <c r="A668" s="42"/>
      <c r="B668" s="42"/>
      <c r="C668" s="42"/>
      <c r="D668" s="42"/>
      <c r="E668" s="42"/>
      <c r="F668" s="42"/>
      <c r="G668" s="42"/>
      <c r="H668" s="42"/>
      <c r="I668" s="42"/>
      <c r="J668" s="42"/>
      <c r="K668" s="42"/>
      <c r="L668" s="42"/>
      <c r="M668" s="42"/>
      <c r="N668" s="42"/>
    </row>
    <row r="669" spans="1:14" x14ac:dyDescent="0.2">
      <c r="A669" s="42"/>
      <c r="B669" s="42"/>
      <c r="C669" s="42"/>
      <c r="D669" s="42"/>
      <c r="E669" s="42"/>
      <c r="F669" s="42"/>
      <c r="G669" s="42"/>
      <c r="H669" s="42"/>
      <c r="I669" s="42"/>
      <c r="J669" s="42"/>
      <c r="K669" s="42"/>
      <c r="L669" s="42"/>
      <c r="M669" s="42"/>
      <c r="N669" s="42"/>
    </row>
    <row r="670" spans="1:14" x14ac:dyDescent="0.2">
      <c r="A670" s="42"/>
      <c r="B670" s="42"/>
      <c r="C670" s="42"/>
      <c r="D670" s="42"/>
      <c r="E670" s="42"/>
      <c r="F670" s="42"/>
      <c r="G670" s="42"/>
      <c r="H670" s="42"/>
      <c r="I670" s="42"/>
      <c r="J670" s="42"/>
      <c r="K670" s="42"/>
      <c r="L670" s="42"/>
      <c r="M670" s="42"/>
      <c r="N670" s="42"/>
    </row>
    <row r="671" spans="1:14" x14ac:dyDescent="0.2">
      <c r="A671" s="42"/>
      <c r="B671" s="42"/>
      <c r="C671" s="42"/>
      <c r="D671" s="42"/>
      <c r="E671" s="42"/>
      <c r="F671" s="42"/>
      <c r="G671" s="42"/>
      <c r="H671" s="42"/>
      <c r="I671" s="42"/>
      <c r="J671" s="42"/>
      <c r="K671" s="42"/>
      <c r="L671" s="42"/>
      <c r="M671" s="42"/>
      <c r="N671" s="42"/>
    </row>
    <row r="672" spans="1:14" x14ac:dyDescent="0.2">
      <c r="A672" s="42"/>
      <c r="B672" s="42"/>
      <c r="C672" s="42"/>
      <c r="D672" s="42"/>
      <c r="E672" s="42"/>
      <c r="F672" s="42"/>
      <c r="G672" s="42"/>
      <c r="H672" s="42"/>
      <c r="I672" s="42"/>
      <c r="J672" s="42"/>
      <c r="K672" s="42"/>
      <c r="L672" s="42"/>
      <c r="M672" s="42"/>
      <c r="N672" s="42"/>
    </row>
    <row r="673" spans="1:14" x14ac:dyDescent="0.2">
      <c r="A673" s="42"/>
      <c r="B673" s="42"/>
      <c r="C673" s="42"/>
      <c r="D673" s="42"/>
      <c r="E673" s="42"/>
      <c r="F673" s="42"/>
      <c r="G673" s="42"/>
      <c r="H673" s="42"/>
      <c r="I673" s="42"/>
      <c r="J673" s="42"/>
      <c r="K673" s="42"/>
      <c r="L673" s="42"/>
      <c r="M673" s="42"/>
      <c r="N673" s="42"/>
    </row>
    <row r="674" spans="1:14" x14ac:dyDescent="0.2">
      <c r="A674" s="42"/>
      <c r="B674" s="42"/>
      <c r="C674" s="42"/>
      <c r="D674" s="42"/>
      <c r="E674" s="42"/>
      <c r="F674" s="42"/>
      <c r="G674" s="42"/>
      <c r="H674" s="42"/>
      <c r="I674" s="42"/>
      <c r="J674" s="42"/>
      <c r="K674" s="42"/>
      <c r="L674" s="42"/>
      <c r="M674" s="42"/>
      <c r="N674" s="42"/>
    </row>
    <row r="675" spans="1:14" x14ac:dyDescent="0.2">
      <c r="A675" s="42"/>
      <c r="B675" s="42"/>
      <c r="C675" s="42"/>
      <c r="D675" s="42"/>
      <c r="E675" s="42"/>
      <c r="F675" s="42"/>
      <c r="G675" s="42"/>
      <c r="H675" s="42"/>
      <c r="I675" s="42"/>
      <c r="J675" s="42"/>
      <c r="K675" s="42"/>
      <c r="L675" s="42"/>
      <c r="M675" s="42"/>
      <c r="N675" s="42"/>
    </row>
    <row r="676" spans="1:14" x14ac:dyDescent="0.2">
      <c r="A676" s="42"/>
      <c r="B676" s="42"/>
      <c r="C676" s="42"/>
      <c r="D676" s="42"/>
      <c r="E676" s="42"/>
      <c r="F676" s="42"/>
      <c r="G676" s="42"/>
      <c r="H676" s="42"/>
      <c r="I676" s="42"/>
      <c r="J676" s="42"/>
      <c r="K676" s="42"/>
      <c r="L676" s="42"/>
      <c r="M676" s="42"/>
      <c r="N676" s="42"/>
    </row>
    <row r="677" spans="1:14" x14ac:dyDescent="0.2">
      <c r="A677" s="42"/>
      <c r="B677" s="42"/>
      <c r="C677" s="42"/>
      <c r="D677" s="42"/>
      <c r="E677" s="42"/>
      <c r="F677" s="42"/>
      <c r="G677" s="42"/>
      <c r="H677" s="42"/>
      <c r="I677" s="42"/>
      <c r="J677" s="42"/>
      <c r="K677" s="42"/>
      <c r="L677" s="42"/>
      <c r="M677" s="42"/>
      <c r="N677" s="42"/>
    </row>
    <row r="678" spans="1:14" x14ac:dyDescent="0.2">
      <c r="A678" s="42"/>
      <c r="B678" s="42"/>
      <c r="C678" s="42"/>
      <c r="D678" s="42"/>
      <c r="E678" s="42"/>
      <c r="F678" s="42"/>
      <c r="G678" s="42"/>
      <c r="H678" s="42"/>
      <c r="I678" s="42"/>
      <c r="J678" s="42"/>
      <c r="K678" s="42"/>
      <c r="L678" s="42"/>
      <c r="M678" s="42"/>
      <c r="N678" s="42"/>
    </row>
    <row r="679" spans="1:14" x14ac:dyDescent="0.2">
      <c r="A679" s="42"/>
      <c r="B679" s="42"/>
      <c r="C679" s="42"/>
      <c r="D679" s="42"/>
      <c r="E679" s="42"/>
      <c r="F679" s="42"/>
      <c r="G679" s="42"/>
      <c r="H679" s="42"/>
      <c r="I679" s="42"/>
      <c r="J679" s="42"/>
      <c r="K679" s="42"/>
      <c r="L679" s="42"/>
      <c r="M679" s="42"/>
      <c r="N679" s="42"/>
    </row>
    <row r="680" spans="1:14" x14ac:dyDescent="0.2">
      <c r="A680" s="42"/>
      <c r="B680" s="42"/>
      <c r="C680" s="42"/>
      <c r="D680" s="42"/>
      <c r="E680" s="42"/>
      <c r="F680" s="42"/>
      <c r="G680" s="42"/>
      <c r="H680" s="42"/>
      <c r="I680" s="42"/>
      <c r="J680" s="42"/>
      <c r="K680" s="42"/>
      <c r="L680" s="42"/>
      <c r="M680" s="42"/>
      <c r="N680" s="42"/>
    </row>
    <row r="681" spans="1:14" x14ac:dyDescent="0.2">
      <c r="A681" s="42"/>
      <c r="B681" s="42"/>
      <c r="C681" s="42"/>
      <c r="D681" s="42"/>
      <c r="E681" s="42"/>
      <c r="F681" s="42"/>
      <c r="G681" s="42"/>
      <c r="H681" s="42"/>
      <c r="I681" s="42"/>
      <c r="J681" s="42"/>
      <c r="K681" s="42"/>
      <c r="L681" s="42"/>
      <c r="M681" s="42"/>
      <c r="N681" s="42"/>
    </row>
    <row r="682" spans="1:14" x14ac:dyDescent="0.2">
      <c r="A682" s="42"/>
      <c r="B682" s="42"/>
      <c r="C682" s="42"/>
      <c r="D682" s="42"/>
      <c r="E682" s="42"/>
      <c r="F682" s="42"/>
      <c r="G682" s="42"/>
      <c r="H682" s="42"/>
      <c r="I682" s="42"/>
      <c r="J682" s="42"/>
      <c r="K682" s="42"/>
      <c r="L682" s="42"/>
      <c r="M682" s="42"/>
      <c r="N682" s="42"/>
    </row>
    <row r="683" spans="1:14" x14ac:dyDescent="0.2">
      <c r="A683" s="42"/>
      <c r="B683" s="42"/>
      <c r="C683" s="42"/>
      <c r="D683" s="42"/>
      <c r="E683" s="42"/>
      <c r="F683" s="42"/>
      <c r="G683" s="42"/>
      <c r="H683" s="42"/>
      <c r="I683" s="42"/>
      <c r="J683" s="42"/>
      <c r="K683" s="42"/>
      <c r="L683" s="42"/>
      <c r="M683" s="42"/>
      <c r="N683" s="42"/>
    </row>
    <row r="684" spans="1:14" x14ac:dyDescent="0.2">
      <c r="A684" s="42"/>
      <c r="B684" s="42"/>
      <c r="C684" s="42"/>
      <c r="D684" s="42"/>
      <c r="E684" s="42"/>
      <c r="F684" s="42"/>
      <c r="G684" s="42"/>
      <c r="H684" s="42"/>
      <c r="I684" s="42"/>
      <c r="J684" s="42"/>
      <c r="K684" s="42"/>
      <c r="L684" s="42"/>
      <c r="M684" s="42"/>
      <c r="N684" s="42"/>
    </row>
    <row r="685" spans="1:14" x14ac:dyDescent="0.2">
      <c r="A685" s="42"/>
      <c r="B685" s="42"/>
      <c r="C685" s="42"/>
      <c r="D685" s="42"/>
      <c r="E685" s="42"/>
      <c r="F685" s="42"/>
      <c r="G685" s="42"/>
      <c r="H685" s="42"/>
      <c r="I685" s="42"/>
      <c r="J685" s="42"/>
      <c r="K685" s="42"/>
      <c r="L685" s="42"/>
      <c r="M685" s="42"/>
      <c r="N685" s="42"/>
    </row>
    <row r="686" spans="1:14" x14ac:dyDescent="0.2">
      <c r="A686" s="42"/>
      <c r="B686" s="42"/>
      <c r="C686" s="42"/>
      <c r="D686" s="42"/>
      <c r="E686" s="42"/>
      <c r="F686" s="42"/>
      <c r="G686" s="42"/>
      <c r="H686" s="42"/>
      <c r="I686" s="42"/>
      <c r="J686" s="42"/>
      <c r="K686" s="42"/>
      <c r="L686" s="42"/>
      <c r="M686" s="42"/>
      <c r="N686" s="42"/>
    </row>
    <row r="687" spans="1:14" x14ac:dyDescent="0.2">
      <c r="A687" s="42"/>
      <c r="B687" s="42"/>
      <c r="C687" s="42"/>
      <c r="D687" s="42"/>
      <c r="E687" s="42"/>
      <c r="F687" s="42"/>
      <c r="G687" s="42"/>
      <c r="H687" s="42"/>
      <c r="I687" s="42"/>
      <c r="J687" s="42"/>
      <c r="K687" s="42"/>
      <c r="L687" s="42"/>
      <c r="M687" s="42"/>
      <c r="N687" s="42"/>
    </row>
    <row r="688" spans="1:14" x14ac:dyDescent="0.2">
      <c r="A688" s="42"/>
      <c r="B688" s="42"/>
      <c r="C688" s="42"/>
      <c r="D688" s="42"/>
      <c r="E688" s="42"/>
      <c r="F688" s="42"/>
      <c r="G688" s="42"/>
      <c r="H688" s="42"/>
      <c r="I688" s="42"/>
      <c r="J688" s="42"/>
      <c r="K688" s="42"/>
      <c r="L688" s="42"/>
      <c r="M688" s="42"/>
      <c r="N688" s="42"/>
    </row>
    <row r="689" spans="1:14" x14ac:dyDescent="0.2">
      <c r="A689" s="42"/>
      <c r="B689" s="42"/>
      <c r="C689" s="42"/>
      <c r="D689" s="42"/>
      <c r="E689" s="42"/>
      <c r="F689" s="42"/>
      <c r="G689" s="42"/>
      <c r="H689" s="42"/>
      <c r="I689" s="42"/>
      <c r="J689" s="42"/>
      <c r="K689" s="42"/>
      <c r="L689" s="42"/>
      <c r="M689" s="42"/>
      <c r="N689" s="42"/>
    </row>
    <row r="690" spans="1:14" x14ac:dyDescent="0.2">
      <c r="A690" s="42"/>
      <c r="B690" s="42"/>
      <c r="C690" s="42"/>
      <c r="D690" s="42"/>
      <c r="E690" s="42"/>
      <c r="F690" s="42"/>
      <c r="G690" s="42"/>
      <c r="H690" s="42"/>
      <c r="I690" s="42"/>
      <c r="J690" s="42"/>
      <c r="K690" s="42"/>
      <c r="L690" s="42"/>
      <c r="M690" s="42"/>
      <c r="N690" s="42"/>
    </row>
    <row r="691" spans="1:14" x14ac:dyDescent="0.2">
      <c r="A691" s="42"/>
      <c r="B691" s="42"/>
      <c r="C691" s="42"/>
      <c r="D691" s="42"/>
      <c r="E691" s="42"/>
      <c r="F691" s="42"/>
      <c r="G691" s="42"/>
      <c r="H691" s="42"/>
      <c r="I691" s="42"/>
      <c r="J691" s="42"/>
      <c r="K691" s="42"/>
      <c r="L691" s="42"/>
      <c r="M691" s="42"/>
      <c r="N691" s="42"/>
    </row>
    <row r="692" spans="1:14" x14ac:dyDescent="0.2">
      <c r="A692" s="42"/>
      <c r="B692" s="42"/>
      <c r="C692" s="42"/>
      <c r="D692" s="42"/>
      <c r="E692" s="42"/>
      <c r="F692" s="42"/>
      <c r="G692" s="42"/>
      <c r="H692" s="42"/>
      <c r="I692" s="42"/>
      <c r="J692" s="42"/>
      <c r="K692" s="42"/>
      <c r="L692" s="42"/>
      <c r="M692" s="42"/>
      <c r="N692" s="42"/>
    </row>
    <row r="693" spans="1:14" x14ac:dyDescent="0.2">
      <c r="A693" s="42"/>
      <c r="B693" s="42"/>
      <c r="C693" s="42"/>
      <c r="D693" s="42"/>
      <c r="E693" s="42"/>
      <c r="F693" s="42"/>
      <c r="G693" s="42"/>
      <c r="H693" s="42"/>
      <c r="I693" s="42"/>
      <c r="J693" s="42"/>
      <c r="K693" s="42"/>
      <c r="L693" s="42"/>
      <c r="M693" s="42"/>
      <c r="N693" s="42"/>
    </row>
    <row r="694" spans="1:14" x14ac:dyDescent="0.2">
      <c r="A694" s="42"/>
      <c r="B694" s="42"/>
      <c r="C694" s="42"/>
      <c r="D694" s="42"/>
      <c r="E694" s="42"/>
      <c r="F694" s="42"/>
      <c r="G694" s="42"/>
      <c r="H694" s="42"/>
      <c r="I694" s="42"/>
      <c r="J694" s="42"/>
      <c r="K694" s="42"/>
      <c r="L694" s="42"/>
      <c r="M694" s="42"/>
      <c r="N694" s="42"/>
    </row>
    <row r="695" spans="1:14" x14ac:dyDescent="0.2">
      <c r="A695" s="42"/>
      <c r="B695" s="42"/>
      <c r="C695" s="42"/>
      <c r="D695" s="42"/>
      <c r="E695" s="42"/>
      <c r="F695" s="42"/>
      <c r="G695" s="42"/>
      <c r="H695" s="42"/>
      <c r="I695" s="42"/>
      <c r="J695" s="42"/>
      <c r="K695" s="42"/>
      <c r="L695" s="42"/>
      <c r="M695" s="42"/>
      <c r="N695" s="42"/>
    </row>
    <row r="696" spans="1:14" x14ac:dyDescent="0.2">
      <c r="A696" s="42"/>
      <c r="B696" s="42"/>
      <c r="C696" s="42"/>
      <c r="D696" s="42"/>
      <c r="E696" s="42"/>
      <c r="F696" s="42"/>
      <c r="G696" s="42"/>
      <c r="H696" s="42"/>
      <c r="I696" s="42"/>
      <c r="J696" s="42"/>
      <c r="K696" s="42"/>
      <c r="L696" s="42"/>
      <c r="M696" s="42"/>
      <c r="N696" s="42"/>
    </row>
    <row r="697" spans="1:14" x14ac:dyDescent="0.2">
      <c r="A697" s="42"/>
      <c r="B697" s="42"/>
      <c r="C697" s="42"/>
      <c r="D697" s="42"/>
      <c r="E697" s="42"/>
      <c r="F697" s="42"/>
      <c r="G697" s="42"/>
      <c r="H697" s="42"/>
      <c r="I697" s="42"/>
      <c r="J697" s="42"/>
      <c r="K697" s="42"/>
      <c r="L697" s="42"/>
      <c r="M697" s="42"/>
      <c r="N697" s="42"/>
    </row>
    <row r="698" spans="1:14" x14ac:dyDescent="0.2">
      <c r="A698" s="42"/>
      <c r="B698" s="42"/>
      <c r="C698" s="42"/>
      <c r="D698" s="42"/>
      <c r="E698" s="42"/>
      <c r="F698" s="42"/>
      <c r="G698" s="42"/>
      <c r="H698" s="42"/>
      <c r="I698" s="42"/>
      <c r="J698" s="42"/>
      <c r="K698" s="42"/>
      <c r="L698" s="42"/>
      <c r="M698" s="42"/>
      <c r="N698" s="42"/>
    </row>
    <row r="699" spans="1:14" x14ac:dyDescent="0.2">
      <c r="A699" s="42"/>
      <c r="B699" s="42"/>
      <c r="C699" s="42"/>
      <c r="D699" s="42"/>
      <c r="E699" s="42"/>
      <c r="F699" s="42"/>
      <c r="G699" s="42"/>
      <c r="H699" s="42"/>
      <c r="I699" s="42"/>
      <c r="J699" s="42"/>
      <c r="K699" s="42"/>
      <c r="L699" s="42"/>
      <c r="M699" s="42"/>
      <c r="N699" s="42"/>
    </row>
    <row r="700" spans="1:14" x14ac:dyDescent="0.2">
      <c r="A700" s="42"/>
      <c r="B700" s="42"/>
      <c r="C700" s="42"/>
      <c r="D700" s="42"/>
      <c r="E700" s="42"/>
      <c r="F700" s="42"/>
      <c r="G700" s="42"/>
      <c r="H700" s="42"/>
      <c r="I700" s="42"/>
      <c r="J700" s="42"/>
      <c r="K700" s="42"/>
      <c r="L700" s="42"/>
      <c r="M700" s="42"/>
      <c r="N700" s="42"/>
    </row>
    <row r="701" spans="1:14" x14ac:dyDescent="0.2">
      <c r="A701" s="42"/>
      <c r="B701" s="42"/>
      <c r="C701" s="42"/>
      <c r="D701" s="42"/>
      <c r="E701" s="42"/>
      <c r="F701" s="42"/>
      <c r="G701" s="42"/>
      <c r="H701" s="42"/>
      <c r="I701" s="42"/>
      <c r="J701" s="42"/>
      <c r="K701" s="42"/>
      <c r="L701" s="42"/>
      <c r="M701" s="42"/>
      <c r="N701" s="42"/>
    </row>
    <row r="702" spans="1:14" x14ac:dyDescent="0.2">
      <c r="A702" s="42"/>
      <c r="B702" s="42"/>
      <c r="C702" s="42"/>
      <c r="D702" s="42"/>
      <c r="E702" s="42"/>
      <c r="F702" s="42"/>
      <c r="G702" s="42"/>
      <c r="H702" s="42"/>
      <c r="I702" s="42"/>
      <c r="J702" s="42"/>
      <c r="K702" s="42"/>
      <c r="L702" s="42"/>
      <c r="M702" s="42"/>
      <c r="N702" s="42"/>
    </row>
    <row r="703" spans="1:14" x14ac:dyDescent="0.2">
      <c r="A703" s="42"/>
      <c r="B703" s="42"/>
      <c r="C703" s="42"/>
      <c r="D703" s="42"/>
      <c r="E703" s="42"/>
      <c r="F703" s="42"/>
      <c r="G703" s="42"/>
      <c r="H703" s="42"/>
      <c r="I703" s="42"/>
      <c r="J703" s="42"/>
      <c r="K703" s="42"/>
      <c r="L703" s="42"/>
      <c r="M703" s="42"/>
      <c r="N703" s="42"/>
    </row>
    <row r="704" spans="1:14" x14ac:dyDescent="0.2">
      <c r="A704" s="42"/>
      <c r="B704" s="42"/>
      <c r="C704" s="42"/>
      <c r="D704" s="42"/>
      <c r="E704" s="42"/>
      <c r="F704" s="42"/>
      <c r="G704" s="42"/>
      <c r="H704" s="42"/>
      <c r="I704" s="42"/>
      <c r="J704" s="42"/>
      <c r="K704" s="42"/>
      <c r="L704" s="42"/>
      <c r="M704" s="42"/>
      <c r="N704" s="42"/>
    </row>
    <row r="705" spans="1:14" x14ac:dyDescent="0.2">
      <c r="A705" s="42"/>
      <c r="B705" s="42"/>
      <c r="C705" s="42"/>
      <c r="D705" s="42"/>
      <c r="E705" s="42"/>
      <c r="F705" s="42"/>
      <c r="G705" s="42"/>
      <c r="H705" s="42"/>
      <c r="I705" s="42"/>
      <c r="J705" s="42"/>
      <c r="K705" s="42"/>
      <c r="L705" s="42"/>
      <c r="M705" s="42"/>
      <c r="N705" s="42"/>
    </row>
    <row r="706" spans="1:14" x14ac:dyDescent="0.2">
      <c r="A706" s="42"/>
      <c r="B706" s="42"/>
      <c r="C706" s="42"/>
      <c r="D706" s="42"/>
      <c r="E706" s="42"/>
      <c r="F706" s="42"/>
      <c r="G706" s="42"/>
      <c r="H706" s="42"/>
      <c r="I706" s="42"/>
      <c r="J706" s="42"/>
      <c r="K706" s="42"/>
      <c r="L706" s="42"/>
      <c r="M706" s="42"/>
      <c r="N706" s="42"/>
    </row>
    <row r="707" spans="1:14" x14ac:dyDescent="0.2">
      <c r="A707" s="42"/>
      <c r="B707" s="42"/>
      <c r="C707" s="42"/>
      <c r="D707" s="42"/>
      <c r="E707" s="42"/>
      <c r="F707" s="42"/>
      <c r="G707" s="42"/>
      <c r="H707" s="42"/>
      <c r="I707" s="42"/>
      <c r="J707" s="42"/>
      <c r="K707" s="42"/>
      <c r="L707" s="42"/>
      <c r="M707" s="42"/>
      <c r="N707" s="42"/>
    </row>
    <row r="708" spans="1:14" x14ac:dyDescent="0.2">
      <c r="A708" s="42"/>
      <c r="B708" s="42"/>
      <c r="C708" s="42"/>
      <c r="D708" s="42"/>
      <c r="E708" s="42"/>
      <c r="F708" s="42"/>
      <c r="G708" s="42"/>
      <c r="H708" s="42"/>
      <c r="I708" s="42"/>
      <c r="J708" s="42"/>
      <c r="K708" s="42"/>
      <c r="L708" s="42"/>
      <c r="M708" s="42"/>
      <c r="N708" s="42"/>
    </row>
    <row r="709" spans="1:14" x14ac:dyDescent="0.2">
      <c r="A709" s="42"/>
      <c r="B709" s="42"/>
      <c r="C709" s="42"/>
      <c r="D709" s="42"/>
      <c r="E709" s="42"/>
      <c r="F709" s="42"/>
      <c r="G709" s="42"/>
      <c r="H709" s="42"/>
      <c r="I709" s="42"/>
      <c r="J709" s="42"/>
      <c r="K709" s="42"/>
      <c r="L709" s="42"/>
      <c r="M709" s="42"/>
      <c r="N709" s="42"/>
    </row>
    <row r="710" spans="1:14" x14ac:dyDescent="0.2">
      <c r="A710" s="42"/>
      <c r="B710" s="42"/>
      <c r="C710" s="42"/>
      <c r="D710" s="42"/>
      <c r="E710" s="42"/>
      <c r="F710" s="42"/>
      <c r="G710" s="42"/>
      <c r="H710" s="42"/>
      <c r="I710" s="42"/>
      <c r="J710" s="42"/>
      <c r="K710" s="42"/>
      <c r="L710" s="42"/>
      <c r="M710" s="42"/>
      <c r="N710" s="42"/>
    </row>
    <row r="711" spans="1:14" x14ac:dyDescent="0.2">
      <c r="A711" s="42"/>
      <c r="B711" s="42"/>
      <c r="C711" s="42"/>
      <c r="D711" s="42"/>
      <c r="E711" s="42"/>
      <c r="F711" s="42"/>
      <c r="G711" s="42"/>
      <c r="H711" s="42"/>
      <c r="I711" s="42"/>
      <c r="J711" s="42"/>
      <c r="K711" s="42"/>
      <c r="L711" s="42"/>
      <c r="M711" s="42"/>
      <c r="N711" s="42"/>
    </row>
    <row r="712" spans="1:14" x14ac:dyDescent="0.2">
      <c r="A712" s="42"/>
      <c r="B712" s="42"/>
      <c r="C712" s="42"/>
      <c r="D712" s="42"/>
      <c r="E712" s="42"/>
      <c r="F712" s="42"/>
      <c r="G712" s="42"/>
      <c r="H712" s="42"/>
      <c r="I712" s="42"/>
      <c r="J712" s="42"/>
      <c r="K712" s="42"/>
      <c r="L712" s="42"/>
      <c r="M712" s="42"/>
      <c r="N712" s="42"/>
    </row>
    <row r="713" spans="1:14" x14ac:dyDescent="0.2">
      <c r="A713" s="42"/>
      <c r="B713" s="42"/>
      <c r="C713" s="42"/>
      <c r="D713" s="42"/>
      <c r="E713" s="42"/>
      <c r="F713" s="42"/>
      <c r="G713" s="42"/>
      <c r="H713" s="42"/>
      <c r="I713" s="42"/>
      <c r="J713" s="42"/>
      <c r="K713" s="42"/>
      <c r="L713" s="42"/>
      <c r="M713" s="42"/>
      <c r="N713" s="42"/>
    </row>
    <row r="714" spans="1:14" x14ac:dyDescent="0.2">
      <c r="A714" s="42"/>
      <c r="B714" s="42"/>
      <c r="C714" s="42"/>
      <c r="D714" s="42"/>
      <c r="E714" s="42"/>
      <c r="F714" s="42"/>
      <c r="G714" s="42"/>
      <c r="H714" s="42"/>
      <c r="I714" s="42"/>
      <c r="J714" s="42"/>
      <c r="K714" s="42"/>
      <c r="L714" s="42"/>
      <c r="M714" s="42"/>
      <c r="N714" s="42"/>
    </row>
    <row r="715" spans="1:14" x14ac:dyDescent="0.2">
      <c r="A715" s="42"/>
      <c r="B715" s="42"/>
      <c r="C715" s="42"/>
      <c r="D715" s="42"/>
      <c r="E715" s="42"/>
      <c r="F715" s="42"/>
      <c r="G715" s="42"/>
      <c r="H715" s="42"/>
      <c r="I715" s="42"/>
      <c r="J715" s="42"/>
      <c r="K715" s="42"/>
      <c r="L715" s="42"/>
      <c r="M715" s="42"/>
      <c r="N715" s="42"/>
    </row>
    <row r="716" spans="1:14" x14ac:dyDescent="0.2">
      <c r="A716" s="42"/>
      <c r="B716" s="42"/>
      <c r="C716" s="42"/>
      <c r="D716" s="42"/>
      <c r="E716" s="42"/>
      <c r="F716" s="42"/>
      <c r="G716" s="42"/>
      <c r="H716" s="42"/>
      <c r="I716" s="42"/>
      <c r="J716" s="42"/>
      <c r="K716" s="42"/>
      <c r="L716" s="42"/>
      <c r="M716" s="42"/>
      <c r="N716" s="42"/>
    </row>
    <row r="717" spans="1:14" x14ac:dyDescent="0.2">
      <c r="A717" s="42"/>
      <c r="B717" s="42"/>
      <c r="C717" s="42"/>
      <c r="D717" s="42"/>
      <c r="E717" s="42"/>
      <c r="F717" s="42"/>
      <c r="G717" s="42"/>
      <c r="H717" s="42"/>
      <c r="I717" s="42"/>
      <c r="J717" s="42"/>
      <c r="K717" s="42"/>
      <c r="L717" s="42"/>
      <c r="M717" s="42"/>
      <c r="N717" s="42"/>
    </row>
    <row r="718" spans="1:14" x14ac:dyDescent="0.2">
      <c r="A718" s="42"/>
      <c r="B718" s="42"/>
      <c r="C718" s="42"/>
      <c r="D718" s="42"/>
      <c r="E718" s="42"/>
      <c r="F718" s="42"/>
      <c r="G718" s="42"/>
      <c r="H718" s="42"/>
      <c r="I718" s="42"/>
      <c r="J718" s="42"/>
      <c r="K718" s="42"/>
      <c r="L718" s="42"/>
      <c r="M718" s="42"/>
      <c r="N718" s="42"/>
    </row>
    <row r="719" spans="1:14" x14ac:dyDescent="0.2">
      <c r="A719" s="42"/>
      <c r="B719" s="42"/>
      <c r="C719" s="42"/>
      <c r="D719" s="42"/>
      <c r="E719" s="42"/>
      <c r="F719" s="42"/>
      <c r="G719" s="42"/>
      <c r="H719" s="42"/>
      <c r="I719" s="42"/>
      <c r="J719" s="42"/>
      <c r="K719" s="42"/>
      <c r="L719" s="42"/>
      <c r="M719" s="42"/>
      <c r="N719" s="42"/>
    </row>
    <row r="720" spans="1:14" x14ac:dyDescent="0.2">
      <c r="A720" s="42"/>
      <c r="B720" s="42"/>
      <c r="C720" s="42"/>
      <c r="D720" s="42"/>
      <c r="E720" s="42"/>
      <c r="F720" s="42"/>
      <c r="G720" s="42"/>
      <c r="H720" s="42"/>
      <c r="I720" s="42"/>
      <c r="J720" s="42"/>
      <c r="K720" s="42"/>
      <c r="L720" s="42"/>
      <c r="M720" s="42"/>
      <c r="N720" s="42"/>
    </row>
    <row r="721" spans="1:14" x14ac:dyDescent="0.2">
      <c r="A721" s="42"/>
      <c r="B721" s="42"/>
      <c r="C721" s="42"/>
      <c r="D721" s="42"/>
      <c r="E721" s="42"/>
      <c r="F721" s="42"/>
      <c r="G721" s="42"/>
      <c r="H721" s="42"/>
      <c r="I721" s="42"/>
      <c r="J721" s="42"/>
      <c r="K721" s="42"/>
      <c r="L721" s="42"/>
      <c r="M721" s="42"/>
      <c r="N721" s="42"/>
    </row>
    <row r="722" spans="1:14" x14ac:dyDescent="0.2">
      <c r="A722" s="42"/>
      <c r="B722" s="42"/>
      <c r="C722" s="42"/>
      <c r="D722" s="42"/>
      <c r="E722" s="42"/>
      <c r="F722" s="42"/>
      <c r="G722" s="42"/>
      <c r="H722" s="42"/>
      <c r="I722" s="42"/>
      <c r="J722" s="42"/>
      <c r="K722" s="42"/>
      <c r="L722" s="42"/>
      <c r="M722" s="42"/>
      <c r="N722" s="42"/>
    </row>
    <row r="723" spans="1:14" x14ac:dyDescent="0.2">
      <c r="A723" s="42"/>
      <c r="B723" s="42"/>
      <c r="C723" s="42"/>
      <c r="D723" s="42"/>
      <c r="E723" s="42"/>
      <c r="F723" s="42"/>
      <c r="G723" s="42"/>
      <c r="H723" s="42"/>
      <c r="I723" s="42"/>
      <c r="J723" s="42"/>
      <c r="K723" s="42"/>
      <c r="L723" s="42"/>
      <c r="M723" s="42"/>
      <c r="N723" s="42"/>
    </row>
    <row r="724" spans="1:14" x14ac:dyDescent="0.2">
      <c r="A724" s="42"/>
      <c r="B724" s="42"/>
      <c r="C724" s="42"/>
      <c r="D724" s="42"/>
      <c r="E724" s="42"/>
      <c r="F724" s="42"/>
      <c r="G724" s="42"/>
      <c r="H724" s="42"/>
      <c r="I724" s="42"/>
      <c r="J724" s="42"/>
      <c r="K724" s="42"/>
      <c r="L724" s="42"/>
      <c r="M724" s="42"/>
      <c r="N724" s="42"/>
    </row>
    <row r="725" spans="1:14" x14ac:dyDescent="0.2">
      <c r="A725" s="42"/>
      <c r="B725" s="42"/>
      <c r="C725" s="42"/>
      <c r="D725" s="42"/>
      <c r="E725" s="42"/>
      <c r="F725" s="42"/>
      <c r="G725" s="42"/>
      <c r="H725" s="42"/>
      <c r="I725" s="42"/>
      <c r="J725" s="42"/>
      <c r="K725" s="42"/>
      <c r="L725" s="42"/>
      <c r="M725" s="42"/>
      <c r="N725" s="42"/>
    </row>
    <row r="726" spans="1:14" x14ac:dyDescent="0.2">
      <c r="A726" s="42"/>
      <c r="B726" s="42"/>
      <c r="C726" s="42"/>
      <c r="D726" s="42"/>
      <c r="E726" s="42"/>
      <c r="F726" s="42"/>
      <c r="G726" s="42"/>
      <c r="H726" s="42"/>
      <c r="I726" s="42"/>
      <c r="J726" s="42"/>
      <c r="K726" s="42"/>
      <c r="L726" s="42"/>
      <c r="M726" s="42"/>
      <c r="N726" s="42"/>
    </row>
    <row r="727" spans="1:14" x14ac:dyDescent="0.2">
      <c r="A727" s="42"/>
      <c r="B727" s="42"/>
      <c r="C727" s="42"/>
      <c r="D727" s="42"/>
      <c r="E727" s="42"/>
      <c r="F727" s="42"/>
      <c r="G727" s="42"/>
      <c r="H727" s="42"/>
      <c r="I727" s="42"/>
      <c r="J727" s="42"/>
      <c r="K727" s="42"/>
      <c r="L727" s="42"/>
      <c r="M727" s="42"/>
      <c r="N727" s="42"/>
    </row>
    <row r="728" spans="1:14" x14ac:dyDescent="0.2">
      <c r="A728" s="42"/>
      <c r="B728" s="42"/>
      <c r="C728" s="42"/>
      <c r="D728" s="42"/>
      <c r="E728" s="42"/>
      <c r="F728" s="42"/>
      <c r="G728" s="42"/>
      <c r="H728" s="42"/>
      <c r="I728" s="42"/>
      <c r="J728" s="42"/>
      <c r="K728" s="42"/>
      <c r="L728" s="42"/>
      <c r="M728" s="42"/>
      <c r="N728" s="42"/>
    </row>
    <row r="729" spans="1:14" x14ac:dyDescent="0.2">
      <c r="A729" s="42"/>
      <c r="B729" s="42"/>
      <c r="C729" s="42"/>
      <c r="D729" s="42"/>
      <c r="E729" s="42"/>
      <c r="F729" s="42"/>
      <c r="G729" s="42"/>
      <c r="H729" s="42"/>
      <c r="I729" s="42"/>
      <c r="J729" s="42"/>
      <c r="K729" s="42"/>
      <c r="L729" s="42"/>
      <c r="M729" s="42"/>
      <c r="N729" s="42"/>
    </row>
    <row r="730" spans="1:14" x14ac:dyDescent="0.2">
      <c r="A730" s="42"/>
      <c r="B730" s="42"/>
      <c r="C730" s="42"/>
      <c r="D730" s="42"/>
      <c r="E730" s="42"/>
      <c r="F730" s="42"/>
      <c r="G730" s="42"/>
      <c r="H730" s="42"/>
      <c r="I730" s="42"/>
      <c r="J730" s="42"/>
      <c r="K730" s="42"/>
      <c r="L730" s="42"/>
      <c r="M730" s="42"/>
      <c r="N730" s="42"/>
    </row>
    <row r="731" spans="1:14" x14ac:dyDescent="0.2">
      <c r="A731" s="42"/>
      <c r="B731" s="42"/>
      <c r="C731" s="42"/>
      <c r="D731" s="42"/>
      <c r="E731" s="42"/>
      <c r="F731" s="42"/>
      <c r="G731" s="42"/>
      <c r="H731" s="42"/>
      <c r="I731" s="42"/>
      <c r="J731" s="42"/>
      <c r="K731" s="42"/>
      <c r="L731" s="42"/>
      <c r="M731" s="42"/>
      <c r="N731" s="42"/>
    </row>
    <row r="732" spans="1:14" x14ac:dyDescent="0.2">
      <c r="A732" s="42"/>
      <c r="B732" s="42"/>
      <c r="C732" s="42"/>
      <c r="D732" s="42"/>
      <c r="E732" s="42"/>
      <c r="F732" s="42"/>
      <c r="G732" s="42"/>
      <c r="H732" s="42"/>
      <c r="I732" s="42"/>
      <c r="J732" s="42"/>
      <c r="K732" s="42"/>
      <c r="L732" s="42"/>
      <c r="M732" s="42"/>
      <c r="N732" s="42"/>
    </row>
    <row r="733" spans="1:14" x14ac:dyDescent="0.2">
      <c r="A733" s="42"/>
      <c r="B733" s="42"/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</row>
    <row r="734" spans="1:14" x14ac:dyDescent="0.2">
      <c r="A734" s="42"/>
      <c r="B734" s="42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</row>
    <row r="735" spans="1:14" x14ac:dyDescent="0.2">
      <c r="A735" s="42"/>
      <c r="B735" s="42"/>
      <c r="C735" s="42"/>
      <c r="D735" s="42"/>
      <c r="E735" s="42"/>
      <c r="F735" s="42"/>
      <c r="G735" s="42"/>
      <c r="H735" s="42"/>
      <c r="I735" s="42"/>
      <c r="J735" s="42"/>
      <c r="K735" s="42"/>
      <c r="L735" s="42"/>
      <c r="M735" s="42"/>
      <c r="N735" s="42"/>
    </row>
    <row r="736" spans="1:14" x14ac:dyDescent="0.2">
      <c r="A736" s="42"/>
      <c r="B736" s="42"/>
      <c r="C736" s="42"/>
      <c r="D736" s="42"/>
      <c r="E736" s="42"/>
      <c r="F736" s="42"/>
      <c r="G736" s="42"/>
      <c r="H736" s="42"/>
      <c r="I736" s="42"/>
      <c r="J736" s="42"/>
      <c r="K736" s="42"/>
      <c r="L736" s="42"/>
      <c r="M736" s="42"/>
      <c r="N736" s="42"/>
    </row>
    <row r="737" spans="1:14" x14ac:dyDescent="0.2">
      <c r="A737" s="42"/>
      <c r="B737" s="42"/>
      <c r="C737" s="42"/>
      <c r="D737" s="42"/>
      <c r="E737" s="42"/>
      <c r="F737" s="42"/>
      <c r="G737" s="42"/>
      <c r="H737" s="42"/>
      <c r="I737" s="42"/>
      <c r="J737" s="42"/>
      <c r="K737" s="42"/>
      <c r="L737" s="42"/>
      <c r="M737" s="42"/>
      <c r="N737" s="42"/>
    </row>
    <row r="738" spans="1:14" x14ac:dyDescent="0.2">
      <c r="A738" s="42"/>
      <c r="B738" s="42"/>
      <c r="C738" s="42"/>
      <c r="D738" s="42"/>
      <c r="E738" s="42"/>
      <c r="F738" s="42"/>
      <c r="G738" s="42"/>
      <c r="H738" s="42"/>
      <c r="I738" s="42"/>
      <c r="J738" s="42"/>
      <c r="K738" s="42"/>
      <c r="L738" s="42"/>
      <c r="M738" s="42"/>
      <c r="N738" s="42"/>
    </row>
    <row r="739" spans="1:14" x14ac:dyDescent="0.2">
      <c r="A739" s="42"/>
      <c r="B739" s="42"/>
      <c r="C739" s="42"/>
      <c r="D739" s="42"/>
      <c r="E739" s="42"/>
      <c r="F739" s="42"/>
      <c r="G739" s="42"/>
      <c r="H739" s="42"/>
      <c r="I739" s="42"/>
      <c r="J739" s="42"/>
      <c r="K739" s="42"/>
      <c r="L739" s="42"/>
      <c r="M739" s="42"/>
      <c r="N739" s="42"/>
    </row>
    <row r="740" spans="1:14" x14ac:dyDescent="0.2">
      <c r="A740" s="42"/>
      <c r="B740" s="42"/>
      <c r="C740" s="42"/>
      <c r="D740" s="42"/>
      <c r="E740" s="42"/>
      <c r="F740" s="42"/>
      <c r="G740" s="42"/>
      <c r="H740" s="42"/>
      <c r="I740" s="42"/>
      <c r="J740" s="42"/>
      <c r="K740" s="42"/>
      <c r="L740" s="42"/>
      <c r="M740" s="42"/>
      <c r="N740" s="42"/>
    </row>
    <row r="741" spans="1:14" x14ac:dyDescent="0.2">
      <c r="A741" s="42"/>
      <c r="B741" s="42"/>
      <c r="C741" s="42"/>
      <c r="D741" s="42"/>
      <c r="E741" s="42"/>
      <c r="F741" s="42"/>
      <c r="G741" s="42"/>
      <c r="H741" s="42"/>
      <c r="I741" s="42"/>
      <c r="J741" s="42"/>
      <c r="K741" s="42"/>
      <c r="L741" s="42"/>
      <c r="M741" s="42"/>
      <c r="N741" s="42"/>
    </row>
    <row r="742" spans="1:14" x14ac:dyDescent="0.2">
      <c r="A742" s="42"/>
      <c r="B742" s="42"/>
      <c r="C742" s="42"/>
      <c r="D742" s="42"/>
      <c r="E742" s="42"/>
      <c r="F742" s="42"/>
      <c r="G742" s="42"/>
      <c r="H742" s="42"/>
      <c r="I742" s="42"/>
      <c r="J742" s="42"/>
      <c r="K742" s="42"/>
      <c r="L742" s="42"/>
      <c r="M742" s="42"/>
      <c r="N742" s="42"/>
    </row>
    <row r="743" spans="1:14" x14ac:dyDescent="0.2">
      <c r="A743" s="42"/>
      <c r="B743" s="42"/>
      <c r="C743" s="42"/>
      <c r="D743" s="42"/>
      <c r="E743" s="42"/>
      <c r="F743" s="42"/>
      <c r="G743" s="42"/>
      <c r="H743" s="42"/>
      <c r="I743" s="42"/>
      <c r="J743" s="42"/>
      <c r="K743" s="42"/>
      <c r="L743" s="42"/>
      <c r="M743" s="42"/>
      <c r="N743" s="42"/>
    </row>
    <row r="744" spans="1:14" x14ac:dyDescent="0.2">
      <c r="A744" s="42"/>
      <c r="B744" s="42"/>
      <c r="C744" s="42"/>
      <c r="D744" s="42"/>
      <c r="E744" s="42"/>
      <c r="F744" s="42"/>
      <c r="G744" s="42"/>
      <c r="H744" s="42"/>
      <c r="I744" s="42"/>
      <c r="J744" s="42"/>
      <c r="K744" s="42"/>
      <c r="L744" s="42"/>
      <c r="M744" s="42"/>
      <c r="N744" s="42"/>
    </row>
    <row r="745" spans="1:14" x14ac:dyDescent="0.2">
      <c r="A745" s="42"/>
      <c r="B745" s="42"/>
      <c r="C745" s="42"/>
      <c r="D745" s="42"/>
      <c r="E745" s="42"/>
      <c r="F745" s="42"/>
      <c r="G745" s="42"/>
      <c r="H745" s="42"/>
      <c r="I745" s="42"/>
      <c r="J745" s="42"/>
      <c r="K745" s="42"/>
      <c r="L745" s="42"/>
      <c r="M745" s="42"/>
      <c r="N745" s="42"/>
    </row>
    <row r="746" spans="1:14" x14ac:dyDescent="0.2">
      <c r="A746" s="42"/>
      <c r="B746" s="42"/>
      <c r="C746" s="42"/>
      <c r="D746" s="42"/>
      <c r="E746" s="42"/>
      <c r="F746" s="42"/>
      <c r="G746" s="42"/>
      <c r="H746" s="42"/>
      <c r="I746" s="42"/>
      <c r="J746" s="42"/>
      <c r="K746" s="42"/>
      <c r="L746" s="42"/>
      <c r="M746" s="42"/>
      <c r="N746" s="42"/>
    </row>
    <row r="747" spans="1:14" x14ac:dyDescent="0.2">
      <c r="A747" s="42"/>
      <c r="B747" s="42"/>
      <c r="C747" s="42"/>
      <c r="D747" s="42"/>
      <c r="E747" s="42"/>
      <c r="F747" s="42"/>
      <c r="G747" s="42"/>
      <c r="H747" s="42"/>
      <c r="I747" s="42"/>
      <c r="J747" s="42"/>
      <c r="K747" s="42"/>
      <c r="L747" s="42"/>
      <c r="M747" s="42"/>
      <c r="N747" s="42"/>
    </row>
    <row r="748" spans="1:14" x14ac:dyDescent="0.2">
      <c r="A748" s="42"/>
      <c r="B748" s="42"/>
      <c r="C748" s="42"/>
      <c r="D748" s="42"/>
      <c r="E748" s="42"/>
      <c r="F748" s="42"/>
      <c r="G748" s="42"/>
      <c r="H748" s="42"/>
      <c r="I748" s="42"/>
      <c r="J748" s="42"/>
      <c r="K748" s="42"/>
      <c r="L748" s="42"/>
      <c r="M748" s="42"/>
      <c r="N748" s="42"/>
    </row>
    <row r="749" spans="1:14" x14ac:dyDescent="0.2">
      <c r="A749" s="42"/>
      <c r="B749" s="42"/>
      <c r="C749" s="42"/>
      <c r="D749" s="42"/>
      <c r="E749" s="42"/>
      <c r="F749" s="42"/>
      <c r="G749" s="42"/>
      <c r="H749" s="42"/>
      <c r="I749" s="42"/>
      <c r="J749" s="42"/>
      <c r="K749" s="42"/>
      <c r="L749" s="42"/>
      <c r="M749" s="42"/>
      <c r="N749" s="42"/>
    </row>
    <row r="750" spans="1:14" x14ac:dyDescent="0.2">
      <c r="A750" s="42"/>
      <c r="B750" s="42"/>
      <c r="C750" s="42"/>
      <c r="D750" s="42"/>
      <c r="E750" s="42"/>
      <c r="F750" s="42"/>
      <c r="G750" s="42"/>
      <c r="H750" s="42"/>
      <c r="I750" s="42"/>
      <c r="J750" s="42"/>
      <c r="K750" s="42"/>
      <c r="L750" s="42"/>
      <c r="M750" s="42"/>
      <c r="N750" s="42"/>
    </row>
    <row r="751" spans="1:14" x14ac:dyDescent="0.2">
      <c r="A751" s="42"/>
      <c r="B751" s="42"/>
      <c r="C751" s="42"/>
      <c r="D751" s="42"/>
      <c r="E751" s="42"/>
      <c r="F751" s="42"/>
      <c r="G751" s="42"/>
      <c r="H751" s="42"/>
      <c r="I751" s="42"/>
      <c r="J751" s="42"/>
      <c r="K751" s="42"/>
      <c r="L751" s="42"/>
      <c r="M751" s="42"/>
      <c r="N751" s="42"/>
    </row>
    <row r="752" spans="1:14" x14ac:dyDescent="0.2">
      <c r="A752" s="42"/>
      <c r="B752" s="42"/>
      <c r="C752" s="42"/>
      <c r="D752" s="42"/>
      <c r="E752" s="42"/>
      <c r="F752" s="42"/>
      <c r="G752" s="42"/>
      <c r="H752" s="42"/>
      <c r="I752" s="42"/>
      <c r="J752" s="42"/>
      <c r="K752" s="42"/>
      <c r="L752" s="42"/>
      <c r="M752" s="42"/>
      <c r="N752" s="42"/>
    </row>
    <row r="753" spans="1:14" x14ac:dyDescent="0.2">
      <c r="A753" s="42"/>
      <c r="B753" s="42"/>
      <c r="C753" s="42"/>
      <c r="D753" s="42"/>
      <c r="E753" s="42"/>
      <c r="F753" s="42"/>
      <c r="G753" s="42"/>
      <c r="H753" s="42"/>
      <c r="I753" s="42"/>
      <c r="J753" s="42"/>
      <c r="K753" s="42"/>
      <c r="L753" s="42"/>
      <c r="M753" s="42"/>
      <c r="N753" s="42"/>
    </row>
    <row r="754" spans="1:14" x14ac:dyDescent="0.2">
      <c r="A754" s="42"/>
      <c r="B754" s="42"/>
      <c r="C754" s="42"/>
      <c r="D754" s="42"/>
      <c r="E754" s="42"/>
      <c r="F754" s="42"/>
      <c r="G754" s="42"/>
      <c r="H754" s="42"/>
      <c r="I754" s="42"/>
      <c r="J754" s="42"/>
      <c r="K754" s="42"/>
      <c r="L754" s="42"/>
      <c r="M754" s="42"/>
      <c r="N754" s="42"/>
    </row>
    <row r="755" spans="1:14" x14ac:dyDescent="0.2">
      <c r="A755" s="42"/>
      <c r="B755" s="42"/>
      <c r="C755" s="42"/>
      <c r="D755" s="42"/>
      <c r="E755" s="42"/>
      <c r="F755" s="42"/>
      <c r="G755" s="42"/>
      <c r="H755" s="42"/>
      <c r="I755" s="42"/>
      <c r="J755" s="42"/>
      <c r="K755" s="42"/>
      <c r="L755" s="42"/>
      <c r="M755" s="42"/>
      <c r="N755" s="42"/>
    </row>
    <row r="756" spans="1:14" x14ac:dyDescent="0.2">
      <c r="A756" s="42"/>
      <c r="B756" s="42"/>
      <c r="C756" s="42"/>
      <c r="D756" s="42"/>
      <c r="E756" s="42"/>
      <c r="F756" s="42"/>
      <c r="G756" s="42"/>
      <c r="H756" s="42"/>
      <c r="I756" s="42"/>
      <c r="J756" s="42"/>
      <c r="K756" s="42"/>
      <c r="L756" s="42"/>
      <c r="M756" s="42"/>
      <c r="N756" s="42"/>
    </row>
    <row r="757" spans="1:14" x14ac:dyDescent="0.2">
      <c r="A757" s="42"/>
      <c r="B757" s="42"/>
      <c r="C757" s="42"/>
      <c r="D757" s="42"/>
      <c r="E757" s="42"/>
      <c r="F757" s="42"/>
      <c r="G757" s="42"/>
      <c r="H757" s="42"/>
      <c r="I757" s="42"/>
      <c r="J757" s="42"/>
      <c r="K757" s="42"/>
      <c r="L757" s="42"/>
      <c r="M757" s="42"/>
      <c r="N757" s="42"/>
    </row>
    <row r="758" spans="1:14" x14ac:dyDescent="0.2">
      <c r="A758" s="42"/>
      <c r="B758" s="42"/>
      <c r="C758" s="42"/>
      <c r="D758" s="42"/>
      <c r="E758" s="42"/>
      <c r="F758" s="42"/>
      <c r="G758" s="42"/>
      <c r="H758" s="42"/>
      <c r="I758" s="42"/>
      <c r="J758" s="42"/>
      <c r="K758" s="42"/>
      <c r="L758" s="42"/>
      <c r="M758" s="42"/>
      <c r="N758" s="42"/>
    </row>
    <row r="759" spans="1:14" x14ac:dyDescent="0.2">
      <c r="A759" s="42"/>
      <c r="B759" s="42"/>
      <c r="C759" s="42"/>
      <c r="D759" s="42"/>
      <c r="E759" s="42"/>
      <c r="F759" s="42"/>
      <c r="G759" s="42"/>
      <c r="H759" s="42"/>
      <c r="I759" s="42"/>
      <c r="J759" s="42"/>
      <c r="K759" s="42"/>
      <c r="L759" s="42"/>
      <c r="M759" s="42"/>
      <c r="N759" s="42"/>
    </row>
    <row r="760" spans="1:14" x14ac:dyDescent="0.2">
      <c r="A760" s="42"/>
      <c r="B760" s="42"/>
      <c r="C760" s="42"/>
      <c r="D760" s="42"/>
      <c r="E760" s="42"/>
      <c r="F760" s="42"/>
      <c r="G760" s="42"/>
      <c r="H760" s="42"/>
      <c r="I760" s="42"/>
      <c r="J760" s="42"/>
      <c r="K760" s="42"/>
      <c r="L760" s="42"/>
      <c r="M760" s="42"/>
      <c r="N760" s="42"/>
    </row>
    <row r="761" spans="1:14" x14ac:dyDescent="0.2">
      <c r="A761" s="42"/>
      <c r="B761" s="42"/>
      <c r="C761" s="42"/>
      <c r="D761" s="42"/>
      <c r="E761" s="42"/>
      <c r="F761" s="42"/>
      <c r="G761" s="42"/>
      <c r="H761" s="42"/>
      <c r="I761" s="42"/>
      <c r="J761" s="42"/>
      <c r="K761" s="42"/>
      <c r="L761" s="42"/>
      <c r="M761" s="42"/>
      <c r="N761" s="42"/>
    </row>
    <row r="762" spans="1:14" x14ac:dyDescent="0.2">
      <c r="A762" s="42"/>
      <c r="B762" s="42"/>
      <c r="C762" s="42"/>
      <c r="D762" s="42"/>
      <c r="E762" s="42"/>
      <c r="F762" s="42"/>
      <c r="G762" s="42"/>
      <c r="H762" s="42"/>
      <c r="I762" s="42"/>
      <c r="J762" s="42"/>
      <c r="K762" s="42"/>
      <c r="L762" s="42"/>
      <c r="M762" s="42"/>
      <c r="N762" s="42"/>
    </row>
    <row r="763" spans="1:14" x14ac:dyDescent="0.2">
      <c r="A763" s="42"/>
      <c r="B763" s="42"/>
      <c r="C763" s="42"/>
      <c r="D763" s="42"/>
      <c r="E763" s="42"/>
      <c r="F763" s="42"/>
      <c r="G763" s="42"/>
      <c r="H763" s="42"/>
      <c r="I763" s="42"/>
      <c r="J763" s="42"/>
      <c r="K763" s="42"/>
      <c r="L763" s="42"/>
      <c r="M763" s="42"/>
      <c r="N763" s="42"/>
    </row>
    <row r="764" spans="1:14" x14ac:dyDescent="0.2">
      <c r="A764" s="42"/>
      <c r="B764" s="42"/>
      <c r="C764" s="42"/>
      <c r="D764" s="42"/>
      <c r="E764" s="42"/>
      <c r="F764" s="42"/>
      <c r="G764" s="42"/>
      <c r="H764" s="42"/>
      <c r="I764" s="42"/>
      <c r="J764" s="42"/>
      <c r="K764" s="42"/>
      <c r="L764" s="42"/>
      <c r="M764" s="42"/>
      <c r="N764" s="42"/>
    </row>
    <row r="765" spans="1:14" x14ac:dyDescent="0.2">
      <c r="A765" s="42"/>
      <c r="B765" s="42"/>
      <c r="C765" s="42"/>
      <c r="D765" s="42"/>
      <c r="E765" s="42"/>
      <c r="F765" s="42"/>
      <c r="G765" s="42"/>
      <c r="H765" s="42"/>
      <c r="I765" s="42"/>
      <c r="J765" s="42"/>
      <c r="K765" s="42"/>
      <c r="L765" s="42"/>
      <c r="M765" s="42"/>
      <c r="N765" s="42"/>
    </row>
    <row r="766" spans="1:14" x14ac:dyDescent="0.2">
      <c r="A766" s="42"/>
      <c r="B766" s="42"/>
      <c r="C766" s="42"/>
      <c r="D766" s="42"/>
      <c r="E766" s="42"/>
      <c r="F766" s="42"/>
      <c r="G766" s="42"/>
      <c r="H766" s="42"/>
      <c r="I766" s="42"/>
      <c r="J766" s="42"/>
      <c r="K766" s="42"/>
      <c r="L766" s="42"/>
      <c r="M766" s="42"/>
      <c r="N766" s="42"/>
    </row>
    <row r="767" spans="1:14" x14ac:dyDescent="0.2">
      <c r="A767" s="42"/>
      <c r="B767" s="42"/>
      <c r="C767" s="42"/>
      <c r="D767" s="42"/>
      <c r="E767" s="42"/>
      <c r="F767" s="42"/>
      <c r="G767" s="42"/>
      <c r="H767" s="42"/>
      <c r="I767" s="42"/>
      <c r="J767" s="42"/>
      <c r="K767" s="42"/>
      <c r="L767" s="42"/>
      <c r="M767" s="42"/>
      <c r="N767" s="42"/>
    </row>
    <row r="768" spans="1:14" x14ac:dyDescent="0.2">
      <c r="A768" s="42"/>
      <c r="B768" s="42"/>
      <c r="C768" s="42"/>
      <c r="D768" s="42"/>
      <c r="E768" s="42"/>
      <c r="F768" s="42"/>
      <c r="G768" s="42"/>
      <c r="H768" s="42"/>
      <c r="I768" s="42"/>
      <c r="J768" s="42"/>
      <c r="K768" s="42"/>
      <c r="L768" s="42"/>
      <c r="M768" s="42"/>
      <c r="N768" s="42"/>
    </row>
    <row r="769" spans="1:14" x14ac:dyDescent="0.2">
      <c r="A769" s="42"/>
      <c r="B769" s="42"/>
      <c r="C769" s="42"/>
      <c r="D769" s="42"/>
      <c r="E769" s="42"/>
      <c r="F769" s="42"/>
      <c r="G769" s="42"/>
      <c r="H769" s="42"/>
      <c r="I769" s="42"/>
      <c r="J769" s="42"/>
      <c r="K769" s="42"/>
      <c r="L769" s="42"/>
      <c r="M769" s="42"/>
      <c r="N769" s="42"/>
    </row>
    <row r="770" spans="1:14" x14ac:dyDescent="0.2">
      <c r="A770" s="42"/>
      <c r="B770" s="42"/>
      <c r="C770" s="42"/>
      <c r="D770" s="42"/>
      <c r="E770" s="42"/>
      <c r="F770" s="42"/>
      <c r="G770" s="42"/>
      <c r="H770" s="42"/>
      <c r="I770" s="42"/>
      <c r="J770" s="42"/>
      <c r="K770" s="42"/>
      <c r="L770" s="42"/>
      <c r="M770" s="42"/>
      <c r="N770" s="42"/>
    </row>
    <row r="771" spans="1:14" x14ac:dyDescent="0.2">
      <c r="A771" s="42"/>
      <c r="B771" s="42"/>
      <c r="C771" s="42"/>
      <c r="D771" s="42"/>
      <c r="E771" s="42"/>
      <c r="F771" s="42"/>
      <c r="G771" s="42"/>
      <c r="H771" s="42"/>
      <c r="I771" s="42"/>
      <c r="J771" s="42"/>
      <c r="K771" s="42"/>
      <c r="L771" s="42"/>
      <c r="M771" s="42"/>
      <c r="N771" s="42"/>
    </row>
    <row r="772" spans="1:14" x14ac:dyDescent="0.2">
      <c r="A772" s="42"/>
      <c r="B772" s="42"/>
      <c r="C772" s="42"/>
      <c r="D772" s="42"/>
      <c r="E772" s="42"/>
      <c r="F772" s="42"/>
      <c r="G772" s="42"/>
      <c r="H772" s="42"/>
      <c r="I772" s="42"/>
      <c r="J772" s="42"/>
      <c r="K772" s="42"/>
      <c r="L772" s="42"/>
      <c r="M772" s="42"/>
      <c r="N772" s="42"/>
    </row>
    <row r="773" spans="1:14" x14ac:dyDescent="0.2">
      <c r="A773" s="42"/>
      <c r="B773" s="42"/>
      <c r="C773" s="42"/>
      <c r="D773" s="42"/>
      <c r="E773" s="42"/>
      <c r="F773" s="42"/>
      <c r="G773" s="42"/>
      <c r="H773" s="42"/>
      <c r="I773" s="42"/>
      <c r="J773" s="42"/>
      <c r="K773" s="42"/>
      <c r="L773" s="42"/>
      <c r="M773" s="42"/>
      <c r="N773" s="42"/>
    </row>
    <row r="774" spans="1:14" x14ac:dyDescent="0.2">
      <c r="A774" s="42"/>
      <c r="B774" s="42"/>
      <c r="C774" s="42"/>
      <c r="D774" s="42"/>
      <c r="E774" s="42"/>
      <c r="F774" s="42"/>
      <c r="G774" s="42"/>
      <c r="H774" s="42"/>
      <c r="I774" s="42"/>
      <c r="J774" s="42"/>
      <c r="K774" s="42"/>
      <c r="L774" s="42"/>
      <c r="M774" s="42"/>
      <c r="N774" s="42"/>
    </row>
    <row r="775" spans="1:14" x14ac:dyDescent="0.2">
      <c r="A775" s="42"/>
      <c r="B775" s="42"/>
      <c r="C775" s="42"/>
      <c r="D775" s="42"/>
      <c r="E775" s="42"/>
      <c r="F775" s="42"/>
      <c r="G775" s="42"/>
      <c r="H775" s="42"/>
      <c r="I775" s="42"/>
      <c r="J775" s="42"/>
      <c r="K775" s="42"/>
      <c r="L775" s="42"/>
      <c r="M775" s="42"/>
      <c r="N775" s="42"/>
    </row>
    <row r="776" spans="1:14" x14ac:dyDescent="0.2">
      <c r="A776" s="42"/>
      <c r="B776" s="42"/>
      <c r="C776" s="42"/>
      <c r="D776" s="42"/>
      <c r="E776" s="42"/>
      <c r="F776" s="42"/>
      <c r="G776" s="42"/>
      <c r="H776" s="42"/>
      <c r="I776" s="42"/>
      <c r="J776" s="42"/>
      <c r="K776" s="42"/>
      <c r="L776" s="42"/>
      <c r="M776" s="42"/>
      <c r="N776" s="42"/>
    </row>
    <row r="777" spans="1:14" x14ac:dyDescent="0.2">
      <c r="A777" s="42"/>
      <c r="B777" s="42"/>
      <c r="C777" s="42"/>
      <c r="D777" s="42"/>
      <c r="E777" s="42"/>
      <c r="F777" s="42"/>
      <c r="G777" s="42"/>
      <c r="H777" s="42"/>
      <c r="I777" s="42"/>
      <c r="J777" s="42"/>
      <c r="K777" s="42"/>
      <c r="L777" s="42"/>
      <c r="M777" s="42"/>
      <c r="N777" s="42"/>
    </row>
    <row r="778" spans="1:14" x14ac:dyDescent="0.2">
      <c r="A778" s="42"/>
      <c r="B778" s="42"/>
      <c r="C778" s="42"/>
      <c r="D778" s="42"/>
      <c r="E778" s="42"/>
      <c r="F778" s="42"/>
      <c r="G778" s="42"/>
      <c r="H778" s="42"/>
      <c r="I778" s="42"/>
      <c r="J778" s="42"/>
      <c r="K778" s="42"/>
      <c r="L778" s="42"/>
      <c r="M778" s="42"/>
      <c r="N778" s="42"/>
    </row>
    <row r="779" spans="1:14" x14ac:dyDescent="0.2">
      <c r="A779" s="42"/>
      <c r="B779" s="42"/>
      <c r="C779" s="42"/>
      <c r="D779" s="42"/>
      <c r="E779" s="42"/>
      <c r="F779" s="42"/>
      <c r="G779" s="42"/>
      <c r="H779" s="42"/>
      <c r="I779" s="42"/>
      <c r="J779" s="42"/>
      <c r="K779" s="42"/>
      <c r="L779" s="42"/>
      <c r="M779" s="42"/>
      <c r="N779" s="42"/>
    </row>
    <row r="780" spans="1:14" x14ac:dyDescent="0.2">
      <c r="A780" s="42"/>
      <c r="B780" s="42"/>
      <c r="C780" s="42"/>
      <c r="D780" s="42"/>
      <c r="E780" s="42"/>
      <c r="F780" s="42"/>
      <c r="G780" s="42"/>
      <c r="H780" s="42"/>
      <c r="I780" s="42"/>
      <c r="J780" s="42"/>
      <c r="K780" s="42"/>
      <c r="L780" s="42"/>
      <c r="M780" s="42"/>
      <c r="N780" s="42"/>
    </row>
    <row r="781" spans="1:14" x14ac:dyDescent="0.2">
      <c r="A781" s="42"/>
      <c r="B781" s="42"/>
      <c r="C781" s="42"/>
      <c r="D781" s="42"/>
      <c r="E781" s="42"/>
      <c r="F781" s="42"/>
      <c r="G781" s="42"/>
      <c r="H781" s="42"/>
      <c r="I781" s="42"/>
      <c r="J781" s="42"/>
      <c r="K781" s="42"/>
      <c r="L781" s="42"/>
      <c r="M781" s="42"/>
      <c r="N781" s="42"/>
    </row>
    <row r="782" spans="1:14" x14ac:dyDescent="0.2">
      <c r="A782" s="42"/>
      <c r="B782" s="42"/>
      <c r="C782" s="42"/>
      <c r="D782" s="42"/>
      <c r="E782" s="42"/>
      <c r="F782" s="42"/>
      <c r="G782" s="42"/>
      <c r="H782" s="42"/>
      <c r="I782" s="42"/>
      <c r="J782" s="42"/>
      <c r="K782" s="42"/>
      <c r="L782" s="42"/>
      <c r="M782" s="42"/>
      <c r="N782" s="42"/>
    </row>
    <row r="783" spans="1:14" x14ac:dyDescent="0.2">
      <c r="A783" s="42"/>
      <c r="B783" s="42"/>
      <c r="C783" s="42"/>
      <c r="D783" s="42"/>
      <c r="E783" s="42"/>
      <c r="F783" s="42"/>
      <c r="G783" s="42"/>
      <c r="H783" s="42"/>
      <c r="I783" s="42"/>
      <c r="J783" s="42"/>
      <c r="K783" s="42"/>
      <c r="L783" s="42"/>
      <c r="M783" s="42"/>
      <c r="N783" s="42"/>
    </row>
    <row r="784" spans="1:14" x14ac:dyDescent="0.2">
      <c r="A784" s="42"/>
      <c r="B784" s="42"/>
      <c r="C784" s="42"/>
      <c r="D784" s="42"/>
      <c r="E784" s="42"/>
      <c r="F784" s="42"/>
      <c r="G784" s="42"/>
      <c r="H784" s="42"/>
      <c r="I784" s="42"/>
      <c r="J784" s="42"/>
      <c r="K784" s="42"/>
      <c r="L784" s="42"/>
      <c r="M784" s="42"/>
      <c r="N784" s="42"/>
    </row>
    <row r="785" spans="1:14" x14ac:dyDescent="0.2">
      <c r="A785" s="42"/>
      <c r="B785" s="42"/>
      <c r="C785" s="42"/>
      <c r="D785" s="42"/>
      <c r="E785" s="42"/>
      <c r="F785" s="42"/>
      <c r="G785" s="42"/>
      <c r="H785" s="42"/>
      <c r="I785" s="42"/>
      <c r="J785" s="42"/>
      <c r="K785" s="42"/>
      <c r="L785" s="42"/>
      <c r="M785" s="42"/>
      <c r="N785" s="42"/>
    </row>
    <row r="786" spans="1:14" x14ac:dyDescent="0.2">
      <c r="A786" s="42"/>
      <c r="B786" s="42"/>
      <c r="C786" s="42"/>
      <c r="D786" s="42"/>
      <c r="E786" s="42"/>
      <c r="F786" s="42"/>
      <c r="G786" s="42"/>
      <c r="H786" s="42"/>
      <c r="I786" s="42"/>
      <c r="J786" s="42"/>
      <c r="K786" s="42"/>
      <c r="L786" s="42"/>
      <c r="M786" s="42"/>
      <c r="N786" s="42"/>
    </row>
    <row r="787" spans="1:14" x14ac:dyDescent="0.2">
      <c r="A787" s="42"/>
      <c r="B787" s="42"/>
      <c r="C787" s="42"/>
      <c r="D787" s="42"/>
      <c r="E787" s="42"/>
      <c r="F787" s="42"/>
      <c r="G787" s="42"/>
      <c r="H787" s="42"/>
      <c r="I787" s="42"/>
      <c r="J787" s="42"/>
      <c r="K787" s="42"/>
      <c r="L787" s="42"/>
      <c r="M787" s="42"/>
      <c r="N787" s="42"/>
    </row>
    <row r="788" spans="1:14" x14ac:dyDescent="0.2">
      <c r="A788" s="42"/>
      <c r="B788" s="42"/>
      <c r="C788" s="42"/>
      <c r="D788" s="42"/>
      <c r="E788" s="42"/>
      <c r="F788" s="42"/>
      <c r="G788" s="42"/>
      <c r="H788" s="42"/>
      <c r="I788" s="42"/>
      <c r="J788" s="42"/>
      <c r="K788" s="42"/>
      <c r="L788" s="42"/>
      <c r="M788" s="42"/>
      <c r="N788" s="42"/>
    </row>
    <row r="789" spans="1:14" x14ac:dyDescent="0.2">
      <c r="A789" s="42"/>
      <c r="B789" s="42"/>
      <c r="C789" s="42"/>
      <c r="D789" s="42"/>
      <c r="E789" s="42"/>
      <c r="F789" s="42"/>
      <c r="G789" s="42"/>
      <c r="H789" s="42"/>
      <c r="I789" s="42"/>
      <c r="J789" s="42"/>
      <c r="K789" s="42"/>
      <c r="L789" s="42"/>
      <c r="M789" s="42"/>
      <c r="N789" s="42"/>
    </row>
    <row r="790" spans="1:14" x14ac:dyDescent="0.2">
      <c r="A790" s="42"/>
      <c r="B790" s="42"/>
      <c r="C790" s="42"/>
      <c r="D790" s="42"/>
      <c r="E790" s="42"/>
      <c r="F790" s="42"/>
      <c r="G790" s="42"/>
      <c r="H790" s="42"/>
      <c r="I790" s="42"/>
      <c r="J790" s="42"/>
      <c r="K790" s="42"/>
      <c r="L790" s="42"/>
      <c r="M790" s="42"/>
      <c r="N790" s="42"/>
    </row>
    <row r="791" spans="1:14" x14ac:dyDescent="0.2">
      <c r="A791" s="42"/>
      <c r="B791" s="42"/>
      <c r="C791" s="42"/>
      <c r="D791" s="42"/>
      <c r="E791" s="42"/>
      <c r="F791" s="42"/>
      <c r="G791" s="42"/>
      <c r="H791" s="42"/>
      <c r="I791" s="42"/>
      <c r="J791" s="42"/>
      <c r="K791" s="42"/>
      <c r="L791" s="42"/>
      <c r="M791" s="42"/>
      <c r="N791" s="42"/>
    </row>
    <row r="792" spans="1:14" x14ac:dyDescent="0.2">
      <c r="A792" s="42"/>
      <c r="B792" s="42"/>
      <c r="C792" s="42"/>
      <c r="D792" s="42"/>
      <c r="E792" s="42"/>
      <c r="F792" s="42"/>
      <c r="G792" s="42"/>
      <c r="H792" s="42"/>
      <c r="I792" s="42"/>
      <c r="J792" s="42"/>
      <c r="K792" s="42"/>
      <c r="L792" s="42"/>
      <c r="M792" s="42"/>
      <c r="N792" s="42"/>
    </row>
    <row r="793" spans="1:14" x14ac:dyDescent="0.2">
      <c r="A793" s="42"/>
      <c r="B793" s="42"/>
      <c r="C793" s="42"/>
      <c r="D793" s="42"/>
      <c r="E793" s="42"/>
      <c r="F793" s="42"/>
      <c r="G793" s="42"/>
      <c r="H793" s="42"/>
      <c r="I793" s="42"/>
      <c r="J793" s="42"/>
      <c r="K793" s="42"/>
      <c r="L793" s="42"/>
      <c r="M793" s="42"/>
      <c r="N793" s="42"/>
    </row>
    <row r="794" spans="1:14" x14ac:dyDescent="0.2">
      <c r="A794" s="42"/>
      <c r="B794" s="42"/>
      <c r="C794" s="42"/>
      <c r="D794" s="42"/>
      <c r="E794" s="42"/>
      <c r="F794" s="42"/>
      <c r="G794" s="42"/>
      <c r="H794" s="42"/>
      <c r="I794" s="42"/>
      <c r="J794" s="42"/>
      <c r="K794" s="42"/>
      <c r="L794" s="42"/>
      <c r="M794" s="42"/>
      <c r="N794" s="42"/>
    </row>
    <row r="795" spans="1:14" x14ac:dyDescent="0.2">
      <c r="A795" s="42"/>
      <c r="B795" s="42"/>
      <c r="C795" s="42"/>
      <c r="D795" s="42"/>
      <c r="E795" s="42"/>
      <c r="F795" s="42"/>
      <c r="G795" s="42"/>
      <c r="H795" s="42"/>
      <c r="I795" s="42"/>
      <c r="J795" s="42"/>
      <c r="K795" s="42"/>
      <c r="L795" s="42"/>
      <c r="M795" s="42"/>
      <c r="N795" s="42"/>
    </row>
    <row r="796" spans="1:14" x14ac:dyDescent="0.2">
      <c r="A796" s="42"/>
      <c r="B796" s="42"/>
      <c r="C796" s="42"/>
      <c r="D796" s="42"/>
      <c r="E796" s="42"/>
      <c r="F796" s="42"/>
      <c r="G796" s="42"/>
      <c r="H796" s="42"/>
      <c r="I796" s="42"/>
      <c r="J796" s="42"/>
      <c r="K796" s="42"/>
      <c r="L796" s="42"/>
      <c r="M796" s="42"/>
      <c r="N796" s="42"/>
    </row>
    <row r="797" spans="1:14" x14ac:dyDescent="0.2">
      <c r="A797" s="42"/>
      <c r="B797" s="42"/>
      <c r="C797" s="42"/>
      <c r="D797" s="42"/>
      <c r="E797" s="42"/>
      <c r="F797" s="42"/>
      <c r="G797" s="42"/>
      <c r="H797" s="42"/>
      <c r="I797" s="42"/>
      <c r="J797" s="42"/>
      <c r="K797" s="42"/>
      <c r="L797" s="42"/>
      <c r="M797" s="42"/>
      <c r="N797" s="42"/>
    </row>
    <row r="798" spans="1:14" x14ac:dyDescent="0.2">
      <c r="A798" s="42"/>
      <c r="B798" s="42"/>
      <c r="C798" s="42"/>
      <c r="D798" s="42"/>
      <c r="E798" s="42"/>
      <c r="F798" s="42"/>
      <c r="G798" s="42"/>
      <c r="H798" s="42"/>
      <c r="I798" s="42"/>
      <c r="J798" s="42"/>
      <c r="K798" s="42"/>
      <c r="L798" s="42"/>
      <c r="M798" s="42"/>
      <c r="N798" s="42"/>
    </row>
    <row r="799" spans="1:14" x14ac:dyDescent="0.2">
      <c r="A799" s="42"/>
      <c r="B799" s="42"/>
      <c r="C799" s="42"/>
      <c r="D799" s="42"/>
      <c r="E799" s="42"/>
      <c r="F799" s="42"/>
      <c r="G799" s="42"/>
      <c r="H799" s="42"/>
      <c r="I799" s="42"/>
      <c r="J799" s="42"/>
      <c r="K799" s="42"/>
      <c r="L799" s="42"/>
      <c r="M799" s="42"/>
      <c r="N799" s="42"/>
    </row>
    <row r="800" spans="1:14" x14ac:dyDescent="0.2">
      <c r="A800" s="42"/>
      <c r="B800" s="42"/>
      <c r="C800" s="42"/>
      <c r="D800" s="42"/>
      <c r="E800" s="42"/>
      <c r="F800" s="42"/>
      <c r="G800" s="42"/>
      <c r="H800" s="42"/>
      <c r="I800" s="42"/>
      <c r="J800" s="42"/>
      <c r="K800" s="42"/>
      <c r="L800" s="42"/>
      <c r="M800" s="42"/>
      <c r="N800" s="42"/>
    </row>
    <row r="801" spans="1:14" x14ac:dyDescent="0.2">
      <c r="A801" s="42"/>
      <c r="B801" s="42"/>
      <c r="C801" s="42"/>
      <c r="D801" s="42"/>
      <c r="E801" s="42"/>
      <c r="F801" s="42"/>
      <c r="G801" s="42"/>
      <c r="H801" s="42"/>
      <c r="I801" s="42"/>
      <c r="J801" s="42"/>
      <c r="K801" s="42"/>
      <c r="L801" s="42"/>
      <c r="M801" s="42"/>
      <c r="N801" s="42"/>
    </row>
    <row r="802" spans="1:14" x14ac:dyDescent="0.2">
      <c r="A802" s="42"/>
      <c r="B802" s="42"/>
      <c r="C802" s="42"/>
      <c r="D802" s="42"/>
      <c r="E802" s="42"/>
      <c r="F802" s="42"/>
      <c r="G802" s="42"/>
      <c r="H802" s="42"/>
      <c r="I802" s="42"/>
      <c r="J802" s="42"/>
      <c r="K802" s="42"/>
      <c r="L802" s="42"/>
      <c r="M802" s="42"/>
      <c r="N802" s="42"/>
    </row>
    <row r="803" spans="1:14" x14ac:dyDescent="0.2">
      <c r="A803" s="42"/>
      <c r="B803" s="42"/>
      <c r="C803" s="42"/>
      <c r="D803" s="42"/>
      <c r="E803" s="42"/>
      <c r="F803" s="42"/>
      <c r="G803" s="42"/>
      <c r="H803" s="42"/>
      <c r="I803" s="42"/>
      <c r="J803" s="42"/>
      <c r="K803" s="42"/>
      <c r="L803" s="42"/>
      <c r="M803" s="42"/>
      <c r="N803" s="42"/>
    </row>
    <row r="804" spans="1:14" x14ac:dyDescent="0.2">
      <c r="A804" s="42"/>
      <c r="B804" s="42"/>
      <c r="C804" s="42"/>
      <c r="D804" s="42"/>
      <c r="E804" s="42"/>
      <c r="F804" s="42"/>
      <c r="G804" s="42"/>
      <c r="H804" s="42"/>
      <c r="I804" s="42"/>
      <c r="J804" s="42"/>
      <c r="K804" s="42"/>
      <c r="L804" s="42"/>
      <c r="M804" s="42"/>
      <c r="N804" s="42"/>
    </row>
    <row r="805" spans="1:14" x14ac:dyDescent="0.2">
      <c r="A805" s="42"/>
      <c r="B805" s="42"/>
      <c r="C805" s="42"/>
      <c r="D805" s="42"/>
      <c r="E805" s="42"/>
      <c r="F805" s="42"/>
      <c r="G805" s="42"/>
      <c r="H805" s="42"/>
      <c r="I805" s="42"/>
      <c r="J805" s="42"/>
      <c r="K805" s="42"/>
      <c r="L805" s="42"/>
      <c r="M805" s="42"/>
      <c r="N805" s="42"/>
    </row>
    <row r="806" spans="1:14" x14ac:dyDescent="0.2">
      <c r="A806" s="42"/>
      <c r="B806" s="42"/>
      <c r="C806" s="42"/>
      <c r="D806" s="42"/>
      <c r="E806" s="42"/>
      <c r="F806" s="42"/>
      <c r="G806" s="42"/>
      <c r="H806" s="42"/>
      <c r="I806" s="42"/>
      <c r="J806" s="42"/>
      <c r="K806" s="42"/>
      <c r="L806" s="42"/>
      <c r="M806" s="42"/>
      <c r="N806" s="42"/>
    </row>
    <row r="807" spans="1:14" x14ac:dyDescent="0.2">
      <c r="A807" s="42"/>
      <c r="B807" s="42"/>
      <c r="C807" s="42"/>
      <c r="D807" s="42"/>
      <c r="E807" s="42"/>
      <c r="F807" s="42"/>
      <c r="G807" s="42"/>
      <c r="H807" s="42"/>
      <c r="I807" s="42"/>
      <c r="J807" s="42"/>
      <c r="K807" s="42"/>
      <c r="L807" s="42"/>
      <c r="M807" s="42"/>
      <c r="N807" s="42"/>
    </row>
    <row r="808" spans="1:14" x14ac:dyDescent="0.2">
      <c r="A808" s="42"/>
      <c r="B808" s="42"/>
      <c r="C808" s="42"/>
      <c r="D808" s="42"/>
      <c r="E808" s="42"/>
      <c r="F808" s="42"/>
      <c r="G808" s="42"/>
      <c r="H808" s="42"/>
      <c r="I808" s="42"/>
      <c r="J808" s="42"/>
      <c r="K808" s="42"/>
      <c r="L808" s="42"/>
      <c r="M808" s="42"/>
      <c r="N808" s="42"/>
    </row>
    <row r="809" spans="1:14" x14ac:dyDescent="0.2">
      <c r="A809" s="42"/>
      <c r="B809" s="42"/>
      <c r="C809" s="42"/>
      <c r="D809" s="42"/>
      <c r="E809" s="42"/>
      <c r="F809" s="42"/>
      <c r="G809" s="42"/>
      <c r="H809" s="42"/>
      <c r="I809" s="42"/>
      <c r="J809" s="42"/>
      <c r="K809" s="42"/>
      <c r="L809" s="42"/>
      <c r="M809" s="42"/>
      <c r="N809" s="42"/>
    </row>
    <row r="810" spans="1:14" x14ac:dyDescent="0.2">
      <c r="A810" s="42"/>
      <c r="B810" s="42"/>
      <c r="C810" s="42"/>
      <c r="D810" s="42"/>
      <c r="E810" s="42"/>
      <c r="F810" s="42"/>
      <c r="G810" s="42"/>
      <c r="H810" s="42"/>
      <c r="I810" s="42"/>
      <c r="J810" s="42"/>
      <c r="K810" s="42"/>
      <c r="L810" s="42"/>
      <c r="M810" s="42"/>
      <c r="N810" s="42"/>
    </row>
    <row r="811" spans="1:14" x14ac:dyDescent="0.2">
      <c r="A811" s="42"/>
      <c r="B811" s="42"/>
      <c r="C811" s="42"/>
      <c r="D811" s="42"/>
      <c r="E811" s="42"/>
      <c r="F811" s="42"/>
      <c r="G811" s="42"/>
      <c r="H811" s="42"/>
      <c r="I811" s="42"/>
      <c r="J811" s="42"/>
      <c r="K811" s="42"/>
      <c r="L811" s="42"/>
      <c r="M811" s="42"/>
      <c r="N811" s="42"/>
    </row>
    <row r="812" spans="1:14" x14ac:dyDescent="0.2">
      <c r="A812" s="42"/>
      <c r="B812" s="42"/>
      <c r="C812" s="42"/>
      <c r="D812" s="42"/>
      <c r="E812" s="42"/>
      <c r="F812" s="42"/>
      <c r="G812" s="42"/>
      <c r="H812" s="42"/>
      <c r="I812" s="42"/>
      <c r="J812" s="42"/>
      <c r="K812" s="42"/>
      <c r="L812" s="42"/>
      <c r="M812" s="42"/>
      <c r="N812" s="42"/>
    </row>
    <row r="813" spans="1:14" x14ac:dyDescent="0.2">
      <c r="A813" s="42"/>
      <c r="B813" s="42"/>
      <c r="C813" s="42"/>
      <c r="D813" s="42"/>
      <c r="E813" s="42"/>
      <c r="F813" s="42"/>
      <c r="G813" s="42"/>
      <c r="H813" s="42"/>
      <c r="I813" s="42"/>
      <c r="J813" s="42"/>
      <c r="K813" s="42"/>
      <c r="L813" s="42"/>
      <c r="M813" s="42"/>
      <c r="N813" s="42"/>
    </row>
    <row r="814" spans="1:14" x14ac:dyDescent="0.2">
      <c r="A814" s="42"/>
      <c r="B814" s="42"/>
      <c r="C814" s="42"/>
      <c r="D814" s="42"/>
      <c r="E814" s="42"/>
      <c r="F814" s="42"/>
      <c r="G814" s="42"/>
      <c r="H814" s="42"/>
      <c r="I814" s="42"/>
      <c r="J814" s="42"/>
      <c r="K814" s="42"/>
      <c r="L814" s="42"/>
      <c r="M814" s="42"/>
      <c r="N814" s="42"/>
    </row>
    <row r="815" spans="1:14" x14ac:dyDescent="0.2">
      <c r="A815" s="42"/>
      <c r="B815" s="42"/>
      <c r="C815" s="42"/>
      <c r="D815" s="42"/>
      <c r="E815" s="42"/>
      <c r="F815" s="42"/>
      <c r="G815" s="42"/>
      <c r="H815" s="42"/>
      <c r="I815" s="42"/>
      <c r="J815" s="42"/>
      <c r="K815" s="42"/>
      <c r="L815" s="42"/>
      <c r="M815" s="42"/>
      <c r="N815" s="42"/>
    </row>
    <row r="816" spans="1:14" x14ac:dyDescent="0.2">
      <c r="A816" s="42"/>
      <c r="B816" s="42"/>
      <c r="C816" s="42"/>
      <c r="D816" s="42"/>
      <c r="E816" s="42"/>
      <c r="F816" s="42"/>
      <c r="G816" s="42"/>
      <c r="H816" s="42"/>
      <c r="I816" s="42"/>
      <c r="J816" s="42"/>
      <c r="K816" s="42"/>
      <c r="L816" s="42"/>
      <c r="M816" s="42"/>
      <c r="N816" s="42"/>
    </row>
    <row r="817" spans="1:14" x14ac:dyDescent="0.2">
      <c r="A817" s="42"/>
      <c r="B817" s="42"/>
      <c r="C817" s="42"/>
      <c r="D817" s="42"/>
      <c r="E817" s="42"/>
      <c r="F817" s="42"/>
      <c r="G817" s="42"/>
      <c r="H817" s="42"/>
      <c r="I817" s="42"/>
      <c r="J817" s="42"/>
      <c r="K817" s="42"/>
      <c r="L817" s="42"/>
      <c r="M817" s="42"/>
      <c r="N817" s="42"/>
    </row>
    <row r="818" spans="1:14" x14ac:dyDescent="0.2">
      <c r="A818" s="42"/>
      <c r="B818" s="42"/>
      <c r="C818" s="42"/>
      <c r="D818" s="42"/>
      <c r="E818" s="42"/>
      <c r="F818" s="42"/>
      <c r="G818" s="42"/>
      <c r="H818" s="42"/>
      <c r="I818" s="42"/>
      <c r="J818" s="42"/>
      <c r="K818" s="42"/>
      <c r="L818" s="42"/>
      <c r="M818" s="42"/>
      <c r="N818" s="42"/>
    </row>
    <row r="819" spans="1:14" x14ac:dyDescent="0.2">
      <c r="A819" s="42"/>
      <c r="B819" s="42"/>
      <c r="C819" s="42"/>
      <c r="D819" s="42"/>
      <c r="E819" s="42"/>
      <c r="F819" s="42"/>
      <c r="G819" s="42"/>
      <c r="H819" s="42"/>
      <c r="I819" s="42"/>
      <c r="J819" s="42"/>
      <c r="K819" s="42"/>
      <c r="L819" s="42"/>
      <c r="M819" s="42"/>
      <c r="N819" s="42"/>
    </row>
    <row r="820" spans="1:14" x14ac:dyDescent="0.2">
      <c r="A820" s="42"/>
      <c r="B820" s="42"/>
      <c r="C820" s="42"/>
      <c r="D820" s="42"/>
      <c r="E820" s="42"/>
      <c r="F820" s="42"/>
      <c r="G820" s="42"/>
      <c r="H820" s="42"/>
      <c r="I820" s="42"/>
      <c r="J820" s="42"/>
      <c r="K820" s="42"/>
      <c r="L820" s="42"/>
      <c r="M820" s="42"/>
      <c r="N820" s="42"/>
    </row>
    <row r="821" spans="1:14" x14ac:dyDescent="0.2">
      <c r="A821" s="42"/>
      <c r="B821" s="42"/>
      <c r="C821" s="42"/>
      <c r="D821" s="42"/>
      <c r="E821" s="42"/>
      <c r="F821" s="42"/>
      <c r="G821" s="42"/>
      <c r="H821" s="42"/>
      <c r="I821" s="42"/>
      <c r="J821" s="42"/>
      <c r="K821" s="42"/>
      <c r="L821" s="42"/>
      <c r="M821" s="42"/>
      <c r="N821" s="42"/>
    </row>
    <row r="822" spans="1:14" x14ac:dyDescent="0.2">
      <c r="A822" s="42"/>
      <c r="B822" s="42"/>
      <c r="C822" s="42"/>
      <c r="D822" s="42"/>
      <c r="E822" s="42"/>
      <c r="F822" s="42"/>
      <c r="G822" s="42"/>
      <c r="H822" s="42"/>
      <c r="I822" s="42"/>
      <c r="J822" s="42"/>
      <c r="K822" s="42"/>
      <c r="L822" s="42"/>
      <c r="M822" s="42"/>
      <c r="N822" s="42"/>
    </row>
    <row r="823" spans="1:14" x14ac:dyDescent="0.2">
      <c r="A823" s="42"/>
      <c r="B823" s="42"/>
      <c r="C823" s="42"/>
      <c r="D823" s="42"/>
      <c r="E823" s="42"/>
      <c r="F823" s="42"/>
      <c r="G823" s="42"/>
      <c r="H823" s="42"/>
      <c r="I823" s="42"/>
      <c r="J823" s="42"/>
      <c r="K823" s="42"/>
      <c r="L823" s="42"/>
      <c r="M823" s="42"/>
      <c r="N823" s="42"/>
    </row>
    <row r="824" spans="1:14" x14ac:dyDescent="0.2">
      <c r="A824" s="42"/>
      <c r="B824" s="42"/>
      <c r="C824" s="42"/>
      <c r="D824" s="42"/>
      <c r="E824" s="42"/>
      <c r="F824" s="42"/>
      <c r="G824" s="42"/>
      <c r="H824" s="42"/>
      <c r="I824" s="42"/>
      <c r="J824" s="42"/>
      <c r="K824" s="42"/>
      <c r="L824" s="42"/>
      <c r="M824" s="42"/>
      <c r="N824" s="42"/>
    </row>
    <row r="825" spans="1:14" x14ac:dyDescent="0.2">
      <c r="A825" s="42"/>
      <c r="B825" s="42"/>
      <c r="C825" s="42"/>
      <c r="D825" s="42"/>
      <c r="E825" s="42"/>
      <c r="F825" s="42"/>
      <c r="G825" s="42"/>
      <c r="H825" s="42"/>
      <c r="I825" s="42"/>
      <c r="J825" s="42"/>
      <c r="K825" s="42"/>
      <c r="L825" s="42"/>
      <c r="M825" s="42"/>
      <c r="N825" s="42"/>
    </row>
    <row r="826" spans="1:14" x14ac:dyDescent="0.2">
      <c r="A826" s="42"/>
      <c r="B826" s="42"/>
      <c r="C826" s="42"/>
      <c r="D826" s="42"/>
      <c r="E826" s="42"/>
      <c r="F826" s="42"/>
      <c r="G826" s="42"/>
      <c r="H826" s="42"/>
      <c r="I826" s="42"/>
      <c r="J826" s="42"/>
      <c r="K826" s="42"/>
      <c r="L826" s="42"/>
      <c r="M826" s="42"/>
      <c r="N826" s="42"/>
    </row>
    <row r="827" spans="1:14" x14ac:dyDescent="0.2">
      <c r="A827" s="42"/>
      <c r="B827" s="42"/>
      <c r="C827" s="42"/>
      <c r="D827" s="42"/>
      <c r="E827" s="42"/>
      <c r="F827" s="42"/>
      <c r="G827" s="42"/>
      <c r="H827" s="42"/>
      <c r="I827" s="42"/>
      <c r="J827" s="42"/>
      <c r="K827" s="42"/>
      <c r="L827" s="42"/>
      <c r="M827" s="42"/>
      <c r="N827" s="42"/>
    </row>
    <row r="828" spans="1:14" x14ac:dyDescent="0.2">
      <c r="A828" s="42"/>
      <c r="B828" s="42"/>
      <c r="C828" s="42"/>
      <c r="D828" s="42"/>
      <c r="E828" s="42"/>
      <c r="F828" s="42"/>
      <c r="G828" s="42"/>
      <c r="H828" s="42"/>
      <c r="I828" s="42"/>
      <c r="J828" s="42"/>
      <c r="K828" s="42"/>
      <c r="L828" s="42"/>
      <c r="M828" s="42"/>
      <c r="N828" s="42"/>
    </row>
    <row r="829" spans="1:14" x14ac:dyDescent="0.2">
      <c r="A829" s="42"/>
      <c r="B829" s="42"/>
      <c r="C829" s="42"/>
      <c r="D829" s="42"/>
      <c r="E829" s="42"/>
      <c r="F829" s="42"/>
      <c r="G829" s="42"/>
      <c r="H829" s="42"/>
      <c r="I829" s="42"/>
      <c r="J829" s="42"/>
      <c r="K829" s="42"/>
      <c r="L829" s="42"/>
      <c r="M829" s="42"/>
      <c r="N829" s="42"/>
    </row>
    <row r="830" spans="1:14" x14ac:dyDescent="0.2">
      <c r="A830" s="42"/>
      <c r="B830" s="42"/>
      <c r="C830" s="42"/>
      <c r="D830" s="42"/>
      <c r="E830" s="42"/>
      <c r="F830" s="42"/>
      <c r="G830" s="42"/>
      <c r="H830" s="42"/>
      <c r="I830" s="42"/>
      <c r="J830" s="42"/>
      <c r="K830" s="42"/>
      <c r="L830" s="42"/>
      <c r="M830" s="42"/>
      <c r="N830" s="42"/>
    </row>
    <row r="831" spans="1:14" x14ac:dyDescent="0.2">
      <c r="A831" s="42"/>
      <c r="B831" s="42"/>
      <c r="C831" s="42"/>
      <c r="D831" s="42"/>
      <c r="E831" s="42"/>
      <c r="F831" s="42"/>
      <c r="G831" s="42"/>
      <c r="H831" s="42"/>
      <c r="I831" s="42"/>
      <c r="J831" s="42"/>
      <c r="K831" s="42"/>
      <c r="L831" s="42"/>
      <c r="M831" s="42"/>
      <c r="N831" s="42"/>
    </row>
    <row r="832" spans="1:14" x14ac:dyDescent="0.2">
      <c r="A832" s="42"/>
      <c r="B832" s="42"/>
      <c r="C832" s="42"/>
      <c r="D832" s="42"/>
      <c r="E832" s="42"/>
      <c r="F832" s="42"/>
      <c r="G832" s="42"/>
      <c r="H832" s="42"/>
      <c r="I832" s="42"/>
      <c r="J832" s="42"/>
      <c r="K832" s="42"/>
      <c r="L832" s="42"/>
      <c r="M832" s="42"/>
      <c r="N832" s="42"/>
    </row>
    <row r="833" spans="1:14" x14ac:dyDescent="0.2">
      <c r="A833" s="42"/>
      <c r="B833" s="42"/>
      <c r="C833" s="42"/>
      <c r="D833" s="42"/>
      <c r="E833" s="42"/>
      <c r="F833" s="42"/>
      <c r="G833" s="42"/>
      <c r="H833" s="42"/>
      <c r="I833" s="42"/>
      <c r="J833" s="42"/>
      <c r="K833" s="42"/>
      <c r="L833" s="42"/>
      <c r="M833" s="42"/>
      <c r="N833" s="42"/>
    </row>
    <row r="834" spans="1:14" x14ac:dyDescent="0.2">
      <c r="A834" s="42"/>
      <c r="B834" s="42"/>
      <c r="C834" s="42"/>
      <c r="D834" s="42"/>
      <c r="E834" s="42"/>
      <c r="F834" s="42"/>
      <c r="G834" s="42"/>
      <c r="H834" s="42"/>
      <c r="I834" s="42"/>
      <c r="J834" s="42"/>
      <c r="K834" s="42"/>
      <c r="L834" s="42"/>
      <c r="M834" s="42"/>
      <c r="N834" s="42"/>
    </row>
    <row r="835" spans="1:14" x14ac:dyDescent="0.2">
      <c r="A835" s="42"/>
      <c r="B835" s="42"/>
      <c r="C835" s="42"/>
      <c r="D835" s="42"/>
      <c r="E835" s="42"/>
      <c r="F835" s="42"/>
      <c r="G835" s="42"/>
      <c r="H835" s="42"/>
      <c r="I835" s="42"/>
      <c r="J835" s="42"/>
      <c r="K835" s="42"/>
      <c r="L835" s="42"/>
      <c r="M835" s="42"/>
      <c r="N835" s="42"/>
    </row>
    <row r="836" spans="1:14" x14ac:dyDescent="0.2">
      <c r="A836" s="42"/>
      <c r="B836" s="42"/>
      <c r="C836" s="42"/>
      <c r="D836" s="42"/>
      <c r="E836" s="42"/>
      <c r="F836" s="42"/>
      <c r="G836" s="42"/>
      <c r="H836" s="42"/>
      <c r="I836" s="42"/>
      <c r="J836" s="42"/>
      <c r="K836" s="42"/>
      <c r="L836" s="42"/>
      <c r="M836" s="42"/>
      <c r="N836" s="42"/>
    </row>
    <row r="837" spans="1:14" x14ac:dyDescent="0.2">
      <c r="A837" s="42"/>
      <c r="B837" s="42"/>
      <c r="C837" s="42"/>
      <c r="D837" s="42"/>
      <c r="E837" s="42"/>
      <c r="F837" s="42"/>
      <c r="G837" s="42"/>
      <c r="H837" s="42"/>
      <c r="I837" s="42"/>
      <c r="J837" s="42"/>
      <c r="K837" s="42"/>
      <c r="L837" s="42"/>
      <c r="M837" s="42"/>
      <c r="N837" s="42"/>
    </row>
    <row r="838" spans="1:14" x14ac:dyDescent="0.2">
      <c r="A838" s="42"/>
      <c r="B838" s="42"/>
      <c r="C838" s="42"/>
      <c r="D838" s="42"/>
      <c r="E838" s="42"/>
      <c r="F838" s="42"/>
      <c r="G838" s="42"/>
      <c r="H838" s="42"/>
      <c r="I838" s="42"/>
      <c r="J838" s="42"/>
      <c r="K838" s="42"/>
      <c r="L838" s="42"/>
      <c r="M838" s="42"/>
      <c r="N838" s="42"/>
    </row>
    <row r="839" spans="1:14" x14ac:dyDescent="0.2">
      <c r="A839" s="42"/>
      <c r="B839" s="42"/>
      <c r="C839" s="42"/>
      <c r="D839" s="42"/>
      <c r="E839" s="42"/>
      <c r="F839" s="42"/>
      <c r="G839" s="42"/>
      <c r="H839" s="42"/>
      <c r="I839" s="42"/>
      <c r="J839" s="42"/>
      <c r="K839" s="42"/>
      <c r="L839" s="42"/>
      <c r="M839" s="42"/>
      <c r="N839" s="42"/>
    </row>
    <row r="840" spans="1:14" x14ac:dyDescent="0.2">
      <c r="A840" s="42"/>
      <c r="B840" s="42"/>
      <c r="C840" s="42"/>
      <c r="D840" s="42"/>
      <c r="E840" s="42"/>
      <c r="F840" s="42"/>
      <c r="G840" s="42"/>
      <c r="H840" s="42"/>
      <c r="I840" s="42"/>
      <c r="J840" s="42"/>
      <c r="K840" s="42"/>
      <c r="L840" s="42"/>
      <c r="M840" s="42"/>
      <c r="N840" s="42"/>
    </row>
    <row r="841" spans="1:14" x14ac:dyDescent="0.2">
      <c r="A841" s="42"/>
      <c r="B841" s="42"/>
      <c r="C841" s="42"/>
      <c r="D841" s="42"/>
      <c r="E841" s="42"/>
      <c r="F841" s="42"/>
      <c r="G841" s="42"/>
      <c r="H841" s="42"/>
      <c r="I841" s="42"/>
      <c r="J841" s="42"/>
      <c r="K841" s="42"/>
      <c r="L841" s="42"/>
      <c r="M841" s="42"/>
      <c r="N841" s="42"/>
    </row>
    <row r="842" spans="1:14" x14ac:dyDescent="0.2">
      <c r="A842" s="42"/>
      <c r="B842" s="42"/>
      <c r="C842" s="42"/>
      <c r="D842" s="42"/>
      <c r="E842" s="42"/>
      <c r="F842" s="42"/>
      <c r="G842" s="42"/>
      <c r="H842" s="42"/>
      <c r="I842" s="42"/>
      <c r="J842" s="42"/>
      <c r="K842" s="42"/>
      <c r="L842" s="42"/>
      <c r="M842" s="42"/>
      <c r="N842" s="42"/>
    </row>
    <row r="843" spans="1:14" x14ac:dyDescent="0.2">
      <c r="A843" s="42"/>
      <c r="B843" s="42"/>
      <c r="C843" s="42"/>
      <c r="D843" s="42"/>
      <c r="E843" s="42"/>
      <c r="F843" s="42"/>
      <c r="G843" s="42"/>
      <c r="H843" s="42"/>
      <c r="I843" s="42"/>
      <c r="J843" s="42"/>
      <c r="K843" s="42"/>
      <c r="L843" s="42"/>
      <c r="M843" s="42"/>
      <c r="N843" s="42"/>
    </row>
    <row r="844" spans="1:14" x14ac:dyDescent="0.2">
      <c r="A844" s="42"/>
      <c r="B844" s="42"/>
      <c r="C844" s="42"/>
      <c r="D844" s="42"/>
      <c r="E844" s="42"/>
      <c r="F844" s="42"/>
      <c r="G844" s="42"/>
      <c r="H844" s="42"/>
      <c r="I844" s="42"/>
      <c r="J844" s="42"/>
      <c r="K844" s="42"/>
      <c r="L844" s="42"/>
      <c r="M844" s="42"/>
      <c r="N844" s="42"/>
    </row>
    <row r="845" spans="1:14" x14ac:dyDescent="0.2">
      <c r="A845" s="42"/>
      <c r="B845" s="42"/>
      <c r="C845" s="42"/>
      <c r="D845" s="42"/>
      <c r="E845" s="42"/>
      <c r="F845" s="42"/>
      <c r="G845" s="42"/>
      <c r="H845" s="42"/>
      <c r="I845" s="42"/>
      <c r="J845" s="42"/>
      <c r="K845" s="42"/>
      <c r="L845" s="42"/>
      <c r="M845" s="42"/>
      <c r="N845" s="42"/>
    </row>
    <row r="846" spans="1:14" x14ac:dyDescent="0.2">
      <c r="A846" s="42"/>
      <c r="B846" s="42"/>
      <c r="C846" s="42"/>
      <c r="D846" s="42"/>
      <c r="E846" s="42"/>
      <c r="F846" s="42"/>
      <c r="G846" s="42"/>
      <c r="H846" s="42"/>
      <c r="I846" s="42"/>
      <c r="J846" s="42"/>
      <c r="K846" s="42"/>
      <c r="L846" s="42"/>
      <c r="M846" s="42"/>
      <c r="N846" s="42"/>
    </row>
    <row r="847" spans="1:14" x14ac:dyDescent="0.2">
      <c r="A847" s="42"/>
      <c r="B847" s="42"/>
      <c r="C847" s="42"/>
      <c r="D847" s="42"/>
      <c r="E847" s="42"/>
      <c r="F847" s="42"/>
      <c r="G847" s="42"/>
      <c r="H847" s="42"/>
      <c r="I847" s="42"/>
      <c r="J847" s="42"/>
      <c r="K847" s="42"/>
      <c r="L847" s="42"/>
      <c r="M847" s="42"/>
      <c r="N847" s="42"/>
    </row>
    <row r="848" spans="1:14" x14ac:dyDescent="0.2">
      <c r="A848" s="42"/>
      <c r="B848" s="42"/>
      <c r="C848" s="42"/>
      <c r="D848" s="42"/>
      <c r="E848" s="42"/>
      <c r="F848" s="42"/>
      <c r="G848" s="42"/>
      <c r="H848" s="42"/>
      <c r="I848" s="42"/>
      <c r="J848" s="42"/>
      <c r="K848" s="42"/>
      <c r="L848" s="42"/>
      <c r="M848" s="42"/>
      <c r="N848" s="42"/>
    </row>
    <row r="849" spans="1:14" x14ac:dyDescent="0.2">
      <c r="A849" s="42"/>
      <c r="B849" s="42"/>
      <c r="C849" s="42"/>
      <c r="D849" s="42"/>
      <c r="E849" s="42"/>
      <c r="F849" s="42"/>
      <c r="G849" s="42"/>
      <c r="H849" s="42"/>
      <c r="I849" s="42"/>
      <c r="J849" s="42"/>
      <c r="K849" s="42"/>
      <c r="L849" s="42"/>
      <c r="M849" s="42"/>
      <c r="N849" s="42"/>
    </row>
    <row r="850" spans="1:14" x14ac:dyDescent="0.2">
      <c r="A850" s="42"/>
      <c r="B850" s="42"/>
      <c r="C850" s="42"/>
      <c r="D850" s="42"/>
      <c r="E850" s="42"/>
      <c r="F850" s="42"/>
      <c r="G850" s="42"/>
      <c r="H850" s="42"/>
      <c r="I850" s="42"/>
      <c r="J850" s="42"/>
      <c r="K850" s="42"/>
      <c r="L850" s="42"/>
      <c r="M850" s="42"/>
      <c r="N850" s="42"/>
    </row>
    <row r="851" spans="1:14" x14ac:dyDescent="0.2">
      <c r="A851" s="42"/>
      <c r="B851" s="42"/>
      <c r="C851" s="42"/>
      <c r="D851" s="42"/>
      <c r="E851" s="42"/>
      <c r="F851" s="42"/>
      <c r="G851" s="42"/>
      <c r="H851" s="42"/>
      <c r="I851" s="42"/>
      <c r="J851" s="42"/>
      <c r="K851" s="42"/>
      <c r="L851" s="42"/>
      <c r="M851" s="42"/>
      <c r="N851" s="42"/>
    </row>
    <row r="852" spans="1:14" x14ac:dyDescent="0.2">
      <c r="A852" s="42"/>
      <c r="B852" s="42"/>
      <c r="C852" s="42"/>
      <c r="D852" s="42"/>
      <c r="E852" s="42"/>
      <c r="F852" s="42"/>
      <c r="G852" s="42"/>
      <c r="H852" s="42"/>
      <c r="I852" s="42"/>
      <c r="J852" s="42"/>
      <c r="K852" s="42"/>
      <c r="L852" s="42"/>
      <c r="M852" s="42"/>
      <c r="N852" s="42"/>
    </row>
    <row r="853" spans="1:14" x14ac:dyDescent="0.2">
      <c r="A853" s="42"/>
      <c r="B853" s="42"/>
      <c r="C853" s="42"/>
      <c r="D853" s="42"/>
      <c r="E853" s="42"/>
      <c r="F853" s="42"/>
      <c r="G853" s="42"/>
      <c r="H853" s="42"/>
      <c r="I853" s="42"/>
      <c r="J853" s="42"/>
      <c r="K853" s="42"/>
      <c r="L853" s="42"/>
      <c r="M853" s="42"/>
    </row>
    <row r="854" spans="1:14" x14ac:dyDescent="0.2">
      <c r="A854" s="42"/>
      <c r="B854" s="42"/>
      <c r="C854" s="42"/>
      <c r="D854" s="42"/>
      <c r="E854" s="42"/>
      <c r="F854" s="42"/>
      <c r="G854" s="42"/>
      <c r="H854" s="42"/>
      <c r="I854" s="42"/>
      <c r="J854" s="42"/>
      <c r="K854" s="42"/>
      <c r="L854" s="42"/>
      <c r="M854" s="42"/>
    </row>
    <row r="855" spans="1:14" x14ac:dyDescent="0.2">
      <c r="A855" s="42"/>
      <c r="B855" s="42"/>
      <c r="C855" s="42"/>
      <c r="D855" s="42"/>
      <c r="E855" s="42"/>
      <c r="F855" s="42"/>
      <c r="G855" s="42"/>
      <c r="H855" s="42"/>
      <c r="I855" s="42"/>
      <c r="J855" s="42"/>
      <c r="K855" s="42"/>
      <c r="L855" s="42"/>
      <c r="M855" s="42"/>
    </row>
    <row r="856" spans="1:14" x14ac:dyDescent="0.2">
      <c r="A856" s="42"/>
      <c r="B856" s="42"/>
      <c r="C856" s="42"/>
      <c r="D856" s="42"/>
      <c r="E856" s="42"/>
      <c r="F856" s="42"/>
      <c r="G856" s="42"/>
      <c r="H856" s="42"/>
      <c r="I856" s="42"/>
      <c r="J856" s="42"/>
      <c r="K856" s="42"/>
      <c r="L856" s="42"/>
      <c r="M856" s="42"/>
    </row>
    <row r="857" spans="1:14" x14ac:dyDescent="0.2">
      <c r="A857" s="42"/>
      <c r="B857" s="42"/>
      <c r="C857" s="42"/>
      <c r="D857" s="42"/>
      <c r="E857" s="42"/>
      <c r="F857" s="42"/>
      <c r="G857" s="42"/>
      <c r="H857" s="42"/>
      <c r="I857" s="42"/>
      <c r="J857" s="42"/>
      <c r="K857" s="42"/>
      <c r="L857" s="42"/>
      <c r="M857" s="42"/>
    </row>
    <row r="858" spans="1:14" x14ac:dyDescent="0.2">
      <c r="A858" s="42"/>
      <c r="B858" s="42"/>
      <c r="C858" s="42"/>
      <c r="D858" s="42"/>
      <c r="E858" s="42"/>
      <c r="F858" s="42"/>
      <c r="G858" s="42"/>
      <c r="H858" s="42"/>
      <c r="I858" s="42"/>
      <c r="J858" s="42"/>
      <c r="K858" s="42"/>
      <c r="L858" s="42"/>
      <c r="M858" s="42"/>
    </row>
    <row r="859" spans="1:14" x14ac:dyDescent="0.2">
      <c r="A859" s="42"/>
      <c r="B859" s="42"/>
      <c r="C859" s="42"/>
      <c r="D859" s="42"/>
      <c r="E859" s="42"/>
      <c r="F859" s="42"/>
      <c r="G859" s="42"/>
      <c r="H859" s="42"/>
      <c r="I859" s="42"/>
      <c r="J859" s="42"/>
      <c r="K859" s="42"/>
      <c r="L859" s="42"/>
      <c r="M859" s="42"/>
    </row>
    <row r="860" spans="1:14" x14ac:dyDescent="0.2">
      <c r="A860" s="42"/>
      <c r="B860" s="42"/>
      <c r="C860" s="42"/>
      <c r="D860" s="42"/>
      <c r="E860" s="42"/>
      <c r="F860" s="42"/>
      <c r="G860" s="42"/>
      <c r="H860" s="42"/>
      <c r="I860" s="42"/>
      <c r="J860" s="42"/>
      <c r="K860" s="42"/>
      <c r="L860" s="42"/>
      <c r="M860" s="42"/>
    </row>
    <row r="861" spans="1:14" x14ac:dyDescent="0.2">
      <c r="A861" s="42"/>
      <c r="B861" s="42"/>
      <c r="C861" s="42"/>
      <c r="D861" s="42"/>
      <c r="E861" s="42"/>
      <c r="F861" s="42"/>
      <c r="G861" s="42"/>
      <c r="H861" s="42"/>
      <c r="I861" s="42"/>
      <c r="J861" s="42"/>
      <c r="K861" s="42"/>
      <c r="L861" s="42"/>
      <c r="M861" s="42"/>
    </row>
    <row r="862" spans="1:14" x14ac:dyDescent="0.2">
      <c r="A862" s="42"/>
      <c r="B862" s="42"/>
      <c r="C862" s="42"/>
      <c r="D862" s="42"/>
      <c r="E862" s="42"/>
      <c r="F862" s="42"/>
      <c r="G862" s="42"/>
      <c r="H862" s="42"/>
      <c r="I862" s="42"/>
      <c r="J862" s="42"/>
      <c r="K862" s="42"/>
      <c r="L862" s="42"/>
      <c r="M862" s="42"/>
    </row>
    <row r="863" spans="1:14" x14ac:dyDescent="0.2">
      <c r="A863" s="42"/>
      <c r="B863" s="42"/>
      <c r="C863" s="42"/>
      <c r="D863" s="42"/>
      <c r="E863" s="42"/>
      <c r="F863" s="42"/>
      <c r="G863" s="42"/>
      <c r="H863" s="42"/>
      <c r="I863" s="42"/>
      <c r="J863" s="42"/>
      <c r="K863" s="42"/>
      <c r="L863" s="42"/>
      <c r="M863" s="42"/>
    </row>
    <row r="864" spans="1:14" x14ac:dyDescent="0.2">
      <c r="A864" s="42"/>
      <c r="B864" s="42"/>
      <c r="C864" s="42"/>
      <c r="D864" s="42"/>
      <c r="E864" s="42"/>
      <c r="F864" s="42"/>
      <c r="G864" s="42"/>
      <c r="H864" s="42"/>
      <c r="I864" s="42"/>
      <c r="J864" s="42"/>
      <c r="K864" s="42"/>
      <c r="L864" s="42"/>
      <c r="M864" s="42"/>
    </row>
    <row r="865" spans="1:13" x14ac:dyDescent="0.2">
      <c r="A865" s="42"/>
      <c r="B865" s="42"/>
      <c r="C865" s="42"/>
      <c r="D865" s="42"/>
      <c r="E865" s="42"/>
      <c r="F865" s="42"/>
      <c r="G865" s="42"/>
      <c r="H865" s="42"/>
      <c r="I865" s="42"/>
      <c r="J865" s="42"/>
      <c r="K865" s="42"/>
      <c r="L865" s="42"/>
      <c r="M865" s="42"/>
    </row>
    <row r="866" spans="1:13" x14ac:dyDescent="0.2">
      <c r="A866" s="42"/>
      <c r="B866" s="42"/>
      <c r="C866" s="42"/>
      <c r="D866" s="42"/>
      <c r="E866" s="42"/>
      <c r="F866" s="42"/>
      <c r="G866" s="42"/>
      <c r="H866" s="42"/>
      <c r="I866" s="42"/>
      <c r="J866" s="42"/>
      <c r="K866" s="42"/>
      <c r="L866" s="42"/>
      <c r="M866" s="42"/>
    </row>
    <row r="867" spans="1:13" x14ac:dyDescent="0.2">
      <c r="A867" s="42"/>
      <c r="B867" s="42"/>
      <c r="C867" s="42"/>
      <c r="D867" s="42"/>
      <c r="E867" s="42"/>
      <c r="F867" s="42"/>
      <c r="G867" s="42"/>
      <c r="H867" s="42"/>
      <c r="I867" s="42"/>
      <c r="J867" s="42"/>
      <c r="K867" s="42"/>
      <c r="L867" s="42"/>
      <c r="M867" s="42"/>
    </row>
    <row r="868" spans="1:13" x14ac:dyDescent="0.2">
      <c r="A868" s="42"/>
      <c r="B868" s="42"/>
      <c r="C868" s="42"/>
      <c r="D868" s="42"/>
      <c r="E868" s="42"/>
      <c r="F868" s="42"/>
      <c r="G868" s="42"/>
      <c r="H868" s="42"/>
      <c r="I868" s="42"/>
      <c r="J868" s="42"/>
      <c r="K868" s="42"/>
      <c r="L868" s="42"/>
      <c r="M868" s="42"/>
    </row>
    <row r="869" spans="1:13" x14ac:dyDescent="0.2">
      <c r="A869" s="42"/>
      <c r="B869" s="42"/>
      <c r="C869" s="42"/>
      <c r="D869" s="42"/>
      <c r="E869" s="42"/>
      <c r="F869" s="42"/>
      <c r="G869" s="42"/>
      <c r="H869" s="42"/>
      <c r="I869" s="42"/>
      <c r="J869" s="42"/>
      <c r="K869" s="42"/>
      <c r="L869" s="42"/>
      <c r="M869" s="42"/>
    </row>
    <row r="870" spans="1:13" x14ac:dyDescent="0.2">
      <c r="A870" s="42"/>
      <c r="B870" s="42"/>
      <c r="C870" s="42"/>
      <c r="D870" s="42"/>
      <c r="E870" s="42"/>
      <c r="F870" s="42"/>
      <c r="G870" s="42"/>
      <c r="H870" s="42"/>
      <c r="I870" s="42"/>
      <c r="J870" s="42"/>
      <c r="K870" s="42"/>
      <c r="L870" s="42"/>
      <c r="M870" s="42"/>
    </row>
    <row r="871" spans="1:13" x14ac:dyDescent="0.2">
      <c r="A871" s="42"/>
      <c r="B871" s="42"/>
      <c r="C871" s="42"/>
      <c r="D871" s="42"/>
      <c r="E871" s="42"/>
      <c r="F871" s="42"/>
      <c r="G871" s="42"/>
      <c r="H871" s="42"/>
      <c r="I871" s="42"/>
      <c r="J871" s="42"/>
      <c r="K871" s="42"/>
      <c r="L871" s="42"/>
      <c r="M871" s="42"/>
    </row>
    <row r="872" spans="1:13" x14ac:dyDescent="0.2">
      <c r="A872" s="42"/>
      <c r="B872" s="42"/>
      <c r="C872" s="42"/>
      <c r="D872" s="42"/>
      <c r="E872" s="42"/>
      <c r="F872" s="42"/>
      <c r="G872" s="42"/>
      <c r="H872" s="42"/>
      <c r="I872" s="42"/>
      <c r="J872" s="42"/>
      <c r="K872" s="42"/>
      <c r="L872" s="42"/>
      <c r="M872" s="42"/>
    </row>
    <row r="873" spans="1:13" x14ac:dyDescent="0.2">
      <c r="A873" s="42"/>
      <c r="B873" s="42"/>
      <c r="C873" s="42"/>
      <c r="D873" s="42"/>
      <c r="E873" s="42"/>
      <c r="F873" s="42"/>
      <c r="G873" s="42"/>
      <c r="H873" s="42"/>
      <c r="I873" s="42"/>
      <c r="J873" s="42"/>
      <c r="K873" s="42"/>
      <c r="L873" s="42"/>
      <c r="M873" s="42"/>
    </row>
    <row r="874" spans="1:13" x14ac:dyDescent="0.2">
      <c r="A874" s="42"/>
      <c r="B874" s="42"/>
      <c r="C874" s="42"/>
      <c r="D874" s="42"/>
      <c r="E874" s="42"/>
      <c r="F874" s="42"/>
      <c r="G874" s="42"/>
      <c r="H874" s="42"/>
      <c r="I874" s="42"/>
      <c r="J874" s="42"/>
      <c r="K874" s="42"/>
      <c r="L874" s="42"/>
      <c r="M874" s="42"/>
    </row>
    <row r="875" spans="1:13" x14ac:dyDescent="0.2">
      <c r="A875" s="42"/>
      <c r="B875" s="42"/>
      <c r="C875" s="42"/>
      <c r="D875" s="42"/>
      <c r="E875" s="42"/>
      <c r="F875" s="42"/>
      <c r="G875" s="42"/>
      <c r="H875" s="42"/>
      <c r="I875" s="42"/>
      <c r="J875" s="42"/>
      <c r="K875" s="42"/>
      <c r="L875" s="42"/>
      <c r="M875" s="42"/>
    </row>
    <row r="876" spans="1:13" x14ac:dyDescent="0.2">
      <c r="A876" s="42"/>
      <c r="B876" s="42"/>
      <c r="C876" s="42"/>
      <c r="D876" s="42"/>
      <c r="E876" s="42"/>
      <c r="F876" s="42"/>
      <c r="G876" s="42"/>
      <c r="H876" s="42"/>
      <c r="I876" s="42"/>
      <c r="J876" s="42"/>
      <c r="K876" s="42"/>
      <c r="L876" s="42"/>
      <c r="M876" s="42"/>
    </row>
    <row r="877" spans="1:13" x14ac:dyDescent="0.2">
      <c r="A877" s="42"/>
      <c r="B877" s="42"/>
      <c r="C877" s="42"/>
      <c r="D877" s="42"/>
      <c r="E877" s="42"/>
      <c r="F877" s="42"/>
      <c r="G877" s="42"/>
      <c r="H877" s="42"/>
      <c r="I877" s="42"/>
      <c r="J877" s="42"/>
      <c r="K877" s="42"/>
      <c r="L877" s="42"/>
      <c r="M877" s="42"/>
    </row>
    <row r="878" spans="1:13" x14ac:dyDescent="0.2">
      <c r="A878" s="42"/>
      <c r="B878" s="42"/>
      <c r="C878" s="42"/>
      <c r="D878" s="42"/>
      <c r="E878" s="42"/>
      <c r="F878" s="42"/>
      <c r="G878" s="42"/>
      <c r="H878" s="42"/>
      <c r="I878" s="42"/>
      <c r="J878" s="42"/>
      <c r="K878" s="42"/>
      <c r="L878" s="42"/>
      <c r="M878" s="42"/>
    </row>
    <row r="879" spans="1:13" x14ac:dyDescent="0.2">
      <c r="A879" s="42"/>
      <c r="B879" s="42"/>
      <c r="C879" s="42"/>
      <c r="D879" s="42"/>
      <c r="E879" s="42"/>
      <c r="F879" s="42"/>
      <c r="G879" s="42"/>
      <c r="H879" s="42"/>
      <c r="I879" s="42"/>
      <c r="J879" s="42"/>
      <c r="K879" s="42"/>
      <c r="L879" s="42"/>
      <c r="M879" s="42"/>
    </row>
    <row r="880" spans="1:13" x14ac:dyDescent="0.2">
      <c r="A880" s="42"/>
      <c r="B880" s="42"/>
      <c r="C880" s="42"/>
      <c r="D880" s="42"/>
      <c r="E880" s="42"/>
      <c r="F880" s="42"/>
      <c r="G880" s="42"/>
      <c r="H880" s="42"/>
      <c r="I880" s="42"/>
      <c r="J880" s="42"/>
      <c r="K880" s="42"/>
      <c r="L880" s="42"/>
      <c r="M880" s="42"/>
    </row>
    <row r="881" spans="1:13" x14ac:dyDescent="0.2">
      <c r="A881" s="42"/>
      <c r="B881" s="42"/>
      <c r="C881" s="42"/>
      <c r="D881" s="42"/>
      <c r="E881" s="42"/>
      <c r="F881" s="42"/>
      <c r="G881" s="42"/>
      <c r="H881" s="42"/>
      <c r="I881" s="42"/>
      <c r="J881" s="42"/>
      <c r="K881" s="42"/>
      <c r="L881" s="42"/>
      <c r="M881" s="42"/>
    </row>
    <row r="882" spans="1:13" x14ac:dyDescent="0.2">
      <c r="A882" s="42"/>
      <c r="B882" s="42"/>
      <c r="C882" s="42"/>
      <c r="D882" s="42"/>
      <c r="E882" s="42"/>
      <c r="F882" s="42"/>
      <c r="G882" s="42"/>
      <c r="H882" s="42"/>
      <c r="I882" s="42"/>
      <c r="J882" s="42"/>
      <c r="K882" s="42"/>
      <c r="L882" s="42"/>
      <c r="M882" s="42"/>
    </row>
    <row r="883" spans="1:13" x14ac:dyDescent="0.2">
      <c r="A883" s="42"/>
      <c r="B883" s="42"/>
      <c r="C883" s="42"/>
      <c r="D883" s="42"/>
      <c r="E883" s="42"/>
      <c r="F883" s="42"/>
      <c r="G883" s="42"/>
      <c r="H883" s="42"/>
      <c r="I883" s="42"/>
      <c r="J883" s="42"/>
      <c r="K883" s="42"/>
      <c r="L883" s="42"/>
      <c r="M883" s="42"/>
    </row>
    <row r="884" spans="1:13" x14ac:dyDescent="0.2">
      <c r="A884" s="42"/>
      <c r="B884" s="42"/>
      <c r="C884" s="42"/>
      <c r="D884" s="42"/>
      <c r="E884" s="42"/>
      <c r="F884" s="42"/>
      <c r="G884" s="42"/>
      <c r="H884" s="42"/>
      <c r="I884" s="42"/>
      <c r="J884" s="42"/>
      <c r="K884" s="42"/>
      <c r="L884" s="42"/>
      <c r="M884" s="42"/>
    </row>
    <row r="885" spans="1:13" x14ac:dyDescent="0.2">
      <c r="A885" s="42"/>
      <c r="B885" s="42"/>
      <c r="C885" s="42"/>
      <c r="D885" s="42"/>
      <c r="E885" s="42"/>
      <c r="F885" s="42"/>
      <c r="G885" s="42"/>
      <c r="H885" s="42"/>
      <c r="I885" s="42"/>
      <c r="J885" s="42"/>
      <c r="K885" s="42"/>
      <c r="L885" s="42"/>
      <c r="M885" s="42"/>
    </row>
    <row r="886" spans="1:13" x14ac:dyDescent="0.2">
      <c r="A886" s="42"/>
      <c r="B886" s="42"/>
      <c r="C886" s="42"/>
      <c r="D886" s="42"/>
      <c r="E886" s="42"/>
      <c r="F886" s="42"/>
      <c r="G886" s="42"/>
      <c r="H886" s="42"/>
      <c r="I886" s="42"/>
      <c r="J886" s="42"/>
      <c r="K886" s="42"/>
      <c r="L886" s="42"/>
      <c r="M886" s="42"/>
    </row>
    <row r="887" spans="1:13" x14ac:dyDescent="0.2">
      <c r="A887" s="42"/>
      <c r="B887" s="42"/>
      <c r="C887" s="42"/>
      <c r="D887" s="42"/>
      <c r="E887" s="42"/>
      <c r="F887" s="42"/>
      <c r="G887" s="42"/>
      <c r="H887" s="42"/>
      <c r="I887" s="42"/>
      <c r="J887" s="42"/>
      <c r="K887" s="42"/>
      <c r="L887" s="42"/>
      <c r="M887" s="42"/>
    </row>
    <row r="888" spans="1:13" x14ac:dyDescent="0.2">
      <c r="A888" s="42"/>
      <c r="B888" s="42"/>
      <c r="C888" s="42"/>
      <c r="D888" s="42"/>
      <c r="E888" s="42"/>
      <c r="F888" s="42"/>
      <c r="G888" s="42"/>
      <c r="H888" s="42"/>
      <c r="I888" s="42"/>
      <c r="J888" s="42"/>
      <c r="K888" s="42"/>
      <c r="L888" s="42"/>
      <c r="M888" s="42"/>
    </row>
    <row r="889" spans="1:13" x14ac:dyDescent="0.2">
      <c r="A889" s="42"/>
      <c r="B889" s="42"/>
      <c r="C889" s="42"/>
      <c r="D889" s="42"/>
      <c r="E889" s="42"/>
      <c r="F889" s="42"/>
      <c r="G889" s="42"/>
      <c r="H889" s="42"/>
      <c r="I889" s="42"/>
      <c r="J889" s="42"/>
      <c r="K889" s="42"/>
      <c r="L889" s="42"/>
      <c r="M889" s="42"/>
    </row>
    <row r="890" spans="1:13" x14ac:dyDescent="0.2">
      <c r="A890" s="42"/>
      <c r="B890" s="42"/>
      <c r="C890" s="42"/>
      <c r="D890" s="42"/>
      <c r="E890" s="42"/>
      <c r="F890" s="42"/>
      <c r="G890" s="42"/>
      <c r="H890" s="42"/>
      <c r="I890" s="42"/>
      <c r="J890" s="42"/>
      <c r="K890" s="42"/>
      <c r="L890" s="42"/>
      <c r="M890" s="42"/>
    </row>
    <row r="891" spans="1:13" x14ac:dyDescent="0.2">
      <c r="A891" s="42"/>
      <c r="B891" s="42"/>
      <c r="C891" s="42"/>
      <c r="D891" s="42"/>
      <c r="E891" s="42"/>
      <c r="F891" s="42"/>
      <c r="G891" s="42"/>
      <c r="H891" s="42"/>
      <c r="I891" s="42"/>
      <c r="J891" s="42"/>
      <c r="K891" s="42"/>
      <c r="L891" s="42"/>
      <c r="M891" s="42"/>
    </row>
    <row r="892" spans="1:13" x14ac:dyDescent="0.2">
      <c r="A892" s="42"/>
      <c r="B892" s="42"/>
      <c r="C892" s="42"/>
      <c r="D892" s="42"/>
      <c r="E892" s="42"/>
      <c r="F892" s="42"/>
      <c r="G892" s="42"/>
      <c r="H892" s="42"/>
      <c r="I892" s="42"/>
      <c r="J892" s="42"/>
      <c r="K892" s="42"/>
      <c r="L892" s="42"/>
      <c r="M892" s="42"/>
    </row>
    <row r="893" spans="1:13" x14ac:dyDescent="0.2">
      <c r="A893" s="42"/>
      <c r="B893" s="42"/>
      <c r="C893" s="42"/>
      <c r="D893" s="42"/>
      <c r="E893" s="42"/>
      <c r="F893" s="42"/>
      <c r="G893" s="42"/>
      <c r="H893" s="42"/>
      <c r="I893" s="42"/>
      <c r="J893" s="42"/>
      <c r="K893" s="42"/>
      <c r="L893" s="42"/>
      <c r="M893" s="42"/>
    </row>
    <row r="894" spans="1:13" x14ac:dyDescent="0.2">
      <c r="A894" s="42"/>
      <c r="B894" s="42"/>
      <c r="C894" s="42"/>
      <c r="D894" s="42"/>
      <c r="E894" s="42"/>
      <c r="F894" s="42"/>
      <c r="G894" s="42"/>
      <c r="H894" s="42"/>
      <c r="I894" s="42"/>
      <c r="J894" s="42"/>
      <c r="K894" s="42"/>
      <c r="L894" s="42"/>
      <c r="M894" s="42"/>
    </row>
    <row r="895" spans="1:13" x14ac:dyDescent="0.2">
      <c r="A895" s="42"/>
      <c r="B895" s="42"/>
      <c r="C895" s="42"/>
      <c r="D895" s="42"/>
      <c r="E895" s="42"/>
      <c r="F895" s="42"/>
      <c r="G895" s="42"/>
      <c r="H895" s="42"/>
      <c r="I895" s="42"/>
      <c r="J895" s="42"/>
      <c r="K895" s="42"/>
      <c r="L895" s="42"/>
      <c r="M895" s="42"/>
    </row>
    <row r="896" spans="1:13" x14ac:dyDescent="0.2">
      <c r="A896" s="42"/>
      <c r="B896" s="42"/>
      <c r="C896" s="42"/>
      <c r="D896" s="42"/>
      <c r="E896" s="42"/>
      <c r="F896" s="42"/>
      <c r="G896" s="42"/>
      <c r="H896" s="42"/>
      <c r="I896" s="42"/>
      <c r="J896" s="42"/>
      <c r="K896" s="42"/>
      <c r="L896" s="42"/>
      <c r="M896" s="42"/>
    </row>
    <row r="897" spans="1:13" x14ac:dyDescent="0.2">
      <c r="A897" s="42"/>
      <c r="B897" s="42"/>
      <c r="C897" s="42"/>
      <c r="D897" s="42"/>
      <c r="E897" s="42"/>
      <c r="F897" s="42"/>
      <c r="G897" s="42"/>
      <c r="H897" s="42"/>
      <c r="I897" s="42"/>
      <c r="J897" s="42"/>
      <c r="K897" s="42"/>
      <c r="L897" s="42"/>
      <c r="M897" s="42"/>
    </row>
    <row r="898" spans="1:13" x14ac:dyDescent="0.2">
      <c r="A898" s="42"/>
      <c r="B898" s="42"/>
      <c r="C898" s="42"/>
      <c r="D898" s="42"/>
      <c r="E898" s="42"/>
      <c r="F898" s="42"/>
      <c r="G898" s="42"/>
      <c r="H898" s="42"/>
      <c r="I898" s="42"/>
      <c r="J898" s="42"/>
      <c r="K898" s="42"/>
      <c r="L898" s="42"/>
      <c r="M898" s="42"/>
    </row>
    <row r="899" spans="1:13" x14ac:dyDescent="0.2">
      <c r="A899" s="42"/>
      <c r="B899" s="42"/>
      <c r="C899" s="42"/>
      <c r="D899" s="42"/>
      <c r="E899" s="42"/>
      <c r="F899" s="42"/>
      <c r="G899" s="42"/>
      <c r="H899" s="42"/>
      <c r="I899" s="42"/>
      <c r="J899" s="42"/>
      <c r="K899" s="42"/>
      <c r="L899" s="42"/>
      <c r="M899" s="42"/>
    </row>
    <row r="900" spans="1:13" x14ac:dyDescent="0.2">
      <c r="A900" s="42"/>
      <c r="B900" s="42"/>
      <c r="C900" s="42"/>
      <c r="D900" s="42"/>
      <c r="E900" s="42"/>
      <c r="F900" s="42"/>
      <c r="G900" s="42"/>
      <c r="H900" s="42"/>
      <c r="I900" s="42"/>
      <c r="J900" s="42"/>
      <c r="K900" s="42"/>
      <c r="L900" s="42"/>
      <c r="M900" s="42"/>
    </row>
    <row r="901" spans="1:13" x14ac:dyDescent="0.2">
      <c r="A901" s="42"/>
      <c r="B901" s="42"/>
      <c r="C901" s="42"/>
      <c r="D901" s="42"/>
      <c r="E901" s="42"/>
      <c r="F901" s="42"/>
      <c r="G901" s="42"/>
      <c r="H901" s="42"/>
      <c r="I901" s="42"/>
      <c r="J901" s="42"/>
      <c r="K901" s="42"/>
      <c r="L901" s="42"/>
      <c r="M901" s="42"/>
    </row>
    <row r="902" spans="1:13" x14ac:dyDescent="0.2">
      <c r="A902" s="42"/>
      <c r="B902" s="42"/>
      <c r="C902" s="42"/>
      <c r="D902" s="42"/>
      <c r="E902" s="42"/>
      <c r="F902" s="42"/>
      <c r="G902" s="42"/>
      <c r="H902" s="42"/>
      <c r="I902" s="42"/>
      <c r="J902" s="42"/>
      <c r="K902" s="42"/>
      <c r="L902" s="42"/>
      <c r="M902" s="42"/>
    </row>
    <row r="903" spans="1:13" x14ac:dyDescent="0.2">
      <c r="A903" s="42"/>
      <c r="B903" s="42"/>
      <c r="C903" s="42"/>
      <c r="D903" s="42"/>
      <c r="E903" s="42"/>
      <c r="F903" s="42"/>
      <c r="G903" s="42"/>
      <c r="H903" s="42"/>
      <c r="I903" s="42"/>
      <c r="J903" s="42"/>
      <c r="K903" s="42"/>
      <c r="L903" s="42"/>
      <c r="M903" s="42"/>
    </row>
    <row r="904" spans="1:13" x14ac:dyDescent="0.2">
      <c r="A904" s="42"/>
      <c r="B904" s="42"/>
      <c r="C904" s="42"/>
      <c r="D904" s="42"/>
      <c r="E904" s="42"/>
      <c r="F904" s="42"/>
      <c r="G904" s="42"/>
      <c r="H904" s="42"/>
      <c r="I904" s="42"/>
      <c r="J904" s="42"/>
      <c r="K904" s="42"/>
      <c r="L904" s="42"/>
      <c r="M904" s="42"/>
    </row>
    <row r="905" spans="1:13" x14ac:dyDescent="0.2">
      <c r="A905" s="42"/>
      <c r="B905" s="42"/>
      <c r="C905" s="42"/>
      <c r="D905" s="42"/>
      <c r="E905" s="42"/>
      <c r="F905" s="42"/>
      <c r="G905" s="42"/>
      <c r="H905" s="42"/>
      <c r="I905" s="42"/>
      <c r="J905" s="42"/>
      <c r="K905" s="42"/>
      <c r="L905" s="42"/>
      <c r="M905" s="42"/>
    </row>
    <row r="906" spans="1:13" x14ac:dyDescent="0.2">
      <c r="A906" s="42"/>
      <c r="B906" s="42"/>
      <c r="C906" s="42"/>
      <c r="D906" s="42"/>
      <c r="E906" s="42"/>
      <c r="F906" s="42"/>
      <c r="G906" s="42"/>
      <c r="H906" s="42"/>
      <c r="I906" s="42"/>
      <c r="J906" s="42"/>
      <c r="K906" s="42"/>
      <c r="L906" s="42"/>
      <c r="M906" s="42"/>
    </row>
    <row r="907" spans="1:13" x14ac:dyDescent="0.2">
      <c r="A907" s="42"/>
      <c r="B907" s="42"/>
      <c r="C907" s="42"/>
      <c r="D907" s="42"/>
      <c r="E907" s="42"/>
      <c r="F907" s="42"/>
      <c r="G907" s="42"/>
      <c r="H907" s="42"/>
      <c r="I907" s="42"/>
      <c r="J907" s="42"/>
      <c r="K907" s="42"/>
      <c r="L907" s="42"/>
      <c r="M907" s="42"/>
    </row>
    <row r="908" spans="1:13" x14ac:dyDescent="0.2">
      <c r="A908" s="42"/>
      <c r="B908" s="42"/>
      <c r="C908" s="42"/>
      <c r="D908" s="42"/>
      <c r="E908" s="42"/>
      <c r="F908" s="42"/>
      <c r="G908" s="42"/>
      <c r="H908" s="42"/>
      <c r="I908" s="42"/>
      <c r="J908" s="42"/>
      <c r="K908" s="42"/>
      <c r="L908" s="42"/>
      <c r="M908" s="42"/>
    </row>
    <row r="909" spans="1:13" x14ac:dyDescent="0.2">
      <c r="A909" s="42"/>
      <c r="B909" s="42"/>
      <c r="C909" s="42"/>
      <c r="D909" s="42"/>
      <c r="E909" s="42"/>
      <c r="F909" s="42"/>
      <c r="G909" s="42"/>
      <c r="H909" s="42"/>
      <c r="I909" s="42"/>
      <c r="J909" s="42"/>
      <c r="K909" s="42"/>
      <c r="L909" s="42"/>
      <c r="M909" s="42"/>
    </row>
    <row r="910" spans="1:13" x14ac:dyDescent="0.2">
      <c r="A910" s="42"/>
      <c r="B910" s="42"/>
      <c r="C910" s="42"/>
      <c r="D910" s="42"/>
      <c r="E910" s="42"/>
      <c r="F910" s="42"/>
      <c r="G910" s="42"/>
      <c r="H910" s="42"/>
      <c r="I910" s="42"/>
      <c r="J910" s="42"/>
      <c r="K910" s="42"/>
      <c r="L910" s="42"/>
      <c r="M910" s="42"/>
    </row>
    <row r="911" spans="1:13" x14ac:dyDescent="0.2">
      <c r="A911" s="42"/>
      <c r="B911" s="42"/>
      <c r="C911" s="42"/>
      <c r="D911" s="42"/>
      <c r="E911" s="42"/>
      <c r="F911" s="42"/>
      <c r="G911" s="42"/>
      <c r="H911" s="42"/>
      <c r="I911" s="42"/>
      <c r="J911" s="42"/>
      <c r="K911" s="42"/>
      <c r="L911" s="42"/>
      <c r="M911" s="42"/>
    </row>
    <row r="912" spans="1:13" x14ac:dyDescent="0.2">
      <c r="A912" s="42"/>
      <c r="B912" s="42"/>
      <c r="C912" s="42"/>
      <c r="D912" s="42"/>
      <c r="E912" s="42"/>
      <c r="F912" s="42"/>
      <c r="G912" s="42"/>
      <c r="H912" s="42"/>
      <c r="I912" s="42"/>
      <c r="J912" s="42"/>
      <c r="K912" s="42"/>
      <c r="L912" s="42"/>
      <c r="M912" s="42"/>
    </row>
    <row r="913" spans="1:13" x14ac:dyDescent="0.2">
      <c r="A913" s="42"/>
      <c r="B913" s="42"/>
      <c r="C913" s="42"/>
      <c r="D913" s="42"/>
      <c r="E913" s="42"/>
      <c r="F913" s="42"/>
      <c r="G913" s="42"/>
      <c r="H913" s="42"/>
      <c r="I913" s="42"/>
      <c r="J913" s="42"/>
      <c r="K913" s="42"/>
      <c r="L913" s="42"/>
      <c r="M913" s="42"/>
    </row>
    <row r="914" spans="1:13" x14ac:dyDescent="0.2">
      <c r="A914" s="42"/>
      <c r="B914" s="42"/>
      <c r="C914" s="42"/>
      <c r="D914" s="42"/>
      <c r="E914" s="42"/>
      <c r="F914" s="42"/>
      <c r="G914" s="42"/>
      <c r="H914" s="42"/>
      <c r="I914" s="42"/>
      <c r="J914" s="42"/>
      <c r="K914" s="42"/>
      <c r="L914" s="42"/>
      <c r="M914" s="42"/>
    </row>
    <row r="915" spans="1:13" x14ac:dyDescent="0.2">
      <c r="A915" s="42"/>
      <c r="B915" s="42"/>
      <c r="C915" s="42"/>
      <c r="D915" s="42"/>
      <c r="E915" s="42"/>
      <c r="F915" s="42"/>
      <c r="G915" s="42"/>
      <c r="H915" s="42"/>
      <c r="I915" s="42"/>
      <c r="J915" s="42"/>
      <c r="K915" s="42"/>
      <c r="L915" s="42"/>
      <c r="M915" s="42"/>
    </row>
    <row r="916" spans="1:13" x14ac:dyDescent="0.2">
      <c r="A916" s="42"/>
      <c r="B916" s="42"/>
      <c r="C916" s="42"/>
      <c r="D916" s="42"/>
      <c r="E916" s="42"/>
      <c r="F916" s="42"/>
      <c r="G916" s="42"/>
      <c r="H916" s="42"/>
      <c r="I916" s="42"/>
      <c r="J916" s="42"/>
      <c r="K916" s="42"/>
      <c r="L916" s="42"/>
      <c r="M916" s="42"/>
    </row>
    <row r="917" spans="1:13" x14ac:dyDescent="0.2">
      <c r="A917" s="42"/>
      <c r="B917" s="42"/>
      <c r="C917" s="42"/>
      <c r="D917" s="42"/>
      <c r="E917" s="42"/>
      <c r="F917" s="42"/>
      <c r="G917" s="42"/>
      <c r="H917" s="42"/>
      <c r="I917" s="42"/>
      <c r="J917" s="42"/>
      <c r="K917" s="42"/>
      <c r="L917" s="42"/>
      <c r="M917" s="42"/>
    </row>
    <row r="918" spans="1:13" x14ac:dyDescent="0.2">
      <c r="A918" s="42"/>
      <c r="B918" s="42"/>
      <c r="C918" s="42"/>
      <c r="D918" s="42"/>
      <c r="E918" s="42"/>
      <c r="F918" s="42"/>
      <c r="G918" s="42"/>
      <c r="H918" s="42"/>
      <c r="I918" s="42"/>
      <c r="J918" s="42"/>
      <c r="K918" s="42"/>
      <c r="L918" s="42"/>
      <c r="M918" s="42"/>
    </row>
    <row r="919" spans="1:13" x14ac:dyDescent="0.2">
      <c r="A919" s="42"/>
      <c r="B919" s="42"/>
      <c r="C919" s="42"/>
      <c r="D919" s="42"/>
      <c r="E919" s="42"/>
      <c r="F919" s="42"/>
      <c r="G919" s="42"/>
      <c r="H919" s="42"/>
      <c r="I919" s="42"/>
      <c r="J919" s="42"/>
      <c r="K919" s="42"/>
      <c r="L919" s="42"/>
      <c r="M919" s="42"/>
    </row>
    <row r="920" spans="1:13" x14ac:dyDescent="0.2">
      <c r="A920" s="42"/>
      <c r="B920" s="42"/>
      <c r="C920" s="42"/>
      <c r="D920" s="42"/>
      <c r="E920" s="42"/>
      <c r="F920" s="42"/>
      <c r="G920" s="42"/>
      <c r="H920" s="42"/>
      <c r="I920" s="42"/>
      <c r="J920" s="42"/>
      <c r="K920" s="42"/>
      <c r="L920" s="42"/>
      <c r="M920" s="42"/>
    </row>
    <row r="921" spans="1:13" x14ac:dyDescent="0.2">
      <c r="A921" s="42"/>
      <c r="B921" s="42"/>
      <c r="C921" s="42"/>
      <c r="D921" s="42"/>
      <c r="E921" s="42"/>
      <c r="F921" s="42"/>
      <c r="G921" s="42"/>
      <c r="H921" s="42"/>
      <c r="I921" s="42"/>
      <c r="J921" s="42"/>
      <c r="K921" s="42"/>
      <c r="L921" s="42"/>
      <c r="M921" s="42"/>
    </row>
    <row r="922" spans="1:13" x14ac:dyDescent="0.2">
      <c r="A922" s="42"/>
      <c r="B922" s="42"/>
      <c r="C922" s="42"/>
      <c r="D922" s="42"/>
      <c r="E922" s="42"/>
      <c r="F922" s="42"/>
      <c r="G922" s="42"/>
      <c r="H922" s="42"/>
      <c r="I922" s="42"/>
      <c r="J922" s="42"/>
      <c r="K922" s="42"/>
      <c r="L922" s="42"/>
      <c r="M922" s="42"/>
    </row>
    <row r="923" spans="1:13" x14ac:dyDescent="0.2">
      <c r="A923" s="42"/>
      <c r="B923" s="42"/>
      <c r="C923" s="42"/>
      <c r="D923" s="42"/>
      <c r="E923" s="42"/>
      <c r="F923" s="42"/>
      <c r="G923" s="42"/>
      <c r="H923" s="42"/>
      <c r="I923" s="42"/>
      <c r="J923" s="42"/>
      <c r="K923" s="42"/>
      <c r="L923" s="42"/>
      <c r="M923" s="42"/>
    </row>
    <row r="924" spans="1:13" x14ac:dyDescent="0.2">
      <c r="A924" s="42"/>
      <c r="B924" s="42"/>
      <c r="C924" s="42"/>
      <c r="D924" s="42"/>
      <c r="E924" s="42"/>
      <c r="F924" s="42"/>
      <c r="G924" s="42"/>
      <c r="H924" s="42"/>
      <c r="I924" s="42"/>
      <c r="J924" s="42"/>
      <c r="K924" s="42"/>
      <c r="L924" s="42"/>
      <c r="M924" s="42"/>
    </row>
    <row r="925" spans="1:13" x14ac:dyDescent="0.2">
      <c r="A925" s="42"/>
      <c r="B925" s="42"/>
      <c r="C925" s="42"/>
      <c r="D925" s="42"/>
      <c r="E925" s="42"/>
      <c r="F925" s="42"/>
      <c r="G925" s="42"/>
      <c r="H925" s="42"/>
      <c r="I925" s="42"/>
      <c r="J925" s="42"/>
      <c r="K925" s="42"/>
      <c r="L925" s="42"/>
      <c r="M925" s="42"/>
    </row>
    <row r="926" spans="1:13" x14ac:dyDescent="0.2">
      <c r="A926" s="42"/>
      <c r="B926" s="42"/>
      <c r="C926" s="42"/>
      <c r="D926" s="42"/>
      <c r="E926" s="42"/>
      <c r="F926" s="42"/>
      <c r="G926" s="42"/>
      <c r="H926" s="42"/>
      <c r="I926" s="42"/>
      <c r="J926" s="42"/>
      <c r="K926" s="42"/>
      <c r="L926" s="42"/>
      <c r="M926" s="42"/>
    </row>
    <row r="927" spans="1:13" x14ac:dyDescent="0.2">
      <c r="A927" s="42"/>
      <c r="B927" s="42"/>
      <c r="C927" s="42"/>
      <c r="D927" s="42"/>
      <c r="E927" s="42"/>
      <c r="F927" s="42"/>
      <c r="G927" s="42"/>
      <c r="H927" s="42"/>
      <c r="I927" s="42"/>
      <c r="J927" s="42"/>
      <c r="K927" s="42"/>
      <c r="L927" s="42"/>
      <c r="M927" s="42"/>
    </row>
    <row r="928" spans="1:13" x14ac:dyDescent="0.2">
      <c r="A928" s="42"/>
      <c r="B928" s="42"/>
      <c r="C928" s="42"/>
      <c r="D928" s="42"/>
      <c r="E928" s="42"/>
      <c r="F928" s="42"/>
      <c r="G928" s="42"/>
      <c r="H928" s="42"/>
      <c r="I928" s="42"/>
      <c r="J928" s="42"/>
      <c r="K928" s="42"/>
      <c r="L928" s="42"/>
      <c r="M928" s="42"/>
    </row>
    <row r="929" spans="1:13" x14ac:dyDescent="0.2">
      <c r="A929" s="42"/>
      <c r="B929" s="42"/>
      <c r="C929" s="42"/>
      <c r="D929" s="42"/>
      <c r="E929" s="42"/>
      <c r="F929" s="42"/>
      <c r="G929" s="42"/>
      <c r="H929" s="42"/>
      <c r="I929" s="42"/>
      <c r="J929" s="42"/>
      <c r="K929" s="42"/>
      <c r="L929" s="42"/>
      <c r="M929" s="42"/>
    </row>
    <row r="930" spans="1:13" x14ac:dyDescent="0.2">
      <c r="A930" s="42"/>
      <c r="B930" s="42"/>
      <c r="C930" s="42"/>
      <c r="D930" s="42"/>
      <c r="E930" s="42"/>
      <c r="F930" s="42"/>
      <c r="G930" s="42"/>
      <c r="H930" s="42"/>
      <c r="I930" s="42"/>
      <c r="J930" s="42"/>
      <c r="K930" s="42"/>
      <c r="L930" s="42"/>
      <c r="M930" s="42"/>
    </row>
    <row r="931" spans="1:13" x14ac:dyDescent="0.2">
      <c r="A931" s="42"/>
      <c r="B931" s="42"/>
      <c r="C931" s="42"/>
      <c r="D931" s="42"/>
      <c r="E931" s="42"/>
      <c r="F931" s="42"/>
      <c r="G931" s="42"/>
      <c r="H931" s="42"/>
      <c r="I931" s="42"/>
      <c r="J931" s="42"/>
      <c r="K931" s="42"/>
      <c r="L931" s="42"/>
      <c r="M931" s="42"/>
    </row>
    <row r="932" spans="1:13" x14ac:dyDescent="0.2">
      <c r="A932" s="42"/>
      <c r="B932" s="42"/>
      <c r="C932" s="42"/>
      <c r="D932" s="42"/>
      <c r="E932" s="42"/>
      <c r="F932" s="42"/>
      <c r="G932" s="42"/>
      <c r="H932" s="42"/>
      <c r="I932" s="42"/>
      <c r="J932" s="42"/>
      <c r="K932" s="42"/>
      <c r="L932" s="42"/>
      <c r="M932" s="42"/>
    </row>
    <row r="933" spans="1:13" x14ac:dyDescent="0.2">
      <c r="A933" s="42"/>
      <c r="B933" s="42"/>
      <c r="C933" s="42"/>
      <c r="D933" s="42"/>
      <c r="E933" s="42"/>
      <c r="F933" s="42"/>
      <c r="G933" s="42"/>
      <c r="H933" s="42"/>
      <c r="I933" s="42"/>
      <c r="J933" s="42"/>
      <c r="K933" s="42"/>
      <c r="L933" s="42"/>
      <c r="M933" s="42"/>
    </row>
    <row r="934" spans="1:13" x14ac:dyDescent="0.2">
      <c r="A934" s="42"/>
      <c r="B934" s="42"/>
      <c r="C934" s="42"/>
      <c r="D934" s="42"/>
      <c r="E934" s="42"/>
      <c r="F934" s="42"/>
      <c r="G934" s="42"/>
      <c r="H934" s="42"/>
      <c r="I934" s="42"/>
      <c r="J934" s="42"/>
      <c r="K934" s="42"/>
      <c r="L934" s="42"/>
      <c r="M934" s="42"/>
    </row>
    <row r="935" spans="1:13" x14ac:dyDescent="0.2">
      <c r="A935" s="42"/>
      <c r="B935" s="42"/>
      <c r="C935" s="42"/>
      <c r="D935" s="42"/>
      <c r="E935" s="42"/>
      <c r="F935" s="42"/>
      <c r="G935" s="42"/>
      <c r="H935" s="42"/>
      <c r="I935" s="42"/>
      <c r="J935" s="42"/>
      <c r="K935" s="42"/>
      <c r="L935" s="42"/>
      <c r="M935" s="42"/>
    </row>
    <row r="936" spans="1:13" x14ac:dyDescent="0.2">
      <c r="A936" s="42"/>
      <c r="B936" s="42"/>
      <c r="C936" s="42"/>
      <c r="D936" s="42"/>
      <c r="E936" s="42"/>
      <c r="F936" s="42"/>
      <c r="G936" s="42"/>
      <c r="H936" s="42"/>
      <c r="I936" s="42"/>
      <c r="J936" s="42"/>
      <c r="K936" s="42"/>
      <c r="L936" s="42"/>
      <c r="M936" s="42"/>
    </row>
    <row r="937" spans="1:13" x14ac:dyDescent="0.2">
      <c r="A937" s="42"/>
      <c r="B937" s="42"/>
      <c r="C937" s="42"/>
      <c r="D937" s="42"/>
      <c r="E937" s="42"/>
      <c r="F937" s="42"/>
      <c r="G937" s="42"/>
      <c r="H937" s="42"/>
      <c r="I937" s="42"/>
      <c r="J937" s="42"/>
      <c r="K937" s="42"/>
      <c r="L937" s="42"/>
      <c r="M937" s="42"/>
    </row>
    <row r="938" spans="1:13" x14ac:dyDescent="0.2">
      <c r="A938" s="42"/>
      <c r="B938" s="42"/>
      <c r="C938" s="42"/>
      <c r="D938" s="42"/>
      <c r="E938" s="42"/>
      <c r="F938" s="42"/>
      <c r="G938" s="42"/>
      <c r="H938" s="42"/>
      <c r="I938" s="42"/>
      <c r="J938" s="42"/>
      <c r="K938" s="42"/>
      <c r="L938" s="42"/>
      <c r="M938" s="42"/>
    </row>
    <row r="939" spans="1:13" x14ac:dyDescent="0.2">
      <c r="A939" s="42"/>
      <c r="B939" s="42"/>
      <c r="C939" s="42"/>
      <c r="D939" s="42"/>
      <c r="E939" s="42"/>
      <c r="F939" s="42"/>
      <c r="G939" s="42"/>
      <c r="H939" s="42"/>
      <c r="I939" s="42"/>
      <c r="J939" s="42"/>
      <c r="K939" s="42"/>
      <c r="L939" s="42"/>
      <c r="M939" s="42"/>
    </row>
    <row r="940" spans="1:13" x14ac:dyDescent="0.2">
      <c r="A940" s="42"/>
      <c r="B940" s="42"/>
      <c r="C940" s="42"/>
      <c r="D940" s="42"/>
      <c r="E940" s="42"/>
      <c r="F940" s="42"/>
      <c r="G940" s="42"/>
      <c r="H940" s="42"/>
      <c r="I940" s="42"/>
      <c r="J940" s="42"/>
      <c r="K940" s="42"/>
      <c r="L940" s="42"/>
      <c r="M940" s="42"/>
    </row>
    <row r="941" spans="1:13" x14ac:dyDescent="0.2">
      <c r="A941" s="42"/>
      <c r="B941" s="42"/>
      <c r="C941" s="42"/>
      <c r="D941" s="42"/>
      <c r="E941" s="42"/>
      <c r="F941" s="42"/>
      <c r="G941" s="42"/>
      <c r="H941" s="42"/>
      <c r="I941" s="42"/>
      <c r="J941" s="42"/>
      <c r="K941" s="42"/>
      <c r="L941" s="42"/>
      <c r="M941" s="42"/>
    </row>
    <row r="942" spans="1:13" x14ac:dyDescent="0.2">
      <c r="A942" s="42"/>
      <c r="B942" s="42"/>
      <c r="C942" s="42"/>
      <c r="D942" s="42"/>
      <c r="E942" s="42"/>
      <c r="F942" s="42"/>
      <c r="G942" s="42"/>
      <c r="H942" s="42"/>
      <c r="I942" s="42"/>
      <c r="J942" s="42"/>
      <c r="K942" s="42"/>
      <c r="L942" s="42"/>
      <c r="M942" s="42"/>
    </row>
    <row r="943" spans="1:13" x14ac:dyDescent="0.2">
      <c r="A943" s="42"/>
      <c r="B943" s="42"/>
      <c r="C943" s="42"/>
      <c r="D943" s="42"/>
      <c r="E943" s="42"/>
      <c r="F943" s="42"/>
      <c r="G943" s="42"/>
      <c r="H943" s="42"/>
      <c r="I943" s="42"/>
      <c r="J943" s="42"/>
      <c r="K943" s="42"/>
      <c r="L943" s="42"/>
      <c r="M943" s="42"/>
    </row>
    <row r="944" spans="1:13" x14ac:dyDescent="0.2">
      <c r="A944" s="42"/>
      <c r="B944" s="42"/>
      <c r="C944" s="42"/>
      <c r="D944" s="42"/>
      <c r="E944" s="42"/>
      <c r="F944" s="42"/>
      <c r="G944" s="42"/>
      <c r="H944" s="42"/>
      <c r="I944" s="42"/>
      <c r="J944" s="42"/>
      <c r="K944" s="42"/>
      <c r="L944" s="42"/>
      <c r="M944" s="42"/>
    </row>
    <row r="945" spans="1:13" x14ac:dyDescent="0.2">
      <c r="A945" s="42"/>
      <c r="B945" s="42"/>
      <c r="C945" s="42"/>
      <c r="D945" s="42"/>
      <c r="E945" s="42"/>
      <c r="F945" s="42"/>
      <c r="G945" s="42"/>
      <c r="H945" s="42"/>
      <c r="I945" s="42"/>
      <c r="J945" s="42"/>
      <c r="K945" s="42"/>
      <c r="L945" s="42"/>
      <c r="M945" s="42"/>
    </row>
    <row r="946" spans="1:13" x14ac:dyDescent="0.2">
      <c r="A946" s="42"/>
      <c r="B946" s="42"/>
      <c r="C946" s="42"/>
      <c r="D946" s="42"/>
      <c r="E946" s="42"/>
      <c r="F946" s="42"/>
      <c r="G946" s="42"/>
      <c r="H946" s="42"/>
      <c r="I946" s="42"/>
      <c r="J946" s="42"/>
      <c r="K946" s="42"/>
      <c r="L946" s="42"/>
      <c r="M946" s="42"/>
    </row>
    <row r="947" spans="1:13" x14ac:dyDescent="0.2">
      <c r="A947" s="42"/>
      <c r="B947" s="42"/>
      <c r="C947" s="42"/>
      <c r="D947" s="42"/>
      <c r="E947" s="42"/>
      <c r="F947" s="42"/>
      <c r="G947" s="42"/>
      <c r="H947" s="42"/>
      <c r="I947" s="42"/>
      <c r="J947" s="42"/>
      <c r="K947" s="42"/>
      <c r="L947" s="42"/>
      <c r="M947" s="42"/>
    </row>
    <row r="948" spans="1:13" x14ac:dyDescent="0.2">
      <c r="A948" s="42"/>
      <c r="B948" s="42"/>
      <c r="C948" s="42"/>
      <c r="D948" s="42"/>
      <c r="E948" s="42"/>
      <c r="F948" s="42"/>
      <c r="G948" s="42"/>
      <c r="H948" s="42"/>
      <c r="I948" s="42"/>
      <c r="J948" s="42"/>
      <c r="K948" s="42"/>
      <c r="L948" s="42"/>
      <c r="M948" s="42"/>
    </row>
    <row r="949" spans="1:13" x14ac:dyDescent="0.2">
      <c r="A949" s="42"/>
      <c r="B949" s="42"/>
      <c r="C949" s="42"/>
      <c r="D949" s="42"/>
      <c r="E949" s="42"/>
      <c r="F949" s="42"/>
      <c r="G949" s="42"/>
      <c r="H949" s="42"/>
      <c r="I949" s="42"/>
      <c r="J949" s="42"/>
      <c r="K949" s="42"/>
      <c r="L949" s="42"/>
      <c r="M949" s="42"/>
    </row>
    <row r="950" spans="1:13" x14ac:dyDescent="0.2">
      <c r="A950" s="42"/>
      <c r="B950" s="42"/>
      <c r="C950" s="42"/>
      <c r="D950" s="42"/>
      <c r="E950" s="42"/>
      <c r="F950" s="42"/>
      <c r="G950" s="42"/>
      <c r="H950" s="42"/>
      <c r="I950" s="42"/>
      <c r="J950" s="42"/>
      <c r="K950" s="42"/>
      <c r="L950" s="42"/>
      <c r="M950" s="42"/>
    </row>
    <row r="951" spans="1:13" x14ac:dyDescent="0.2">
      <c r="A951" s="42"/>
      <c r="B951" s="42"/>
      <c r="C951" s="42"/>
      <c r="D951" s="42"/>
      <c r="E951" s="42"/>
      <c r="F951" s="42"/>
      <c r="G951" s="42"/>
      <c r="H951" s="42"/>
      <c r="I951" s="42"/>
      <c r="J951" s="42"/>
      <c r="K951" s="42"/>
      <c r="L951" s="42"/>
      <c r="M951" s="42"/>
    </row>
    <row r="952" spans="1:13" x14ac:dyDescent="0.2">
      <c r="A952" s="42"/>
      <c r="B952" s="42"/>
      <c r="C952" s="42"/>
      <c r="D952" s="42"/>
      <c r="E952" s="42"/>
      <c r="F952" s="42"/>
      <c r="G952" s="42"/>
      <c r="H952" s="42"/>
      <c r="I952" s="42"/>
      <c r="J952" s="42"/>
      <c r="K952" s="42"/>
      <c r="L952" s="42"/>
      <c r="M952" s="42"/>
    </row>
    <row r="953" spans="1:13" x14ac:dyDescent="0.2">
      <c r="A953" s="42"/>
      <c r="B953" s="42"/>
      <c r="C953" s="42"/>
      <c r="D953" s="42"/>
      <c r="E953" s="42"/>
      <c r="F953" s="42"/>
      <c r="G953" s="42"/>
      <c r="H953" s="42"/>
      <c r="I953" s="42"/>
      <c r="J953" s="42"/>
      <c r="K953" s="42"/>
      <c r="L953" s="42"/>
      <c r="M953" s="42"/>
    </row>
    <row r="954" spans="1:13" x14ac:dyDescent="0.2">
      <c r="A954" s="42"/>
      <c r="B954" s="42"/>
      <c r="C954" s="42"/>
      <c r="D954" s="42"/>
      <c r="E954" s="42"/>
      <c r="F954" s="42"/>
      <c r="G954" s="42"/>
      <c r="H954" s="42"/>
      <c r="I954" s="42"/>
      <c r="J954" s="42"/>
      <c r="K954" s="42"/>
      <c r="L954" s="42"/>
      <c r="M954" s="42"/>
    </row>
    <row r="955" spans="1:13" x14ac:dyDescent="0.2">
      <c r="A955" s="42"/>
      <c r="B955" s="42"/>
      <c r="C955" s="42"/>
      <c r="D955" s="42"/>
      <c r="E955" s="42"/>
      <c r="F955" s="42"/>
      <c r="G955" s="42"/>
      <c r="H955" s="42"/>
      <c r="I955" s="42"/>
      <c r="J955" s="42"/>
      <c r="K955" s="42"/>
      <c r="L955" s="42"/>
      <c r="M955" s="42"/>
    </row>
    <row r="956" spans="1:13" x14ac:dyDescent="0.2">
      <c r="A956" s="42"/>
      <c r="B956" s="42"/>
      <c r="C956" s="42"/>
      <c r="D956" s="42"/>
      <c r="E956" s="42"/>
      <c r="F956" s="42"/>
      <c r="G956" s="42"/>
      <c r="H956" s="42"/>
      <c r="I956" s="42"/>
      <c r="J956" s="42"/>
      <c r="K956" s="42"/>
      <c r="L956" s="42"/>
      <c r="M956" s="42"/>
    </row>
    <row r="957" spans="1:13" x14ac:dyDescent="0.2">
      <c r="A957" s="42"/>
      <c r="B957" s="42"/>
      <c r="C957" s="42"/>
      <c r="D957" s="42"/>
      <c r="E957" s="42"/>
      <c r="F957" s="42"/>
      <c r="G957" s="42"/>
      <c r="H957" s="42"/>
      <c r="I957" s="42"/>
      <c r="J957" s="42"/>
      <c r="K957" s="42"/>
      <c r="L957" s="42"/>
      <c r="M957" s="42"/>
    </row>
    <row r="958" spans="1:13" x14ac:dyDescent="0.2">
      <c r="A958" s="42"/>
      <c r="B958" s="42"/>
      <c r="C958" s="42"/>
      <c r="D958" s="42"/>
      <c r="E958" s="42"/>
      <c r="F958" s="42"/>
      <c r="G958" s="42"/>
      <c r="H958" s="42"/>
      <c r="I958" s="42"/>
      <c r="J958" s="42"/>
      <c r="K958" s="42"/>
      <c r="L958" s="42"/>
      <c r="M958" s="42"/>
    </row>
    <row r="959" spans="1:13" x14ac:dyDescent="0.2">
      <c r="A959" s="42"/>
      <c r="B959" s="42"/>
      <c r="C959" s="42"/>
      <c r="D959" s="42"/>
      <c r="E959" s="42"/>
      <c r="F959" s="42"/>
      <c r="G959" s="42"/>
      <c r="H959" s="42"/>
      <c r="I959" s="42"/>
      <c r="J959" s="42"/>
      <c r="K959" s="42"/>
      <c r="L959" s="42"/>
      <c r="M959" s="42"/>
    </row>
    <row r="960" spans="1:13" x14ac:dyDescent="0.2">
      <c r="A960" s="42"/>
      <c r="B960" s="42"/>
      <c r="C960" s="42"/>
      <c r="D960" s="42"/>
      <c r="E960" s="42"/>
      <c r="F960" s="42"/>
      <c r="G960" s="42"/>
      <c r="H960" s="42"/>
      <c r="I960" s="42"/>
      <c r="J960" s="42"/>
      <c r="K960" s="42"/>
      <c r="L960" s="42"/>
      <c r="M960" s="42"/>
    </row>
    <row r="961" spans="1:13" x14ac:dyDescent="0.2">
      <c r="A961" s="42"/>
      <c r="B961" s="42"/>
      <c r="C961" s="42"/>
      <c r="D961" s="42"/>
      <c r="E961" s="42"/>
      <c r="F961" s="42"/>
      <c r="G961" s="42"/>
      <c r="H961" s="42"/>
      <c r="I961" s="42"/>
      <c r="J961" s="42"/>
      <c r="K961" s="42"/>
      <c r="L961" s="42"/>
      <c r="M961" s="42"/>
    </row>
    <row r="962" spans="1:13" x14ac:dyDescent="0.2">
      <c r="A962" s="42"/>
      <c r="B962" s="42"/>
      <c r="C962" s="42"/>
      <c r="D962" s="42"/>
      <c r="E962" s="42"/>
      <c r="F962" s="42"/>
      <c r="G962" s="42"/>
      <c r="H962" s="42"/>
      <c r="I962" s="42"/>
      <c r="J962" s="42"/>
      <c r="K962" s="42"/>
      <c r="L962" s="42"/>
      <c r="M962" s="42"/>
    </row>
    <row r="963" spans="1:13" x14ac:dyDescent="0.2">
      <c r="A963" s="42"/>
      <c r="B963" s="42"/>
      <c r="C963" s="42"/>
      <c r="D963" s="42"/>
      <c r="E963" s="42"/>
      <c r="F963" s="42"/>
      <c r="G963" s="42"/>
      <c r="H963" s="42"/>
      <c r="I963" s="42"/>
      <c r="J963" s="42"/>
      <c r="K963" s="42"/>
      <c r="L963" s="42"/>
      <c r="M963" s="42"/>
    </row>
    <row r="964" spans="1:13" x14ac:dyDescent="0.2">
      <c r="A964" s="42"/>
      <c r="B964" s="42"/>
      <c r="C964" s="42"/>
      <c r="D964" s="42"/>
      <c r="E964" s="42"/>
      <c r="F964" s="42"/>
      <c r="G964" s="42"/>
      <c r="H964" s="42"/>
      <c r="I964" s="42"/>
      <c r="J964" s="42"/>
      <c r="K964" s="42"/>
      <c r="L964" s="42"/>
      <c r="M964" s="42"/>
    </row>
    <row r="965" spans="1:13" x14ac:dyDescent="0.2">
      <c r="A965" s="42"/>
      <c r="B965" s="42"/>
      <c r="C965" s="42"/>
      <c r="D965" s="42"/>
      <c r="E965" s="42"/>
      <c r="F965" s="42"/>
      <c r="G965" s="42"/>
      <c r="H965" s="42"/>
      <c r="I965" s="42"/>
      <c r="J965" s="42"/>
      <c r="K965" s="42"/>
      <c r="L965" s="42"/>
      <c r="M965" s="42"/>
    </row>
    <row r="966" spans="1:13" x14ac:dyDescent="0.2">
      <c r="A966" s="42"/>
      <c r="B966" s="42"/>
      <c r="C966" s="42"/>
      <c r="D966" s="42"/>
      <c r="E966" s="42"/>
      <c r="F966" s="42"/>
      <c r="G966" s="42"/>
      <c r="H966" s="42"/>
      <c r="I966" s="42"/>
      <c r="J966" s="42"/>
      <c r="K966" s="42"/>
      <c r="L966" s="42"/>
      <c r="M966" s="42"/>
    </row>
    <row r="967" spans="1:13" x14ac:dyDescent="0.2">
      <c r="A967" s="42"/>
      <c r="B967" s="42"/>
      <c r="C967" s="42"/>
      <c r="D967" s="42"/>
      <c r="E967" s="42"/>
      <c r="F967" s="42"/>
      <c r="G967" s="42"/>
      <c r="H967" s="42"/>
      <c r="I967" s="42"/>
      <c r="J967" s="42"/>
      <c r="K967" s="42"/>
      <c r="L967" s="42"/>
      <c r="M967" s="42"/>
    </row>
    <row r="968" spans="1:13" x14ac:dyDescent="0.2">
      <c r="A968" s="42"/>
      <c r="B968" s="42"/>
      <c r="C968" s="42"/>
      <c r="D968" s="42"/>
      <c r="E968" s="42"/>
      <c r="F968" s="42"/>
      <c r="G968" s="42"/>
      <c r="H968" s="42"/>
      <c r="I968" s="42"/>
      <c r="J968" s="42"/>
      <c r="K968" s="42"/>
      <c r="L968" s="42"/>
      <c r="M968" s="42"/>
    </row>
    <row r="969" spans="1:13" x14ac:dyDescent="0.2">
      <c r="A969" s="42"/>
      <c r="B969" s="42"/>
      <c r="C969" s="42"/>
      <c r="D969" s="42"/>
      <c r="E969" s="42"/>
      <c r="F969" s="42"/>
      <c r="G969" s="42"/>
      <c r="H969" s="42"/>
      <c r="I969" s="42"/>
      <c r="J969" s="42"/>
      <c r="K969" s="42"/>
      <c r="L969" s="42"/>
      <c r="M969" s="42"/>
    </row>
    <row r="970" spans="1:13" x14ac:dyDescent="0.2">
      <c r="A970" s="42"/>
      <c r="B970" s="42"/>
      <c r="C970" s="42"/>
      <c r="D970" s="42"/>
      <c r="E970" s="42"/>
      <c r="F970" s="42"/>
      <c r="G970" s="42"/>
      <c r="H970" s="42"/>
      <c r="I970" s="42"/>
      <c r="J970" s="42"/>
      <c r="K970" s="42"/>
      <c r="L970" s="42"/>
      <c r="M970" s="42"/>
    </row>
    <row r="971" spans="1:13" x14ac:dyDescent="0.2">
      <c r="A971" s="42"/>
      <c r="B971" s="42"/>
      <c r="C971" s="42"/>
      <c r="D971" s="42"/>
      <c r="E971" s="42"/>
      <c r="F971" s="42"/>
      <c r="G971" s="42"/>
      <c r="H971" s="42"/>
      <c r="I971" s="42"/>
      <c r="J971" s="42"/>
      <c r="K971" s="42"/>
      <c r="L971" s="42"/>
      <c r="M971" s="42"/>
    </row>
    <row r="972" spans="1:13" x14ac:dyDescent="0.2">
      <c r="A972" s="42"/>
      <c r="B972" s="42"/>
      <c r="C972" s="42"/>
      <c r="D972" s="42"/>
      <c r="E972" s="42"/>
      <c r="F972" s="42"/>
      <c r="G972" s="42"/>
      <c r="H972" s="42"/>
      <c r="I972" s="42"/>
      <c r="J972" s="42"/>
      <c r="K972" s="42"/>
      <c r="L972" s="42"/>
      <c r="M972" s="42"/>
    </row>
    <row r="973" spans="1:13" x14ac:dyDescent="0.2">
      <c r="A973" s="42"/>
      <c r="B973" s="42"/>
      <c r="C973" s="42"/>
      <c r="D973" s="42"/>
      <c r="E973" s="42"/>
      <c r="F973" s="42"/>
      <c r="G973" s="42"/>
      <c r="H973" s="42"/>
      <c r="I973" s="42"/>
      <c r="J973" s="42"/>
      <c r="K973" s="42"/>
      <c r="L973" s="42"/>
      <c r="M973" s="42"/>
    </row>
    <row r="974" spans="1:13" x14ac:dyDescent="0.2">
      <c r="A974" s="42"/>
      <c r="B974" s="42"/>
      <c r="C974" s="42"/>
      <c r="D974" s="42"/>
      <c r="E974" s="42"/>
      <c r="F974" s="42"/>
      <c r="G974" s="42"/>
      <c r="H974" s="42"/>
      <c r="I974" s="42"/>
      <c r="J974" s="42"/>
      <c r="K974" s="42"/>
      <c r="L974" s="42"/>
      <c r="M974" s="42"/>
    </row>
    <row r="975" spans="1:13" x14ac:dyDescent="0.2">
      <c r="A975" s="42"/>
      <c r="B975" s="42"/>
      <c r="C975" s="42"/>
      <c r="D975" s="42"/>
      <c r="E975" s="42"/>
      <c r="F975" s="42"/>
      <c r="G975" s="42"/>
      <c r="H975" s="42"/>
      <c r="I975" s="42"/>
      <c r="J975" s="42"/>
      <c r="K975" s="42"/>
      <c r="L975" s="42"/>
      <c r="M975" s="42"/>
    </row>
    <row r="976" spans="1:13" x14ac:dyDescent="0.2">
      <c r="A976" s="42"/>
      <c r="B976" s="42"/>
      <c r="C976" s="42"/>
      <c r="D976" s="42"/>
      <c r="E976" s="42"/>
      <c r="F976" s="42"/>
      <c r="G976" s="42"/>
      <c r="H976" s="42"/>
      <c r="I976" s="42"/>
      <c r="J976" s="42"/>
      <c r="K976" s="42"/>
      <c r="L976" s="42"/>
      <c r="M976" s="42"/>
    </row>
    <row r="977" spans="1:13" x14ac:dyDescent="0.2">
      <c r="A977" s="42"/>
      <c r="B977" s="42"/>
      <c r="C977" s="42"/>
      <c r="D977" s="42"/>
      <c r="E977" s="42"/>
      <c r="F977" s="42"/>
      <c r="G977" s="42"/>
      <c r="H977" s="42"/>
      <c r="I977" s="42"/>
      <c r="J977" s="42"/>
      <c r="K977" s="42"/>
      <c r="L977" s="42"/>
      <c r="M977" s="42"/>
    </row>
    <row r="978" spans="1:13" x14ac:dyDescent="0.2">
      <c r="A978" s="42"/>
      <c r="B978" s="42"/>
      <c r="C978" s="42"/>
      <c r="D978" s="42"/>
      <c r="E978" s="42"/>
      <c r="F978" s="42"/>
      <c r="G978" s="42"/>
      <c r="H978" s="42"/>
      <c r="I978" s="42"/>
      <c r="J978" s="42"/>
      <c r="K978" s="42"/>
      <c r="L978" s="42"/>
      <c r="M978" s="42"/>
    </row>
    <row r="979" spans="1:13" x14ac:dyDescent="0.2">
      <c r="A979" s="42"/>
      <c r="B979" s="42"/>
      <c r="C979" s="42"/>
      <c r="D979" s="42"/>
      <c r="E979" s="42"/>
      <c r="F979" s="42"/>
      <c r="G979" s="42"/>
      <c r="H979" s="42"/>
      <c r="I979" s="42"/>
      <c r="J979" s="42"/>
      <c r="K979" s="42"/>
      <c r="L979" s="42"/>
      <c r="M979" s="42"/>
    </row>
    <row r="980" spans="1:13" x14ac:dyDescent="0.2">
      <c r="A980" s="42"/>
      <c r="B980" s="42"/>
      <c r="C980" s="42"/>
      <c r="D980" s="42"/>
      <c r="E980" s="42"/>
      <c r="F980" s="42"/>
      <c r="G980" s="42"/>
      <c r="H980" s="42"/>
      <c r="I980" s="42"/>
      <c r="J980" s="42"/>
      <c r="K980" s="42"/>
      <c r="L980" s="42"/>
      <c r="M980" s="42"/>
    </row>
    <row r="981" spans="1:13" x14ac:dyDescent="0.2">
      <c r="A981" s="42"/>
      <c r="B981" s="42"/>
      <c r="C981" s="42"/>
      <c r="D981" s="42"/>
      <c r="E981" s="42"/>
      <c r="F981" s="42"/>
      <c r="G981" s="42"/>
      <c r="H981" s="42"/>
      <c r="I981" s="42"/>
      <c r="J981" s="42"/>
      <c r="K981" s="42"/>
      <c r="L981" s="42"/>
      <c r="M981" s="42"/>
    </row>
    <row r="982" spans="1:13" x14ac:dyDescent="0.2">
      <c r="A982" s="42"/>
      <c r="B982" s="42"/>
      <c r="C982" s="42"/>
      <c r="D982" s="42"/>
      <c r="E982" s="42"/>
      <c r="F982" s="42"/>
      <c r="G982" s="42"/>
      <c r="H982" s="42"/>
      <c r="I982" s="42"/>
      <c r="J982" s="42"/>
      <c r="K982" s="42"/>
      <c r="L982" s="42"/>
      <c r="M982" s="42"/>
    </row>
    <row r="983" spans="1:13" x14ac:dyDescent="0.2">
      <c r="A983" s="42"/>
      <c r="B983" s="42"/>
      <c r="C983" s="42"/>
      <c r="D983" s="42"/>
      <c r="E983" s="42"/>
      <c r="F983" s="42"/>
      <c r="G983" s="42"/>
      <c r="H983" s="42"/>
      <c r="I983" s="42"/>
      <c r="J983" s="42"/>
      <c r="K983" s="42"/>
      <c r="L983" s="42"/>
      <c r="M983" s="42"/>
    </row>
    <row r="984" spans="1:13" x14ac:dyDescent="0.2">
      <c r="A984" s="42"/>
      <c r="B984" s="42"/>
      <c r="C984" s="42"/>
      <c r="D984" s="42"/>
      <c r="E984" s="42"/>
      <c r="F984" s="42"/>
      <c r="G984" s="42"/>
      <c r="H984" s="42"/>
      <c r="I984" s="42"/>
      <c r="J984" s="42"/>
      <c r="K984" s="42"/>
      <c r="L984" s="42"/>
      <c r="M984" s="42"/>
    </row>
    <row r="985" spans="1:13" x14ac:dyDescent="0.2">
      <c r="A985" s="42"/>
      <c r="B985" s="42"/>
      <c r="C985" s="42"/>
      <c r="D985" s="42"/>
      <c r="E985" s="42"/>
      <c r="F985" s="42"/>
      <c r="G985" s="42"/>
      <c r="H985" s="42"/>
      <c r="I985" s="42"/>
      <c r="J985" s="42"/>
      <c r="K985" s="42"/>
      <c r="L985" s="42"/>
      <c r="M985" s="42"/>
    </row>
    <row r="986" spans="1:13" x14ac:dyDescent="0.2">
      <c r="A986" s="42"/>
      <c r="B986" s="42"/>
      <c r="C986" s="42"/>
      <c r="D986" s="42"/>
      <c r="E986" s="42"/>
      <c r="F986" s="42"/>
      <c r="G986" s="42"/>
      <c r="H986" s="42"/>
      <c r="I986" s="42"/>
      <c r="J986" s="42"/>
      <c r="K986" s="42"/>
      <c r="L986" s="42"/>
      <c r="M986" s="42"/>
    </row>
    <row r="987" spans="1:13" x14ac:dyDescent="0.2">
      <c r="A987" s="42"/>
      <c r="B987" s="42"/>
      <c r="C987" s="42"/>
      <c r="D987" s="42"/>
      <c r="E987" s="42"/>
      <c r="F987" s="42"/>
      <c r="G987" s="42"/>
      <c r="H987" s="42"/>
      <c r="I987" s="42"/>
      <c r="J987" s="42"/>
      <c r="K987" s="42"/>
      <c r="L987" s="42"/>
      <c r="M987" s="42"/>
    </row>
    <row r="988" spans="1:13" x14ac:dyDescent="0.2">
      <c r="A988" s="42"/>
      <c r="B988" s="42"/>
      <c r="C988" s="42"/>
      <c r="D988" s="42"/>
      <c r="E988" s="42"/>
      <c r="F988" s="42"/>
      <c r="G988" s="42"/>
      <c r="H988" s="42"/>
      <c r="I988" s="42"/>
      <c r="J988" s="42"/>
      <c r="K988" s="42"/>
      <c r="L988" s="42"/>
      <c r="M988" s="42"/>
    </row>
    <row r="989" spans="1:13" x14ac:dyDescent="0.2">
      <c r="A989" s="42"/>
      <c r="B989" s="42"/>
      <c r="C989" s="42"/>
      <c r="D989" s="42"/>
      <c r="E989" s="42"/>
      <c r="F989" s="42"/>
      <c r="G989" s="42"/>
      <c r="H989" s="42"/>
      <c r="I989" s="42"/>
      <c r="J989" s="42"/>
      <c r="K989" s="42"/>
      <c r="L989" s="42"/>
      <c r="M989" s="42"/>
    </row>
    <row r="990" spans="1:13" x14ac:dyDescent="0.2">
      <c r="A990" s="42"/>
      <c r="B990" s="42"/>
      <c r="C990" s="42"/>
      <c r="D990" s="42"/>
      <c r="E990" s="42"/>
      <c r="F990" s="42"/>
      <c r="G990" s="42"/>
      <c r="H990" s="42"/>
      <c r="I990" s="42"/>
      <c r="J990" s="42"/>
      <c r="K990" s="42"/>
      <c r="L990" s="42"/>
      <c r="M990" s="42"/>
    </row>
    <row r="991" spans="1:13" x14ac:dyDescent="0.2">
      <c r="A991" s="42"/>
      <c r="B991" s="42"/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</row>
    <row r="992" spans="1:13" x14ac:dyDescent="0.2">
      <c r="A992" s="42"/>
      <c r="B992" s="42"/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</row>
    <row r="993" spans="1:13" x14ac:dyDescent="0.2">
      <c r="A993" s="42"/>
      <c r="B993" s="42"/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</row>
    <row r="994" spans="1:13" x14ac:dyDescent="0.2">
      <c r="A994" s="42"/>
      <c r="B994" s="42"/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</row>
    <row r="995" spans="1:13" x14ac:dyDescent="0.2">
      <c r="A995" s="42"/>
      <c r="B995" s="42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</row>
    <row r="996" spans="1:13" x14ac:dyDescent="0.2">
      <c r="A996" s="42"/>
      <c r="B996" s="42"/>
      <c r="C996" s="42"/>
      <c r="D996" s="42"/>
      <c r="E996" s="42"/>
      <c r="F996" s="42"/>
      <c r="G996" s="42"/>
      <c r="H996" s="42"/>
      <c r="I996" s="42"/>
      <c r="J996" s="42"/>
      <c r="K996" s="42"/>
      <c r="L996" s="42"/>
      <c r="M996" s="42"/>
    </row>
    <row r="997" spans="1:13" x14ac:dyDescent="0.2">
      <c r="A997" s="42"/>
      <c r="B997" s="42"/>
      <c r="C997" s="42"/>
      <c r="D997" s="42"/>
      <c r="E997" s="42"/>
      <c r="F997" s="42"/>
      <c r="G997" s="42"/>
      <c r="H997" s="42"/>
      <c r="I997" s="42"/>
      <c r="J997" s="42"/>
      <c r="K997" s="42"/>
      <c r="L997" s="42"/>
      <c r="M997" s="42"/>
    </row>
    <row r="998" spans="1:13" x14ac:dyDescent="0.2">
      <c r="A998" s="42"/>
      <c r="B998" s="42"/>
      <c r="C998" s="42"/>
      <c r="D998" s="42"/>
      <c r="E998" s="42"/>
      <c r="F998" s="42"/>
      <c r="G998" s="42"/>
      <c r="H998" s="42"/>
      <c r="I998" s="42"/>
      <c r="J998" s="42"/>
      <c r="K998" s="42"/>
      <c r="L998" s="42"/>
      <c r="M998" s="42"/>
    </row>
    <row r="999" spans="1:13" x14ac:dyDescent="0.2">
      <c r="A999" s="42"/>
      <c r="B999" s="42"/>
      <c r="C999" s="42"/>
      <c r="D999" s="42"/>
      <c r="E999" s="42"/>
      <c r="F999" s="42"/>
      <c r="G999" s="42"/>
      <c r="H999" s="42"/>
      <c r="I999" s="42"/>
      <c r="J999" s="42"/>
      <c r="K999" s="42"/>
      <c r="L999" s="42"/>
      <c r="M999" s="42"/>
    </row>
    <row r="1000" spans="1:13" x14ac:dyDescent="0.2">
      <c r="A1000" s="42"/>
      <c r="B1000" s="42"/>
      <c r="C1000" s="42"/>
      <c r="D1000" s="42"/>
      <c r="E1000" s="42"/>
      <c r="F1000" s="42"/>
      <c r="G1000" s="42"/>
      <c r="H1000" s="42"/>
      <c r="I1000" s="42"/>
      <c r="J1000" s="42"/>
      <c r="K1000" s="42"/>
      <c r="L1000" s="42"/>
      <c r="M1000" s="42"/>
    </row>
    <row r="1001" spans="1:13" x14ac:dyDescent="0.2">
      <c r="A1001" s="42"/>
      <c r="B1001" s="42"/>
      <c r="C1001" s="42"/>
      <c r="D1001" s="42"/>
      <c r="E1001" s="42"/>
      <c r="F1001" s="42"/>
      <c r="G1001" s="42"/>
      <c r="H1001" s="42"/>
      <c r="I1001" s="42"/>
      <c r="J1001" s="42"/>
      <c r="K1001" s="42"/>
      <c r="L1001" s="42"/>
      <c r="M1001" s="42"/>
    </row>
    <row r="1002" spans="1:13" x14ac:dyDescent="0.2">
      <c r="A1002" s="42"/>
      <c r="B1002" s="42"/>
      <c r="C1002" s="42"/>
      <c r="D1002" s="42"/>
      <c r="E1002" s="42"/>
      <c r="F1002" s="42"/>
      <c r="G1002" s="42"/>
      <c r="H1002" s="42"/>
      <c r="I1002" s="42"/>
      <c r="J1002" s="42"/>
      <c r="K1002" s="42"/>
      <c r="L1002" s="42"/>
      <c r="M1002" s="42"/>
    </row>
    <row r="1003" spans="1:13" x14ac:dyDescent="0.2">
      <c r="A1003" s="42"/>
      <c r="B1003" s="42"/>
      <c r="C1003" s="42"/>
      <c r="D1003" s="42"/>
      <c r="E1003" s="42"/>
      <c r="F1003" s="42"/>
      <c r="G1003" s="42"/>
      <c r="H1003" s="42"/>
      <c r="I1003" s="42"/>
      <c r="J1003" s="42"/>
      <c r="K1003" s="42"/>
      <c r="L1003" s="42"/>
      <c r="M1003" s="42"/>
    </row>
    <row r="1004" spans="1:13" x14ac:dyDescent="0.2">
      <c r="A1004" s="42"/>
      <c r="B1004" s="42"/>
      <c r="C1004" s="42"/>
      <c r="D1004" s="42"/>
      <c r="E1004" s="42"/>
      <c r="F1004" s="42"/>
      <c r="G1004" s="42"/>
      <c r="H1004" s="42"/>
      <c r="I1004" s="42"/>
      <c r="J1004" s="42"/>
      <c r="K1004" s="42"/>
      <c r="L1004" s="42"/>
      <c r="M1004" s="42"/>
    </row>
    <row r="1005" spans="1:13" x14ac:dyDescent="0.2">
      <c r="A1005" s="42"/>
      <c r="B1005" s="42"/>
      <c r="C1005" s="42"/>
      <c r="D1005" s="42"/>
      <c r="E1005" s="42"/>
      <c r="F1005" s="42"/>
      <c r="G1005" s="42"/>
      <c r="H1005" s="42"/>
      <c r="I1005" s="42"/>
      <c r="J1005" s="42"/>
      <c r="K1005" s="42"/>
      <c r="L1005" s="42"/>
      <c r="M1005" s="42"/>
    </row>
    <row r="1006" spans="1:13" x14ac:dyDescent="0.2">
      <c r="A1006" s="42"/>
      <c r="B1006" s="42"/>
      <c r="C1006" s="42"/>
      <c r="D1006" s="42"/>
      <c r="E1006" s="42"/>
      <c r="F1006" s="42"/>
      <c r="G1006" s="42"/>
      <c r="H1006" s="42"/>
      <c r="I1006" s="42"/>
      <c r="J1006" s="42"/>
      <c r="K1006" s="42"/>
      <c r="L1006" s="42"/>
      <c r="M1006" s="42"/>
    </row>
    <row r="1007" spans="1:13" x14ac:dyDescent="0.2">
      <c r="A1007" s="42"/>
      <c r="B1007" s="42"/>
      <c r="C1007" s="42"/>
      <c r="D1007" s="42"/>
      <c r="E1007" s="42"/>
      <c r="F1007" s="42"/>
      <c r="G1007" s="42"/>
      <c r="H1007" s="42"/>
      <c r="I1007" s="42"/>
      <c r="J1007" s="42"/>
      <c r="K1007" s="42"/>
      <c r="L1007" s="42"/>
      <c r="M1007" s="42"/>
    </row>
    <row r="1008" spans="1:13" x14ac:dyDescent="0.2">
      <c r="A1008" s="42"/>
      <c r="B1008" s="42"/>
      <c r="C1008" s="42"/>
      <c r="D1008" s="42"/>
      <c r="E1008" s="42"/>
      <c r="F1008" s="42"/>
      <c r="G1008" s="42"/>
      <c r="H1008" s="42"/>
      <c r="I1008" s="42"/>
      <c r="J1008" s="42"/>
      <c r="K1008" s="42"/>
      <c r="L1008" s="42"/>
      <c r="M1008" s="42"/>
    </row>
    <row r="1009" spans="1:13" x14ac:dyDescent="0.2">
      <c r="A1009" s="42"/>
      <c r="B1009" s="42"/>
      <c r="C1009" s="42"/>
      <c r="D1009" s="42"/>
      <c r="E1009" s="42"/>
      <c r="F1009" s="42"/>
      <c r="G1009" s="42"/>
      <c r="H1009" s="42"/>
      <c r="I1009" s="42"/>
      <c r="J1009" s="42"/>
      <c r="K1009" s="42"/>
      <c r="L1009" s="42"/>
      <c r="M1009" s="42"/>
    </row>
    <row r="1010" spans="1:13" x14ac:dyDescent="0.2">
      <c r="A1010" s="42"/>
      <c r="B1010" s="42"/>
      <c r="C1010" s="42"/>
      <c r="D1010" s="42"/>
      <c r="E1010" s="42"/>
      <c r="F1010" s="42"/>
      <c r="G1010" s="42"/>
      <c r="H1010" s="42"/>
      <c r="I1010" s="42"/>
      <c r="J1010" s="42"/>
      <c r="K1010" s="42"/>
      <c r="L1010" s="42"/>
      <c r="M1010" s="42"/>
    </row>
    <row r="1011" spans="1:13" x14ac:dyDescent="0.2">
      <c r="A1011" s="42"/>
      <c r="B1011" s="42"/>
      <c r="C1011" s="42"/>
      <c r="D1011" s="42"/>
      <c r="E1011" s="42"/>
      <c r="F1011" s="42"/>
      <c r="G1011" s="42"/>
      <c r="H1011" s="42"/>
      <c r="I1011" s="42"/>
      <c r="J1011" s="42"/>
      <c r="K1011" s="42"/>
      <c r="L1011" s="42"/>
      <c r="M1011" s="42"/>
    </row>
    <row r="1012" spans="1:13" x14ac:dyDescent="0.2">
      <c r="A1012" s="42"/>
      <c r="B1012" s="42"/>
      <c r="C1012" s="42"/>
      <c r="D1012" s="42"/>
      <c r="E1012" s="42"/>
      <c r="F1012" s="42"/>
      <c r="G1012" s="42"/>
      <c r="H1012" s="42"/>
      <c r="I1012" s="42"/>
      <c r="J1012" s="42"/>
      <c r="K1012" s="42"/>
      <c r="L1012" s="42"/>
      <c r="M1012" s="42"/>
    </row>
    <row r="1013" spans="1:13" x14ac:dyDescent="0.2">
      <c r="A1013" s="42"/>
      <c r="B1013" s="42"/>
      <c r="C1013" s="42"/>
      <c r="D1013" s="42"/>
      <c r="E1013" s="42"/>
      <c r="F1013" s="42"/>
      <c r="G1013" s="42"/>
      <c r="H1013" s="42"/>
      <c r="I1013" s="42"/>
      <c r="J1013" s="42"/>
      <c r="K1013" s="42"/>
      <c r="L1013" s="42"/>
      <c r="M1013" s="42"/>
    </row>
    <row r="1014" spans="1:13" x14ac:dyDescent="0.2">
      <c r="A1014" s="42"/>
      <c r="B1014" s="42"/>
      <c r="C1014" s="42"/>
      <c r="D1014" s="42"/>
      <c r="E1014" s="42"/>
      <c r="F1014" s="42"/>
      <c r="G1014" s="42"/>
      <c r="H1014" s="42"/>
      <c r="I1014" s="42"/>
      <c r="J1014" s="42"/>
      <c r="K1014" s="42"/>
      <c r="L1014" s="42"/>
      <c r="M1014" s="42"/>
    </row>
    <row r="1015" spans="1:13" x14ac:dyDescent="0.2">
      <c r="A1015" s="42"/>
      <c r="B1015" s="42"/>
      <c r="C1015" s="42"/>
      <c r="D1015" s="42"/>
      <c r="E1015" s="42"/>
      <c r="F1015" s="42"/>
      <c r="G1015" s="42"/>
      <c r="H1015" s="42"/>
      <c r="I1015" s="42"/>
      <c r="J1015" s="42"/>
      <c r="K1015" s="42"/>
      <c r="L1015" s="42"/>
      <c r="M1015" s="42"/>
    </row>
    <row r="1016" spans="1:13" x14ac:dyDescent="0.2">
      <c r="A1016" s="42"/>
      <c r="B1016" s="42"/>
      <c r="C1016" s="42"/>
      <c r="D1016" s="42"/>
      <c r="E1016" s="42"/>
      <c r="F1016" s="42"/>
      <c r="G1016" s="42"/>
      <c r="H1016" s="42"/>
      <c r="I1016" s="42"/>
      <c r="J1016" s="42"/>
      <c r="K1016" s="42"/>
      <c r="L1016" s="42"/>
      <c r="M1016" s="42"/>
    </row>
    <row r="1017" spans="1:13" x14ac:dyDescent="0.2">
      <c r="A1017" s="42"/>
      <c r="B1017" s="42"/>
      <c r="C1017" s="42"/>
      <c r="D1017" s="42"/>
      <c r="E1017" s="42"/>
      <c r="F1017" s="42"/>
      <c r="G1017" s="42"/>
      <c r="H1017" s="42"/>
      <c r="I1017" s="42"/>
      <c r="J1017" s="42"/>
      <c r="K1017" s="42"/>
      <c r="L1017" s="42"/>
      <c r="M1017" s="42"/>
    </row>
    <row r="1018" spans="1:13" x14ac:dyDescent="0.2">
      <c r="A1018" s="42"/>
      <c r="B1018" s="42"/>
      <c r="C1018" s="42"/>
      <c r="D1018" s="42"/>
      <c r="E1018" s="42"/>
      <c r="F1018" s="42"/>
      <c r="G1018" s="42"/>
      <c r="H1018" s="42"/>
      <c r="I1018" s="42"/>
      <c r="J1018" s="42"/>
      <c r="K1018" s="42"/>
      <c r="L1018" s="42"/>
      <c r="M1018" s="42"/>
    </row>
    <row r="1019" spans="1:13" x14ac:dyDescent="0.2">
      <c r="A1019" s="42"/>
      <c r="B1019" s="42"/>
      <c r="C1019" s="42"/>
      <c r="D1019" s="42"/>
      <c r="E1019" s="42"/>
      <c r="F1019" s="42"/>
      <c r="G1019" s="42"/>
      <c r="H1019" s="42"/>
      <c r="I1019" s="42"/>
      <c r="J1019" s="42"/>
      <c r="K1019" s="42"/>
      <c r="L1019" s="42"/>
      <c r="M1019" s="42"/>
    </row>
    <row r="1020" spans="1:13" x14ac:dyDescent="0.2">
      <c r="A1020" s="42"/>
      <c r="B1020" s="42"/>
      <c r="C1020" s="42"/>
      <c r="D1020" s="42"/>
      <c r="E1020" s="42"/>
      <c r="F1020" s="42"/>
      <c r="G1020" s="42"/>
      <c r="H1020" s="42"/>
      <c r="I1020" s="42"/>
      <c r="J1020" s="42"/>
      <c r="K1020" s="42"/>
      <c r="L1020" s="42"/>
      <c r="M1020" s="42"/>
    </row>
    <row r="1021" spans="1:13" x14ac:dyDescent="0.2">
      <c r="A1021" s="42"/>
      <c r="B1021" s="42"/>
      <c r="C1021" s="42"/>
      <c r="D1021" s="42"/>
      <c r="E1021" s="42"/>
      <c r="F1021" s="42"/>
      <c r="G1021" s="42"/>
      <c r="H1021" s="42"/>
      <c r="I1021" s="42"/>
      <c r="J1021" s="42"/>
      <c r="K1021" s="42"/>
      <c r="L1021" s="42"/>
      <c r="M1021" s="42"/>
    </row>
    <row r="1022" spans="1:13" x14ac:dyDescent="0.2">
      <c r="A1022" s="42"/>
      <c r="B1022" s="42"/>
      <c r="C1022" s="42"/>
      <c r="D1022" s="42"/>
      <c r="E1022" s="42"/>
      <c r="F1022" s="42"/>
      <c r="G1022" s="42"/>
      <c r="H1022" s="42"/>
      <c r="I1022" s="42"/>
      <c r="J1022" s="42"/>
      <c r="K1022" s="42"/>
      <c r="L1022" s="42"/>
      <c r="M1022" s="42"/>
    </row>
    <row r="1023" spans="1:13" x14ac:dyDescent="0.2">
      <c r="A1023" s="42"/>
      <c r="B1023" s="42"/>
      <c r="C1023" s="42"/>
      <c r="D1023" s="42"/>
      <c r="E1023" s="42"/>
      <c r="F1023" s="42"/>
      <c r="G1023" s="42"/>
      <c r="H1023" s="42"/>
      <c r="I1023" s="42"/>
      <c r="J1023" s="42"/>
      <c r="K1023" s="42"/>
      <c r="L1023" s="42"/>
      <c r="M1023" s="42"/>
    </row>
    <row r="1024" spans="1:13" x14ac:dyDescent="0.2">
      <c r="A1024" s="42"/>
      <c r="B1024" s="42"/>
      <c r="C1024" s="42"/>
      <c r="D1024" s="42"/>
      <c r="E1024" s="42"/>
      <c r="F1024" s="42"/>
      <c r="G1024" s="42"/>
      <c r="H1024" s="42"/>
      <c r="I1024" s="42"/>
      <c r="J1024" s="42"/>
      <c r="K1024" s="42"/>
      <c r="L1024" s="42"/>
      <c r="M1024" s="42"/>
    </row>
    <row r="1025" spans="1:13" x14ac:dyDescent="0.2">
      <c r="A1025" s="42"/>
      <c r="B1025" s="42"/>
      <c r="C1025" s="42"/>
      <c r="D1025" s="42"/>
      <c r="E1025" s="42"/>
      <c r="F1025" s="42"/>
      <c r="G1025" s="42"/>
      <c r="H1025" s="42"/>
      <c r="I1025" s="42"/>
      <c r="J1025" s="42"/>
      <c r="K1025" s="42"/>
      <c r="L1025" s="42"/>
      <c r="M1025" s="42"/>
    </row>
    <row r="1026" spans="1:13" x14ac:dyDescent="0.2">
      <c r="A1026" s="42"/>
      <c r="B1026" s="42"/>
      <c r="C1026" s="42"/>
      <c r="D1026" s="42"/>
      <c r="E1026" s="42"/>
      <c r="F1026" s="42"/>
      <c r="G1026" s="42"/>
      <c r="H1026" s="42"/>
      <c r="I1026" s="42"/>
      <c r="J1026" s="42"/>
      <c r="K1026" s="42"/>
      <c r="L1026" s="42"/>
      <c r="M1026" s="42"/>
    </row>
    <row r="1027" spans="1:13" x14ac:dyDescent="0.2">
      <c r="A1027" s="42"/>
      <c r="B1027" s="42"/>
      <c r="C1027" s="42"/>
      <c r="D1027" s="42"/>
      <c r="E1027" s="42"/>
      <c r="F1027" s="42"/>
      <c r="G1027" s="42"/>
      <c r="H1027" s="42"/>
      <c r="I1027" s="42"/>
      <c r="J1027" s="42"/>
      <c r="K1027" s="42"/>
      <c r="L1027" s="42"/>
      <c r="M1027" s="42"/>
    </row>
    <row r="1028" spans="1:13" x14ac:dyDescent="0.2">
      <c r="A1028" s="42"/>
      <c r="B1028" s="42"/>
      <c r="C1028" s="42"/>
      <c r="D1028" s="42"/>
      <c r="E1028" s="42"/>
      <c r="F1028" s="42"/>
      <c r="G1028" s="42"/>
      <c r="H1028" s="42"/>
      <c r="I1028" s="42"/>
      <c r="J1028" s="42"/>
      <c r="K1028" s="42"/>
      <c r="L1028" s="42"/>
      <c r="M1028" s="42"/>
    </row>
    <row r="1029" spans="1:13" x14ac:dyDescent="0.2">
      <c r="A1029" s="42"/>
      <c r="B1029" s="42"/>
      <c r="C1029" s="42"/>
      <c r="D1029" s="42"/>
      <c r="E1029" s="42"/>
      <c r="F1029" s="42"/>
      <c r="G1029" s="42"/>
      <c r="H1029" s="42"/>
      <c r="I1029" s="42"/>
      <c r="J1029" s="42"/>
      <c r="K1029" s="42"/>
      <c r="L1029" s="42"/>
      <c r="M1029" s="42"/>
    </row>
    <row r="1030" spans="1:13" x14ac:dyDescent="0.2">
      <c r="A1030" s="42"/>
      <c r="B1030" s="42"/>
      <c r="C1030" s="42"/>
      <c r="D1030" s="42"/>
      <c r="E1030" s="42"/>
      <c r="F1030" s="42"/>
      <c r="G1030" s="42"/>
      <c r="H1030" s="42"/>
      <c r="I1030" s="42"/>
      <c r="J1030" s="42"/>
      <c r="K1030" s="42"/>
      <c r="L1030" s="42"/>
      <c r="M1030" s="42"/>
    </row>
    <row r="1031" spans="1:13" x14ac:dyDescent="0.2">
      <c r="A1031" s="42"/>
      <c r="B1031" s="42"/>
      <c r="C1031" s="42"/>
      <c r="D1031" s="42"/>
      <c r="E1031" s="42"/>
      <c r="F1031" s="42"/>
      <c r="G1031" s="42"/>
      <c r="H1031" s="42"/>
      <c r="I1031" s="42"/>
      <c r="J1031" s="42"/>
      <c r="K1031" s="42"/>
      <c r="L1031" s="42"/>
      <c r="M1031" s="42"/>
    </row>
    <row r="1032" spans="1:13" x14ac:dyDescent="0.2">
      <c r="A1032" s="42"/>
      <c r="B1032" s="42"/>
      <c r="C1032" s="42"/>
      <c r="D1032" s="42"/>
      <c r="E1032" s="42"/>
      <c r="F1032" s="42"/>
      <c r="G1032" s="42"/>
      <c r="H1032" s="42"/>
      <c r="I1032" s="42"/>
      <c r="J1032" s="42"/>
      <c r="K1032" s="42"/>
      <c r="L1032" s="42"/>
      <c r="M1032" s="42"/>
    </row>
    <row r="1033" spans="1:13" x14ac:dyDescent="0.2">
      <c r="A1033" s="42"/>
      <c r="B1033" s="42"/>
      <c r="C1033" s="42"/>
      <c r="D1033" s="42"/>
      <c r="E1033" s="42"/>
      <c r="F1033" s="42"/>
      <c r="G1033" s="42"/>
      <c r="H1033" s="42"/>
      <c r="I1033" s="42"/>
      <c r="J1033" s="42"/>
      <c r="K1033" s="42"/>
      <c r="L1033" s="42"/>
      <c r="M1033" s="42"/>
    </row>
    <row r="1034" spans="1:13" x14ac:dyDescent="0.2">
      <c r="A1034" s="42"/>
      <c r="B1034" s="42"/>
      <c r="C1034" s="42"/>
      <c r="D1034" s="42"/>
      <c r="E1034" s="42"/>
      <c r="F1034" s="42"/>
      <c r="G1034" s="42"/>
      <c r="H1034" s="42"/>
      <c r="I1034" s="42"/>
      <c r="J1034" s="42"/>
      <c r="K1034" s="42"/>
      <c r="L1034" s="42"/>
      <c r="M1034" s="42"/>
    </row>
    <row r="1035" spans="1:13" x14ac:dyDescent="0.2">
      <c r="A1035" s="42"/>
      <c r="B1035" s="42"/>
      <c r="C1035" s="42"/>
      <c r="D1035" s="42"/>
      <c r="E1035" s="42"/>
      <c r="F1035" s="42"/>
      <c r="G1035" s="42"/>
      <c r="H1035" s="42"/>
      <c r="I1035" s="42"/>
      <c r="J1035" s="42"/>
      <c r="K1035" s="42"/>
      <c r="L1035" s="42"/>
      <c r="M1035" s="42"/>
    </row>
    <row r="1036" spans="1:13" x14ac:dyDescent="0.2">
      <c r="A1036" s="42"/>
      <c r="B1036" s="42"/>
      <c r="C1036" s="42"/>
      <c r="D1036" s="42"/>
      <c r="E1036" s="42"/>
      <c r="F1036" s="42"/>
      <c r="G1036" s="42"/>
      <c r="H1036" s="42"/>
      <c r="I1036" s="42"/>
      <c r="J1036" s="42"/>
      <c r="K1036" s="42"/>
      <c r="L1036" s="42"/>
      <c r="M1036" s="42"/>
    </row>
    <row r="1037" spans="1:13" x14ac:dyDescent="0.2">
      <c r="A1037" s="42"/>
      <c r="B1037" s="42"/>
      <c r="C1037" s="42"/>
      <c r="D1037" s="42"/>
      <c r="E1037" s="42"/>
      <c r="F1037" s="42"/>
      <c r="G1037" s="42"/>
      <c r="H1037" s="42"/>
      <c r="I1037" s="42"/>
      <c r="J1037" s="42"/>
      <c r="K1037" s="42"/>
      <c r="L1037" s="42"/>
      <c r="M1037" s="42"/>
    </row>
    <row r="1038" spans="1:13" x14ac:dyDescent="0.2">
      <c r="A1038" s="42"/>
      <c r="B1038" s="42"/>
      <c r="C1038" s="42"/>
      <c r="D1038" s="42"/>
      <c r="E1038" s="42"/>
      <c r="F1038" s="42"/>
      <c r="G1038" s="42"/>
      <c r="H1038" s="42"/>
      <c r="I1038" s="42"/>
      <c r="J1038" s="42"/>
      <c r="K1038" s="42"/>
      <c r="L1038" s="42"/>
      <c r="M1038" s="42"/>
    </row>
    <row r="1039" spans="1:13" x14ac:dyDescent="0.2">
      <c r="A1039" s="42"/>
      <c r="B1039" s="42"/>
      <c r="C1039" s="42"/>
      <c r="D1039" s="42"/>
      <c r="E1039" s="42"/>
      <c r="F1039" s="42"/>
      <c r="G1039" s="42"/>
      <c r="H1039" s="42"/>
      <c r="I1039" s="42"/>
      <c r="J1039" s="42"/>
      <c r="K1039" s="42"/>
      <c r="L1039" s="42"/>
      <c r="M1039" s="42"/>
    </row>
    <row r="1040" spans="1:13" x14ac:dyDescent="0.2">
      <c r="A1040" s="42"/>
      <c r="B1040" s="42"/>
      <c r="C1040" s="42"/>
      <c r="D1040" s="42"/>
      <c r="E1040" s="42"/>
      <c r="F1040" s="42"/>
      <c r="G1040" s="42"/>
      <c r="H1040" s="42"/>
      <c r="I1040" s="42"/>
      <c r="J1040" s="42"/>
      <c r="K1040" s="42"/>
      <c r="L1040" s="42"/>
      <c r="M1040" s="42"/>
    </row>
    <row r="1041" spans="1:13" x14ac:dyDescent="0.2">
      <c r="A1041" s="42"/>
      <c r="B1041" s="42"/>
      <c r="C1041" s="42"/>
      <c r="D1041" s="42"/>
      <c r="E1041" s="42"/>
      <c r="F1041" s="42"/>
      <c r="G1041" s="42"/>
      <c r="H1041" s="42"/>
      <c r="I1041" s="42"/>
      <c r="J1041" s="42"/>
      <c r="K1041" s="42"/>
      <c r="L1041" s="42"/>
      <c r="M1041" s="42"/>
    </row>
    <row r="1042" spans="1:13" x14ac:dyDescent="0.2">
      <c r="A1042" s="42"/>
      <c r="B1042" s="42"/>
      <c r="C1042" s="42"/>
      <c r="D1042" s="42"/>
      <c r="E1042" s="42"/>
      <c r="F1042" s="42"/>
      <c r="G1042" s="42"/>
      <c r="H1042" s="42"/>
      <c r="I1042" s="42"/>
      <c r="J1042" s="42"/>
      <c r="K1042" s="42"/>
      <c r="L1042" s="42"/>
      <c r="M1042" s="42"/>
    </row>
    <row r="1043" spans="1:13" x14ac:dyDescent="0.2">
      <c r="A1043" s="42"/>
      <c r="B1043" s="42"/>
      <c r="C1043" s="42"/>
      <c r="D1043" s="42"/>
      <c r="E1043" s="42"/>
      <c r="F1043" s="42"/>
      <c r="G1043" s="42"/>
      <c r="H1043" s="42"/>
      <c r="I1043" s="42"/>
      <c r="J1043" s="42"/>
      <c r="K1043" s="42"/>
      <c r="L1043" s="42"/>
      <c r="M1043" s="42"/>
    </row>
    <row r="1044" spans="1:13" x14ac:dyDescent="0.2">
      <c r="A1044" s="42"/>
      <c r="B1044" s="42"/>
      <c r="C1044" s="42"/>
      <c r="D1044" s="42"/>
      <c r="E1044" s="42"/>
      <c r="F1044" s="42"/>
      <c r="G1044" s="42"/>
      <c r="H1044" s="42"/>
      <c r="I1044" s="42"/>
      <c r="J1044" s="42"/>
      <c r="K1044" s="42"/>
      <c r="L1044" s="42"/>
      <c r="M1044" s="42"/>
    </row>
    <row r="1045" spans="1:13" x14ac:dyDescent="0.2">
      <c r="A1045" s="42"/>
      <c r="B1045" s="42"/>
      <c r="C1045" s="42"/>
      <c r="D1045" s="42"/>
      <c r="E1045" s="42"/>
      <c r="F1045" s="42"/>
      <c r="G1045" s="42"/>
      <c r="H1045" s="42"/>
      <c r="I1045" s="42"/>
      <c r="J1045" s="42"/>
      <c r="K1045" s="42"/>
      <c r="L1045" s="42"/>
      <c r="M1045" s="42"/>
    </row>
    <row r="1046" spans="1:13" x14ac:dyDescent="0.2">
      <c r="A1046" s="42"/>
      <c r="B1046" s="42"/>
      <c r="C1046" s="42"/>
      <c r="D1046" s="42"/>
      <c r="E1046" s="42"/>
      <c r="F1046" s="42"/>
      <c r="G1046" s="42"/>
      <c r="H1046" s="42"/>
      <c r="I1046" s="42"/>
      <c r="J1046" s="42"/>
      <c r="K1046" s="42"/>
      <c r="L1046" s="42"/>
      <c r="M1046" s="42"/>
    </row>
    <row r="1047" spans="1:13" x14ac:dyDescent="0.2">
      <c r="A1047" s="42"/>
      <c r="B1047" s="42"/>
      <c r="C1047" s="42"/>
      <c r="D1047" s="42"/>
      <c r="E1047" s="42"/>
      <c r="F1047" s="42"/>
      <c r="G1047" s="42"/>
      <c r="H1047" s="42"/>
      <c r="I1047" s="42"/>
      <c r="J1047" s="42"/>
      <c r="K1047" s="42"/>
      <c r="L1047" s="42"/>
      <c r="M1047" s="42"/>
    </row>
    <row r="1048" spans="1:13" x14ac:dyDescent="0.2">
      <c r="A1048" s="42"/>
      <c r="B1048" s="42"/>
      <c r="C1048" s="42"/>
      <c r="D1048" s="42"/>
      <c r="E1048" s="42"/>
      <c r="F1048" s="42"/>
      <c r="G1048" s="42"/>
      <c r="H1048" s="42"/>
      <c r="I1048" s="42"/>
      <c r="J1048" s="42"/>
      <c r="K1048" s="42"/>
      <c r="L1048" s="42"/>
      <c r="M1048" s="42"/>
    </row>
    <row r="1049" spans="1:13" x14ac:dyDescent="0.2">
      <c r="A1049" s="42"/>
      <c r="B1049" s="42"/>
      <c r="C1049" s="42"/>
      <c r="D1049" s="42"/>
      <c r="E1049" s="42"/>
      <c r="F1049" s="42"/>
      <c r="G1049" s="42"/>
      <c r="H1049" s="42"/>
      <c r="I1049" s="42"/>
      <c r="J1049" s="42"/>
      <c r="K1049" s="42"/>
      <c r="L1049" s="42"/>
      <c r="M1049" s="42"/>
    </row>
    <row r="1050" spans="1:13" x14ac:dyDescent="0.2">
      <c r="A1050" s="42"/>
      <c r="B1050" s="42"/>
      <c r="C1050" s="42"/>
      <c r="D1050" s="42"/>
      <c r="E1050" s="42"/>
      <c r="F1050" s="42"/>
      <c r="G1050" s="42"/>
      <c r="H1050" s="42"/>
      <c r="I1050" s="42"/>
      <c r="J1050" s="42"/>
      <c r="K1050" s="42"/>
      <c r="L1050" s="42"/>
      <c r="M1050" s="42"/>
    </row>
    <row r="1051" spans="1:13" x14ac:dyDescent="0.2">
      <c r="A1051" s="42"/>
      <c r="B1051" s="42"/>
      <c r="C1051" s="42"/>
      <c r="D1051" s="42"/>
      <c r="E1051" s="42"/>
      <c r="F1051" s="42"/>
      <c r="G1051" s="42"/>
      <c r="H1051" s="42"/>
      <c r="I1051" s="42"/>
      <c r="J1051" s="42"/>
      <c r="K1051" s="42"/>
      <c r="L1051" s="42"/>
      <c r="M1051" s="42"/>
    </row>
    <row r="1052" spans="1:13" x14ac:dyDescent="0.2">
      <c r="A1052" s="42"/>
      <c r="B1052" s="42"/>
      <c r="C1052" s="42"/>
      <c r="D1052" s="42"/>
      <c r="E1052" s="42"/>
      <c r="F1052" s="42"/>
      <c r="G1052" s="42"/>
      <c r="H1052" s="42"/>
      <c r="I1052" s="42"/>
      <c r="J1052" s="42"/>
      <c r="K1052" s="42"/>
      <c r="L1052" s="42"/>
      <c r="M1052" s="42"/>
    </row>
    <row r="1053" spans="1:13" x14ac:dyDescent="0.2">
      <c r="A1053" s="42"/>
      <c r="B1053" s="42"/>
      <c r="C1053" s="42"/>
      <c r="D1053" s="42"/>
      <c r="E1053" s="42"/>
      <c r="F1053" s="42"/>
      <c r="G1053" s="42"/>
      <c r="H1053" s="42"/>
      <c r="I1053" s="42"/>
      <c r="J1053" s="42"/>
      <c r="K1053" s="42"/>
      <c r="L1053" s="42"/>
      <c r="M1053" s="42"/>
    </row>
    <row r="1054" spans="1:13" x14ac:dyDescent="0.2">
      <c r="A1054" s="42"/>
      <c r="B1054" s="42"/>
      <c r="C1054" s="42"/>
      <c r="D1054" s="42"/>
      <c r="E1054" s="42"/>
      <c r="F1054" s="42"/>
      <c r="G1054" s="42"/>
      <c r="H1054" s="42"/>
      <c r="I1054" s="42"/>
      <c r="J1054" s="42"/>
      <c r="K1054" s="42"/>
      <c r="L1054" s="42"/>
      <c r="M1054" s="42"/>
    </row>
    <row r="1055" spans="1:13" x14ac:dyDescent="0.2">
      <c r="A1055" s="42"/>
      <c r="B1055" s="42"/>
      <c r="C1055" s="42"/>
      <c r="D1055" s="42"/>
      <c r="E1055" s="42"/>
      <c r="F1055" s="42"/>
      <c r="G1055" s="42"/>
      <c r="H1055" s="42"/>
      <c r="I1055" s="42"/>
      <c r="J1055" s="42"/>
      <c r="K1055" s="42"/>
      <c r="L1055" s="42"/>
      <c r="M1055" s="42"/>
    </row>
    <row r="1056" spans="1:13" x14ac:dyDescent="0.2">
      <c r="A1056" s="42"/>
      <c r="B1056" s="42"/>
      <c r="C1056" s="42"/>
      <c r="D1056" s="42"/>
      <c r="E1056" s="42"/>
      <c r="F1056" s="42"/>
      <c r="G1056" s="42"/>
      <c r="H1056" s="42"/>
      <c r="I1056" s="42"/>
      <c r="J1056" s="42"/>
      <c r="K1056" s="42"/>
      <c r="L1056" s="42"/>
      <c r="M1056" s="42"/>
    </row>
    <row r="1057" spans="1:13" x14ac:dyDescent="0.2">
      <c r="A1057" s="42"/>
      <c r="B1057" s="42"/>
      <c r="C1057" s="42"/>
      <c r="D1057" s="42"/>
      <c r="E1057" s="42"/>
      <c r="F1057" s="42"/>
      <c r="G1057" s="42"/>
      <c r="H1057" s="42"/>
      <c r="I1057" s="42"/>
      <c r="J1057" s="42"/>
      <c r="K1057" s="42"/>
      <c r="L1057" s="42"/>
      <c r="M1057" s="42"/>
    </row>
    <row r="1058" spans="1:13" x14ac:dyDescent="0.2">
      <c r="A1058" s="42"/>
      <c r="B1058" s="42"/>
      <c r="C1058" s="42"/>
      <c r="D1058" s="42"/>
      <c r="E1058" s="42"/>
      <c r="F1058" s="42"/>
      <c r="G1058" s="42"/>
      <c r="H1058" s="42"/>
      <c r="I1058" s="42"/>
      <c r="J1058" s="42"/>
      <c r="K1058" s="42"/>
      <c r="L1058" s="42"/>
      <c r="M1058" s="42"/>
    </row>
    <row r="1059" spans="1:13" x14ac:dyDescent="0.2">
      <c r="A1059" s="42"/>
      <c r="B1059" s="42"/>
      <c r="C1059" s="42"/>
      <c r="D1059" s="42"/>
      <c r="E1059" s="42"/>
      <c r="F1059" s="42"/>
      <c r="G1059" s="42"/>
      <c r="H1059" s="42"/>
      <c r="I1059" s="42"/>
      <c r="J1059" s="42"/>
      <c r="K1059" s="42"/>
      <c r="L1059" s="42"/>
      <c r="M1059" s="42"/>
    </row>
    <row r="1060" spans="1:13" x14ac:dyDescent="0.2">
      <c r="A1060" s="42"/>
      <c r="B1060" s="42"/>
      <c r="C1060" s="42"/>
      <c r="D1060" s="42"/>
      <c r="E1060" s="42"/>
      <c r="F1060" s="42"/>
      <c r="G1060" s="42"/>
      <c r="H1060" s="42"/>
      <c r="I1060" s="42"/>
      <c r="J1060" s="42"/>
      <c r="K1060" s="42"/>
      <c r="L1060" s="42"/>
      <c r="M1060" s="42"/>
    </row>
    <row r="1061" spans="1:13" x14ac:dyDescent="0.2">
      <c r="A1061" s="42"/>
      <c r="B1061" s="42"/>
      <c r="C1061" s="42"/>
      <c r="D1061" s="42"/>
      <c r="E1061" s="42"/>
      <c r="F1061" s="42"/>
      <c r="G1061" s="42"/>
      <c r="H1061" s="42"/>
      <c r="I1061" s="42"/>
      <c r="J1061" s="42"/>
      <c r="K1061" s="42"/>
      <c r="L1061" s="42"/>
      <c r="M1061" s="42"/>
    </row>
    <row r="1062" spans="1:13" x14ac:dyDescent="0.2">
      <c r="A1062" s="42"/>
      <c r="B1062" s="42"/>
      <c r="C1062" s="42"/>
      <c r="D1062" s="42"/>
      <c r="E1062" s="42"/>
      <c r="F1062" s="42"/>
      <c r="G1062" s="42"/>
      <c r="H1062" s="42"/>
      <c r="I1062" s="42"/>
      <c r="J1062" s="42"/>
      <c r="K1062" s="42"/>
      <c r="L1062" s="42"/>
      <c r="M1062" s="42"/>
    </row>
    <row r="1063" spans="1:13" x14ac:dyDescent="0.2">
      <c r="A1063" s="42"/>
      <c r="B1063" s="42"/>
      <c r="C1063" s="42"/>
      <c r="D1063" s="42"/>
      <c r="E1063" s="42"/>
      <c r="F1063" s="42"/>
      <c r="G1063" s="42"/>
      <c r="H1063" s="42"/>
      <c r="I1063" s="42"/>
      <c r="J1063" s="42"/>
      <c r="K1063" s="42"/>
      <c r="L1063" s="42"/>
      <c r="M1063" s="42"/>
    </row>
    <row r="1064" spans="1:13" x14ac:dyDescent="0.2">
      <c r="A1064" s="42"/>
      <c r="B1064" s="42"/>
      <c r="C1064" s="42"/>
      <c r="D1064" s="42"/>
      <c r="E1064" s="42"/>
      <c r="F1064" s="42"/>
      <c r="G1064" s="42"/>
      <c r="H1064" s="42"/>
      <c r="I1064" s="42"/>
      <c r="J1064" s="42"/>
      <c r="K1064" s="42"/>
      <c r="L1064" s="42"/>
      <c r="M1064" s="42"/>
    </row>
    <row r="1065" spans="1:13" x14ac:dyDescent="0.2">
      <c r="A1065" s="42"/>
      <c r="B1065" s="42"/>
      <c r="C1065" s="42"/>
      <c r="D1065" s="42"/>
      <c r="E1065" s="42"/>
      <c r="F1065" s="42"/>
      <c r="G1065" s="42"/>
      <c r="H1065" s="42"/>
      <c r="I1065" s="42"/>
      <c r="J1065" s="42"/>
      <c r="K1065" s="42"/>
      <c r="L1065" s="42"/>
      <c r="M1065" s="42"/>
    </row>
    <row r="1066" spans="1:13" x14ac:dyDescent="0.2">
      <c r="A1066" s="42"/>
      <c r="B1066" s="42"/>
      <c r="C1066" s="42"/>
      <c r="D1066" s="42"/>
      <c r="E1066" s="42"/>
      <c r="F1066" s="42"/>
      <c r="G1066" s="42"/>
      <c r="H1066" s="42"/>
      <c r="I1066" s="42"/>
      <c r="J1066" s="42"/>
      <c r="K1066" s="42"/>
      <c r="L1066" s="42"/>
      <c r="M1066" s="42"/>
    </row>
    <row r="1067" spans="1:13" x14ac:dyDescent="0.2">
      <c r="A1067" s="42"/>
      <c r="B1067" s="42"/>
      <c r="C1067" s="42"/>
      <c r="D1067" s="42"/>
      <c r="E1067" s="42"/>
      <c r="F1067" s="42"/>
      <c r="G1067" s="42"/>
      <c r="H1067" s="42"/>
      <c r="I1067" s="42"/>
      <c r="J1067" s="42"/>
      <c r="K1067" s="42"/>
      <c r="L1067" s="42"/>
      <c r="M1067" s="42"/>
    </row>
    <row r="1068" spans="1:13" x14ac:dyDescent="0.2">
      <c r="A1068" s="42"/>
      <c r="B1068" s="42"/>
      <c r="C1068" s="42"/>
      <c r="D1068" s="42"/>
      <c r="E1068" s="42"/>
      <c r="F1068" s="42"/>
      <c r="G1068" s="42"/>
      <c r="H1068" s="42"/>
      <c r="I1068" s="42"/>
      <c r="J1068" s="42"/>
      <c r="K1068" s="42"/>
      <c r="L1068" s="42"/>
      <c r="M1068" s="42"/>
    </row>
    <row r="1069" spans="1:13" x14ac:dyDescent="0.2">
      <c r="A1069" s="42"/>
      <c r="B1069" s="42"/>
      <c r="C1069" s="42"/>
      <c r="D1069" s="42"/>
      <c r="E1069" s="42"/>
      <c r="F1069" s="42"/>
      <c r="G1069" s="42"/>
      <c r="H1069" s="42"/>
      <c r="I1069" s="42"/>
      <c r="J1069" s="42"/>
      <c r="K1069" s="42"/>
      <c r="L1069" s="42"/>
      <c r="M1069" s="42"/>
    </row>
    <row r="1070" spans="1:13" x14ac:dyDescent="0.2">
      <c r="A1070" s="42"/>
      <c r="B1070" s="42"/>
      <c r="C1070" s="42"/>
      <c r="D1070" s="42"/>
      <c r="E1070" s="42"/>
      <c r="F1070" s="42"/>
      <c r="G1070" s="42"/>
      <c r="H1070" s="42"/>
      <c r="I1070" s="42"/>
      <c r="J1070" s="42"/>
      <c r="K1070" s="42"/>
      <c r="L1070" s="42"/>
      <c r="M1070" s="42"/>
    </row>
    <row r="1071" spans="1:13" x14ac:dyDescent="0.2">
      <c r="A1071" s="42"/>
      <c r="B1071" s="42"/>
      <c r="C1071" s="42"/>
      <c r="D1071" s="42"/>
      <c r="E1071" s="42"/>
      <c r="F1071" s="42"/>
      <c r="G1071" s="42"/>
      <c r="H1071" s="42"/>
      <c r="I1071" s="42"/>
      <c r="J1071" s="42"/>
      <c r="K1071" s="42"/>
      <c r="L1071" s="42"/>
      <c r="M1071" s="42"/>
    </row>
    <row r="1072" spans="1:13" x14ac:dyDescent="0.2">
      <c r="A1072" s="42"/>
      <c r="B1072" s="42"/>
      <c r="C1072" s="42"/>
      <c r="D1072" s="42"/>
      <c r="E1072" s="42"/>
      <c r="F1072" s="42"/>
      <c r="G1072" s="42"/>
      <c r="H1072" s="42"/>
      <c r="I1072" s="42"/>
      <c r="J1072" s="42"/>
      <c r="K1072" s="42"/>
      <c r="L1072" s="42"/>
      <c r="M1072" s="42"/>
    </row>
    <row r="1073" spans="1:13" x14ac:dyDescent="0.2">
      <c r="A1073" s="42"/>
      <c r="B1073" s="42"/>
      <c r="C1073" s="42"/>
      <c r="D1073" s="42"/>
      <c r="E1073" s="42"/>
      <c r="F1073" s="42"/>
      <c r="G1073" s="42"/>
      <c r="H1073" s="42"/>
      <c r="I1073" s="42"/>
      <c r="J1073" s="42"/>
      <c r="K1073" s="42"/>
      <c r="L1073" s="42"/>
      <c r="M1073" s="42"/>
    </row>
    <row r="1074" spans="1:13" x14ac:dyDescent="0.2">
      <c r="A1074" s="42"/>
      <c r="B1074" s="42"/>
      <c r="C1074" s="42"/>
      <c r="D1074" s="42"/>
      <c r="E1074" s="42"/>
      <c r="F1074" s="42"/>
      <c r="G1074" s="42"/>
      <c r="H1074" s="42"/>
      <c r="I1074" s="42"/>
      <c r="J1074" s="42"/>
      <c r="K1074" s="42"/>
      <c r="L1074" s="42"/>
      <c r="M1074" s="42"/>
    </row>
    <row r="1075" spans="1:13" x14ac:dyDescent="0.2">
      <c r="A1075" s="42"/>
      <c r="B1075" s="42"/>
      <c r="C1075" s="42"/>
      <c r="D1075" s="42"/>
      <c r="E1075" s="42"/>
      <c r="F1075" s="42"/>
      <c r="G1075" s="42"/>
      <c r="H1075" s="42"/>
      <c r="I1075" s="42"/>
      <c r="J1075" s="42"/>
      <c r="K1075" s="42"/>
      <c r="L1075" s="42"/>
      <c r="M1075" s="42"/>
    </row>
    <row r="1076" spans="1:13" x14ac:dyDescent="0.2">
      <c r="A1076" s="42"/>
      <c r="B1076" s="42"/>
      <c r="C1076" s="42"/>
      <c r="D1076" s="42"/>
      <c r="E1076" s="42"/>
      <c r="F1076" s="42"/>
      <c r="G1076" s="42"/>
      <c r="H1076" s="42"/>
      <c r="I1076" s="42"/>
      <c r="J1076" s="42"/>
      <c r="K1076" s="42"/>
      <c r="L1076" s="42"/>
      <c r="M1076" s="42"/>
    </row>
    <row r="1077" spans="1:13" x14ac:dyDescent="0.2">
      <c r="A1077" s="42"/>
      <c r="B1077" s="42"/>
      <c r="C1077" s="42"/>
      <c r="D1077" s="42"/>
      <c r="E1077" s="42"/>
      <c r="F1077" s="42"/>
      <c r="G1077" s="42"/>
      <c r="H1077" s="42"/>
      <c r="I1077" s="42"/>
      <c r="J1077" s="42"/>
      <c r="K1077" s="42"/>
      <c r="L1077" s="42"/>
      <c r="M1077" s="42"/>
    </row>
    <row r="1078" spans="1:13" x14ac:dyDescent="0.2">
      <c r="A1078" s="42"/>
      <c r="B1078" s="42"/>
      <c r="C1078" s="42"/>
      <c r="D1078" s="42"/>
      <c r="E1078" s="42"/>
      <c r="F1078" s="42"/>
      <c r="G1078" s="42"/>
      <c r="H1078" s="42"/>
      <c r="I1078" s="42"/>
      <c r="J1078" s="42"/>
      <c r="K1078" s="42"/>
      <c r="L1078" s="42"/>
      <c r="M1078" s="42"/>
    </row>
    <row r="1079" spans="1:13" x14ac:dyDescent="0.2">
      <c r="A1079" s="42"/>
      <c r="B1079" s="42"/>
      <c r="C1079" s="42"/>
      <c r="D1079" s="42"/>
      <c r="E1079" s="42"/>
      <c r="F1079" s="42"/>
      <c r="G1079" s="42"/>
      <c r="H1079" s="42"/>
      <c r="I1079" s="42"/>
      <c r="J1079" s="42"/>
      <c r="K1079" s="42"/>
      <c r="L1079" s="42"/>
      <c r="M1079" s="42"/>
    </row>
    <row r="1080" spans="1:13" x14ac:dyDescent="0.2">
      <c r="A1080" s="42"/>
      <c r="B1080" s="42"/>
      <c r="C1080" s="42"/>
      <c r="D1080" s="42"/>
      <c r="E1080" s="42"/>
      <c r="F1080" s="42"/>
      <c r="G1080" s="42"/>
      <c r="H1080" s="42"/>
      <c r="I1080" s="42"/>
      <c r="J1080" s="42"/>
      <c r="K1080" s="42"/>
      <c r="L1080" s="42"/>
      <c r="M1080" s="42"/>
    </row>
    <row r="1081" spans="1:13" x14ac:dyDescent="0.2">
      <c r="A1081" s="42"/>
      <c r="B1081" s="42"/>
      <c r="C1081" s="42"/>
      <c r="D1081" s="42"/>
      <c r="E1081" s="42"/>
      <c r="F1081" s="42"/>
      <c r="G1081" s="42"/>
      <c r="H1081" s="42"/>
      <c r="I1081" s="42"/>
      <c r="J1081" s="42"/>
      <c r="K1081" s="42"/>
      <c r="L1081" s="42"/>
      <c r="M1081" s="42"/>
    </row>
    <row r="1082" spans="1:13" x14ac:dyDescent="0.2">
      <c r="A1082" s="42"/>
      <c r="B1082" s="42"/>
      <c r="C1082" s="42"/>
      <c r="D1082" s="42"/>
      <c r="E1082" s="42"/>
      <c r="F1082" s="42"/>
      <c r="G1082" s="42"/>
      <c r="H1082" s="42"/>
      <c r="I1082" s="42"/>
      <c r="J1082" s="42"/>
      <c r="K1082" s="42"/>
      <c r="L1082" s="42"/>
      <c r="M1082" s="42"/>
    </row>
    <row r="1083" spans="1:13" x14ac:dyDescent="0.2">
      <c r="A1083" s="42"/>
      <c r="B1083" s="42"/>
      <c r="C1083" s="42"/>
      <c r="D1083" s="42"/>
      <c r="E1083" s="42"/>
      <c r="F1083" s="42"/>
      <c r="G1083" s="42"/>
      <c r="H1083" s="42"/>
      <c r="I1083" s="42"/>
      <c r="J1083" s="42"/>
      <c r="K1083" s="42"/>
      <c r="L1083" s="42"/>
      <c r="M1083" s="42"/>
    </row>
    <row r="1084" spans="1:13" x14ac:dyDescent="0.2">
      <c r="A1084" s="42"/>
      <c r="B1084" s="42"/>
      <c r="C1084" s="42"/>
      <c r="D1084" s="42"/>
      <c r="E1084" s="42"/>
      <c r="F1084" s="42"/>
      <c r="G1084" s="42"/>
      <c r="H1084" s="42"/>
      <c r="I1084" s="42"/>
      <c r="J1084" s="42"/>
      <c r="K1084" s="42"/>
      <c r="L1084" s="42"/>
      <c r="M1084" s="42"/>
    </row>
    <row r="1085" spans="1:13" x14ac:dyDescent="0.2">
      <c r="A1085" s="42"/>
      <c r="B1085" s="42"/>
      <c r="C1085" s="42"/>
      <c r="D1085" s="42"/>
      <c r="E1085" s="42"/>
      <c r="F1085" s="42"/>
      <c r="G1085" s="42"/>
      <c r="H1085" s="42"/>
      <c r="I1085" s="42"/>
      <c r="J1085" s="42"/>
      <c r="K1085" s="42"/>
      <c r="L1085" s="42"/>
      <c r="M1085" s="42"/>
    </row>
    <row r="1086" spans="1:13" x14ac:dyDescent="0.2">
      <c r="A1086" s="42"/>
      <c r="B1086" s="42"/>
      <c r="C1086" s="42"/>
      <c r="D1086" s="42"/>
      <c r="E1086" s="42"/>
      <c r="F1086" s="42"/>
      <c r="G1086" s="42"/>
      <c r="H1086" s="42"/>
      <c r="I1086" s="42"/>
      <c r="J1086" s="42"/>
      <c r="K1086" s="42"/>
      <c r="L1086" s="42"/>
      <c r="M1086" s="42"/>
    </row>
    <row r="1087" spans="1:13" x14ac:dyDescent="0.2">
      <c r="A1087" s="42"/>
      <c r="B1087" s="42"/>
      <c r="C1087" s="42"/>
      <c r="D1087" s="42"/>
      <c r="E1087" s="42"/>
      <c r="F1087" s="42"/>
      <c r="G1087" s="42"/>
      <c r="H1087" s="42"/>
      <c r="I1087" s="42"/>
      <c r="J1087" s="42"/>
      <c r="K1087" s="42"/>
      <c r="L1087" s="42"/>
      <c r="M1087" s="42"/>
    </row>
    <row r="1088" spans="1:13" x14ac:dyDescent="0.2">
      <c r="A1088" s="42"/>
      <c r="B1088" s="42"/>
      <c r="C1088" s="42"/>
      <c r="D1088" s="42"/>
      <c r="E1088" s="42"/>
      <c r="F1088" s="42"/>
      <c r="G1088" s="42"/>
      <c r="H1088" s="42"/>
      <c r="I1088" s="42"/>
      <c r="J1088" s="42"/>
      <c r="K1088" s="42"/>
      <c r="L1088" s="42"/>
      <c r="M1088" s="42"/>
    </row>
    <row r="1089" spans="1:13" x14ac:dyDescent="0.2">
      <c r="A1089" s="42"/>
      <c r="B1089" s="42"/>
      <c r="C1089" s="42"/>
      <c r="D1089" s="42"/>
      <c r="E1089" s="42"/>
      <c r="F1089" s="42"/>
      <c r="G1089" s="42"/>
      <c r="H1089" s="42"/>
      <c r="I1089" s="42"/>
      <c r="J1089" s="42"/>
      <c r="K1089" s="42"/>
      <c r="L1089" s="42"/>
      <c r="M1089" s="42"/>
    </row>
    <row r="1090" spans="1:13" x14ac:dyDescent="0.2">
      <c r="A1090" s="42"/>
      <c r="B1090" s="42"/>
      <c r="C1090" s="42"/>
      <c r="D1090" s="42"/>
      <c r="E1090" s="42"/>
      <c r="F1090" s="42"/>
      <c r="G1090" s="42"/>
      <c r="H1090" s="42"/>
      <c r="I1090" s="42"/>
      <c r="J1090" s="42"/>
      <c r="K1090" s="42"/>
      <c r="L1090" s="42"/>
      <c r="M1090" s="42"/>
    </row>
    <row r="1091" spans="1:13" x14ac:dyDescent="0.2">
      <c r="A1091" s="42"/>
      <c r="B1091" s="42"/>
      <c r="C1091" s="42"/>
      <c r="D1091" s="42"/>
      <c r="E1091" s="42"/>
      <c r="F1091" s="42"/>
      <c r="G1091" s="42"/>
      <c r="H1091" s="42"/>
      <c r="I1091" s="42"/>
      <c r="J1091" s="42"/>
      <c r="K1091" s="42"/>
      <c r="L1091" s="42"/>
      <c r="M1091" s="42"/>
    </row>
    <row r="1092" spans="1:13" x14ac:dyDescent="0.2">
      <c r="A1092" s="42"/>
      <c r="B1092" s="42"/>
      <c r="C1092" s="42"/>
      <c r="D1092" s="42"/>
      <c r="E1092" s="42"/>
      <c r="F1092" s="42"/>
      <c r="G1092" s="42"/>
      <c r="H1092" s="42"/>
      <c r="I1092" s="42"/>
      <c r="J1092" s="42"/>
      <c r="K1092" s="42"/>
      <c r="L1092" s="42"/>
      <c r="M1092" s="42"/>
    </row>
    <row r="1093" spans="1:13" x14ac:dyDescent="0.2">
      <c r="A1093" s="42"/>
      <c r="B1093" s="42"/>
      <c r="C1093" s="42"/>
      <c r="D1093" s="42"/>
      <c r="E1093" s="42"/>
      <c r="F1093" s="42"/>
      <c r="G1093" s="42"/>
      <c r="H1093" s="42"/>
      <c r="I1093" s="42"/>
      <c r="J1093" s="42"/>
      <c r="K1093" s="42"/>
      <c r="L1093" s="42"/>
      <c r="M1093" s="42"/>
    </row>
    <row r="1094" spans="1:13" x14ac:dyDescent="0.2">
      <c r="A1094" s="42"/>
      <c r="B1094" s="42"/>
      <c r="C1094" s="42"/>
      <c r="D1094" s="42"/>
      <c r="E1094" s="42"/>
      <c r="F1094" s="42"/>
      <c r="G1094" s="42"/>
      <c r="H1094" s="42"/>
      <c r="I1094" s="42"/>
      <c r="J1094" s="42"/>
      <c r="K1094" s="42"/>
      <c r="L1094" s="42"/>
      <c r="M1094" s="42"/>
    </row>
    <row r="1095" spans="1:13" x14ac:dyDescent="0.2">
      <c r="A1095" s="42"/>
      <c r="B1095" s="42"/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</row>
    <row r="1096" spans="1:13" x14ac:dyDescent="0.2">
      <c r="A1096" s="42"/>
      <c r="B1096" s="42"/>
      <c r="C1096" s="42"/>
      <c r="D1096" s="42"/>
      <c r="E1096" s="42"/>
      <c r="F1096" s="42"/>
      <c r="G1096" s="42"/>
      <c r="H1096" s="42"/>
      <c r="I1096" s="42"/>
      <c r="J1096" s="42"/>
      <c r="K1096" s="42"/>
      <c r="L1096" s="42"/>
      <c r="M1096" s="42"/>
    </row>
    <row r="1097" spans="1:13" x14ac:dyDescent="0.2">
      <c r="A1097" s="42"/>
      <c r="B1097" s="42"/>
      <c r="C1097" s="42"/>
      <c r="D1097" s="42"/>
      <c r="E1097" s="42"/>
      <c r="F1097" s="42"/>
      <c r="G1097" s="42"/>
      <c r="H1097" s="42"/>
      <c r="I1097" s="42"/>
      <c r="J1097" s="42"/>
      <c r="K1097" s="42"/>
      <c r="L1097" s="42"/>
      <c r="M1097" s="42"/>
    </row>
    <row r="1098" spans="1:13" x14ac:dyDescent="0.2">
      <c r="A1098" s="42"/>
      <c r="B1098" s="42"/>
      <c r="C1098" s="42"/>
      <c r="D1098" s="42"/>
      <c r="E1098" s="42"/>
      <c r="F1098" s="42"/>
      <c r="G1098" s="42"/>
      <c r="H1098" s="42"/>
      <c r="I1098" s="42"/>
      <c r="J1098" s="42"/>
      <c r="K1098" s="42"/>
      <c r="L1098" s="42"/>
      <c r="M1098" s="42"/>
    </row>
    <row r="1099" spans="1:13" x14ac:dyDescent="0.2">
      <c r="A1099" s="42"/>
      <c r="B1099" s="42"/>
      <c r="C1099" s="42"/>
      <c r="D1099" s="42"/>
      <c r="E1099" s="42"/>
      <c r="F1099" s="42"/>
      <c r="G1099" s="42"/>
      <c r="H1099" s="42"/>
      <c r="I1099" s="42"/>
      <c r="J1099" s="42"/>
      <c r="K1099" s="42"/>
      <c r="L1099" s="42"/>
      <c r="M1099" s="42"/>
    </row>
    <row r="1100" spans="1:13" x14ac:dyDescent="0.2">
      <c r="A1100" s="42"/>
      <c r="B1100" s="42"/>
      <c r="C1100" s="42"/>
      <c r="D1100" s="42"/>
      <c r="E1100" s="42"/>
      <c r="F1100" s="42"/>
      <c r="G1100" s="42"/>
      <c r="H1100" s="42"/>
      <c r="I1100" s="42"/>
      <c r="J1100" s="42"/>
      <c r="K1100" s="42"/>
      <c r="L1100" s="42"/>
      <c r="M1100" s="42"/>
    </row>
    <row r="1101" spans="1:13" x14ac:dyDescent="0.2">
      <c r="A1101" s="42"/>
      <c r="B1101" s="42"/>
      <c r="C1101" s="42"/>
      <c r="D1101" s="42"/>
      <c r="E1101" s="42"/>
      <c r="F1101" s="42"/>
      <c r="G1101" s="42"/>
      <c r="H1101" s="42"/>
      <c r="I1101" s="42"/>
      <c r="J1101" s="42"/>
      <c r="K1101" s="42"/>
      <c r="L1101" s="42"/>
      <c r="M1101" s="42"/>
    </row>
    <row r="1102" spans="1:13" x14ac:dyDescent="0.2">
      <c r="A1102" s="42"/>
      <c r="B1102" s="42"/>
      <c r="C1102" s="42"/>
      <c r="D1102" s="42"/>
      <c r="E1102" s="42"/>
      <c r="F1102" s="42"/>
      <c r="G1102" s="42"/>
      <c r="H1102" s="42"/>
      <c r="I1102" s="42"/>
      <c r="J1102" s="42"/>
      <c r="K1102" s="42"/>
      <c r="L1102" s="42"/>
      <c r="M1102" s="42"/>
    </row>
    <row r="1103" spans="1:13" x14ac:dyDescent="0.2">
      <c r="A1103" s="42"/>
      <c r="B1103" s="42"/>
      <c r="C1103" s="42"/>
      <c r="D1103" s="42"/>
      <c r="E1103" s="42"/>
      <c r="F1103" s="42"/>
      <c r="G1103" s="42"/>
      <c r="H1103" s="42"/>
      <c r="I1103" s="42"/>
      <c r="J1103" s="42"/>
      <c r="K1103" s="42"/>
      <c r="L1103" s="42"/>
      <c r="M1103" s="42"/>
    </row>
    <row r="1104" spans="1:13" x14ac:dyDescent="0.2">
      <c r="A1104" s="42"/>
      <c r="B1104" s="42"/>
      <c r="C1104" s="42"/>
      <c r="D1104" s="42"/>
      <c r="E1104" s="42"/>
      <c r="F1104" s="42"/>
      <c r="G1104" s="42"/>
      <c r="H1104" s="42"/>
      <c r="I1104" s="42"/>
      <c r="J1104" s="42"/>
      <c r="K1104" s="42"/>
      <c r="L1104" s="42"/>
      <c r="M1104" s="42"/>
    </row>
    <row r="1105" spans="1:13" x14ac:dyDescent="0.2">
      <c r="A1105" s="42"/>
      <c r="B1105" s="42"/>
      <c r="C1105" s="42"/>
      <c r="D1105" s="42"/>
      <c r="E1105" s="42"/>
      <c r="F1105" s="42"/>
      <c r="G1105" s="42"/>
      <c r="H1105" s="42"/>
      <c r="I1105" s="42"/>
      <c r="J1105" s="42"/>
      <c r="K1105" s="42"/>
      <c r="L1105" s="42"/>
      <c r="M1105" s="42"/>
    </row>
    <row r="1106" spans="1:13" x14ac:dyDescent="0.2">
      <c r="A1106" s="42"/>
      <c r="B1106" s="42"/>
      <c r="C1106" s="42"/>
      <c r="D1106" s="42"/>
      <c r="E1106" s="42"/>
      <c r="F1106" s="42"/>
      <c r="G1106" s="42"/>
      <c r="H1106" s="42"/>
      <c r="I1106" s="42"/>
      <c r="J1106" s="42"/>
      <c r="K1106" s="42"/>
      <c r="L1106" s="42"/>
      <c r="M1106" s="42"/>
    </row>
    <row r="1107" spans="1:13" x14ac:dyDescent="0.2">
      <c r="A1107" s="42"/>
      <c r="B1107" s="42"/>
      <c r="C1107" s="42"/>
      <c r="D1107" s="42"/>
      <c r="E1107" s="42"/>
      <c r="F1107" s="42"/>
      <c r="G1107" s="42"/>
      <c r="H1107" s="42"/>
      <c r="I1107" s="42"/>
      <c r="J1107" s="42"/>
      <c r="K1107" s="42"/>
      <c r="L1107" s="42"/>
      <c r="M1107" s="42"/>
    </row>
    <row r="1108" spans="1:13" x14ac:dyDescent="0.2">
      <c r="A1108" s="42"/>
      <c r="B1108" s="42"/>
      <c r="C1108" s="42"/>
      <c r="D1108" s="42"/>
      <c r="E1108" s="42"/>
      <c r="F1108" s="42"/>
      <c r="G1108" s="42"/>
      <c r="H1108" s="42"/>
      <c r="I1108" s="42"/>
      <c r="J1108" s="42"/>
      <c r="K1108" s="42"/>
      <c r="L1108" s="42"/>
      <c r="M1108" s="42"/>
    </row>
    <row r="1109" spans="1:13" x14ac:dyDescent="0.2">
      <c r="A1109" s="42"/>
      <c r="B1109" s="42"/>
      <c r="C1109" s="42"/>
      <c r="D1109" s="42"/>
      <c r="E1109" s="42"/>
      <c r="F1109" s="42"/>
      <c r="G1109" s="42"/>
      <c r="H1109" s="42"/>
      <c r="I1109" s="42"/>
      <c r="J1109" s="42"/>
      <c r="K1109" s="42"/>
      <c r="L1109" s="42"/>
      <c r="M1109" s="42"/>
    </row>
    <row r="1110" spans="1:13" x14ac:dyDescent="0.2">
      <c r="A1110" s="42"/>
      <c r="B1110" s="42"/>
      <c r="C1110" s="42"/>
      <c r="D1110" s="42"/>
      <c r="E1110" s="42"/>
      <c r="F1110" s="42"/>
      <c r="G1110" s="42"/>
      <c r="H1110" s="42"/>
      <c r="I1110" s="42"/>
      <c r="J1110" s="42"/>
      <c r="K1110" s="42"/>
      <c r="L1110" s="42"/>
      <c r="M1110" s="42"/>
    </row>
    <row r="1111" spans="1:13" x14ac:dyDescent="0.2">
      <c r="A1111" s="42"/>
      <c r="B1111" s="42"/>
      <c r="C1111" s="42"/>
      <c r="D1111" s="42"/>
      <c r="E1111" s="42"/>
      <c r="F1111" s="42"/>
      <c r="G1111" s="42"/>
      <c r="H1111" s="42"/>
      <c r="I1111" s="42"/>
      <c r="J1111" s="42"/>
      <c r="K1111" s="42"/>
      <c r="L1111" s="42"/>
      <c r="M1111" s="42"/>
    </row>
    <row r="1112" spans="1:13" x14ac:dyDescent="0.2">
      <c r="A1112" s="42"/>
      <c r="B1112" s="42"/>
      <c r="C1112" s="42"/>
      <c r="D1112" s="42"/>
      <c r="E1112" s="42"/>
      <c r="F1112" s="42"/>
      <c r="G1112" s="42"/>
      <c r="H1112" s="42"/>
      <c r="I1112" s="42"/>
      <c r="J1112" s="42"/>
      <c r="K1112" s="42"/>
      <c r="L1112" s="42"/>
      <c r="M1112" s="42"/>
    </row>
    <row r="1113" spans="1:13" x14ac:dyDescent="0.2">
      <c r="A1113" s="42"/>
      <c r="B1113" s="42"/>
      <c r="C1113" s="42"/>
      <c r="D1113" s="42"/>
      <c r="E1113" s="42"/>
      <c r="F1113" s="42"/>
      <c r="G1113" s="42"/>
      <c r="H1113" s="42"/>
      <c r="I1113" s="42"/>
      <c r="J1113" s="42"/>
      <c r="K1113" s="42"/>
      <c r="L1113" s="42"/>
      <c r="M1113" s="42"/>
    </row>
    <row r="1114" spans="1:13" x14ac:dyDescent="0.2">
      <c r="A1114" s="42"/>
      <c r="B1114" s="42"/>
      <c r="C1114" s="42"/>
      <c r="D1114" s="42"/>
      <c r="E1114" s="42"/>
      <c r="F1114" s="42"/>
      <c r="G1114" s="42"/>
      <c r="H1114" s="42"/>
      <c r="I1114" s="42"/>
      <c r="J1114" s="42"/>
      <c r="K1114" s="42"/>
      <c r="L1114" s="42"/>
      <c r="M1114" s="42"/>
    </row>
    <row r="1115" spans="1:13" x14ac:dyDescent="0.2">
      <c r="A1115" s="42"/>
      <c r="B1115" s="42"/>
      <c r="C1115" s="42"/>
      <c r="D1115" s="42"/>
      <c r="E1115" s="42"/>
      <c r="F1115" s="42"/>
      <c r="G1115" s="42"/>
      <c r="H1115" s="42"/>
      <c r="I1115" s="42"/>
      <c r="J1115" s="42"/>
      <c r="K1115" s="42"/>
      <c r="L1115" s="42"/>
      <c r="M1115" s="42"/>
    </row>
    <row r="1116" spans="1:13" x14ac:dyDescent="0.2">
      <c r="A1116" s="42"/>
      <c r="B1116" s="42"/>
      <c r="C1116" s="42"/>
      <c r="D1116" s="42"/>
      <c r="E1116" s="42"/>
      <c r="F1116" s="42"/>
      <c r="G1116" s="42"/>
      <c r="H1116" s="42"/>
      <c r="I1116" s="42"/>
      <c r="J1116" s="42"/>
      <c r="K1116" s="42"/>
      <c r="L1116" s="42"/>
      <c r="M1116" s="42"/>
    </row>
    <row r="1117" spans="1:13" x14ac:dyDescent="0.2">
      <c r="A1117" s="42"/>
      <c r="B1117" s="42"/>
      <c r="C1117" s="42"/>
      <c r="D1117" s="42"/>
      <c r="E1117" s="42"/>
      <c r="F1117" s="42"/>
      <c r="G1117" s="42"/>
      <c r="H1117" s="42"/>
      <c r="I1117" s="42"/>
      <c r="J1117" s="42"/>
      <c r="K1117" s="42"/>
      <c r="L1117" s="42"/>
      <c r="M1117" s="42"/>
    </row>
    <row r="1118" spans="1:13" x14ac:dyDescent="0.2">
      <c r="A1118" s="42"/>
      <c r="B1118" s="42"/>
      <c r="C1118" s="42"/>
      <c r="D1118" s="42"/>
      <c r="E1118" s="42"/>
      <c r="F1118" s="42"/>
      <c r="G1118" s="42"/>
      <c r="H1118" s="42"/>
      <c r="I1118" s="42"/>
      <c r="J1118" s="42"/>
      <c r="K1118" s="42"/>
      <c r="L1118" s="42"/>
      <c r="M1118" s="42"/>
    </row>
    <row r="1119" spans="1:13" x14ac:dyDescent="0.2">
      <c r="A1119" s="42"/>
      <c r="B1119" s="42"/>
      <c r="C1119" s="42"/>
      <c r="D1119" s="42"/>
      <c r="E1119" s="42"/>
      <c r="F1119" s="42"/>
      <c r="G1119" s="42"/>
      <c r="H1119" s="42"/>
      <c r="I1119" s="42"/>
      <c r="J1119" s="42"/>
      <c r="K1119" s="42"/>
      <c r="L1119" s="42"/>
      <c r="M1119" s="42"/>
    </row>
    <row r="1120" spans="1:13" x14ac:dyDescent="0.2">
      <c r="A1120" s="42"/>
      <c r="B1120" s="42"/>
      <c r="C1120" s="42"/>
      <c r="D1120" s="42"/>
      <c r="E1120" s="42"/>
      <c r="F1120" s="42"/>
      <c r="G1120" s="42"/>
      <c r="H1120" s="42"/>
      <c r="I1120" s="42"/>
      <c r="J1120" s="42"/>
      <c r="K1120" s="42"/>
      <c r="L1120" s="42"/>
      <c r="M1120" s="42"/>
    </row>
    <row r="1121" spans="1:13" x14ac:dyDescent="0.2">
      <c r="A1121" s="42"/>
      <c r="B1121" s="42"/>
      <c r="C1121" s="42"/>
      <c r="D1121" s="42"/>
      <c r="E1121" s="42"/>
      <c r="F1121" s="42"/>
      <c r="G1121" s="42"/>
      <c r="H1121" s="42"/>
      <c r="I1121" s="42"/>
      <c r="J1121" s="42"/>
      <c r="K1121" s="42"/>
      <c r="L1121" s="42"/>
      <c r="M1121" s="42"/>
    </row>
    <row r="1122" spans="1:13" x14ac:dyDescent="0.2">
      <c r="A1122" s="42"/>
      <c r="B1122" s="42"/>
      <c r="C1122" s="42"/>
      <c r="D1122" s="42"/>
      <c r="E1122" s="42"/>
      <c r="F1122" s="42"/>
      <c r="G1122" s="42"/>
      <c r="H1122" s="42"/>
      <c r="I1122" s="42"/>
      <c r="J1122" s="42"/>
      <c r="K1122" s="42"/>
      <c r="L1122" s="42"/>
      <c r="M1122" s="42"/>
    </row>
    <row r="1123" spans="1:13" x14ac:dyDescent="0.2">
      <c r="A1123" s="42"/>
      <c r="B1123" s="42"/>
      <c r="C1123" s="42"/>
      <c r="D1123" s="42"/>
      <c r="E1123" s="42"/>
      <c r="F1123" s="42"/>
      <c r="G1123" s="42"/>
      <c r="H1123" s="42"/>
      <c r="I1123" s="42"/>
      <c r="J1123" s="42"/>
      <c r="K1123" s="42"/>
      <c r="L1123" s="42"/>
      <c r="M1123" s="42"/>
    </row>
    <row r="1124" spans="1:13" x14ac:dyDescent="0.2">
      <c r="A1124" s="42"/>
      <c r="B1124" s="42"/>
      <c r="C1124" s="42"/>
      <c r="D1124" s="42"/>
      <c r="E1124" s="42"/>
      <c r="F1124" s="42"/>
      <c r="G1124" s="42"/>
      <c r="H1124" s="42"/>
      <c r="I1124" s="42"/>
      <c r="J1124" s="42"/>
      <c r="K1124" s="42"/>
      <c r="L1124" s="42"/>
      <c r="M1124" s="42"/>
    </row>
    <row r="1125" spans="1:13" x14ac:dyDescent="0.2">
      <c r="A1125" s="42"/>
      <c r="B1125" s="42"/>
      <c r="C1125" s="42"/>
      <c r="D1125" s="42"/>
      <c r="E1125" s="42"/>
      <c r="F1125" s="42"/>
      <c r="G1125" s="42"/>
      <c r="H1125" s="42"/>
      <c r="I1125" s="42"/>
      <c r="J1125" s="42"/>
      <c r="K1125" s="42"/>
      <c r="L1125" s="42"/>
      <c r="M1125" s="42"/>
    </row>
    <row r="1126" spans="1:13" x14ac:dyDescent="0.2">
      <c r="A1126" s="42"/>
      <c r="B1126" s="42"/>
      <c r="C1126" s="42"/>
      <c r="D1126" s="42"/>
      <c r="E1126" s="42"/>
      <c r="F1126" s="42"/>
      <c r="G1126" s="42"/>
      <c r="H1126" s="42"/>
      <c r="I1126" s="42"/>
      <c r="J1126" s="42"/>
      <c r="K1126" s="42"/>
      <c r="L1126" s="42"/>
      <c r="M1126" s="42"/>
    </row>
    <row r="1127" spans="1:13" x14ac:dyDescent="0.2">
      <c r="A1127" s="42"/>
      <c r="B1127" s="42"/>
      <c r="C1127" s="42"/>
      <c r="D1127" s="42"/>
      <c r="E1127" s="42"/>
      <c r="F1127" s="42"/>
      <c r="G1127" s="42"/>
      <c r="H1127" s="42"/>
      <c r="I1127" s="42"/>
      <c r="J1127" s="42"/>
      <c r="K1127" s="42"/>
      <c r="L1127" s="42"/>
      <c r="M1127" s="42"/>
    </row>
    <row r="1128" spans="1:13" x14ac:dyDescent="0.2">
      <c r="A1128" s="42"/>
      <c r="B1128" s="42"/>
      <c r="C1128" s="42"/>
      <c r="D1128" s="42"/>
      <c r="E1128" s="42"/>
      <c r="F1128" s="42"/>
      <c r="G1128" s="42"/>
      <c r="H1128" s="42"/>
      <c r="I1128" s="42"/>
      <c r="J1128" s="42"/>
      <c r="K1128" s="42"/>
      <c r="L1128" s="42"/>
      <c r="M1128" s="42"/>
    </row>
    <row r="1129" spans="1:13" x14ac:dyDescent="0.2">
      <c r="A1129" s="42"/>
      <c r="B1129" s="42"/>
      <c r="C1129" s="42"/>
      <c r="D1129" s="42"/>
      <c r="E1129" s="42"/>
      <c r="F1129" s="42"/>
      <c r="G1129" s="42"/>
      <c r="H1129" s="42"/>
      <c r="I1129" s="42"/>
      <c r="J1129" s="42"/>
      <c r="K1129" s="42"/>
      <c r="L1129" s="42"/>
      <c r="M1129" s="42"/>
    </row>
    <row r="1130" spans="1:13" x14ac:dyDescent="0.2">
      <c r="A1130" s="42"/>
      <c r="B1130" s="42"/>
      <c r="C1130" s="42"/>
      <c r="D1130" s="42"/>
      <c r="E1130" s="42"/>
      <c r="F1130" s="42"/>
      <c r="G1130" s="42"/>
      <c r="H1130" s="42"/>
      <c r="I1130" s="42"/>
      <c r="J1130" s="42"/>
      <c r="K1130" s="42"/>
      <c r="L1130" s="42"/>
      <c r="M1130" s="42"/>
    </row>
    <row r="1131" spans="1:13" x14ac:dyDescent="0.2">
      <c r="A1131" s="42"/>
      <c r="B1131" s="42"/>
      <c r="C1131" s="42"/>
      <c r="D1131" s="42"/>
      <c r="E1131" s="42"/>
      <c r="F1131" s="42"/>
      <c r="G1131" s="42"/>
      <c r="H1131" s="42"/>
      <c r="I1131" s="42"/>
      <c r="J1131" s="42"/>
      <c r="K1131" s="42"/>
      <c r="L1131" s="42"/>
      <c r="M1131" s="42"/>
    </row>
    <row r="1132" spans="1:13" x14ac:dyDescent="0.2">
      <c r="A1132" s="42"/>
      <c r="B1132" s="42"/>
      <c r="C1132" s="42"/>
      <c r="D1132" s="42"/>
      <c r="E1132" s="42"/>
      <c r="F1132" s="42"/>
      <c r="G1132" s="42"/>
      <c r="H1132" s="42"/>
      <c r="I1132" s="42"/>
      <c r="J1132" s="42"/>
      <c r="K1132" s="42"/>
      <c r="L1132" s="42"/>
      <c r="M1132" s="42"/>
    </row>
    <row r="1133" spans="1:13" x14ac:dyDescent="0.2">
      <c r="A1133" s="42"/>
      <c r="B1133" s="42"/>
      <c r="C1133" s="42"/>
      <c r="D1133" s="42"/>
      <c r="E1133" s="42"/>
      <c r="F1133" s="42"/>
      <c r="G1133" s="42"/>
      <c r="H1133" s="42"/>
      <c r="I1133" s="42"/>
      <c r="J1133" s="42"/>
      <c r="K1133" s="42"/>
      <c r="L1133" s="42"/>
      <c r="M1133" s="42"/>
    </row>
    <row r="1134" spans="1:13" x14ac:dyDescent="0.2">
      <c r="A1134" s="42"/>
      <c r="B1134" s="42"/>
      <c r="C1134" s="42"/>
      <c r="D1134" s="42"/>
      <c r="E1134" s="42"/>
      <c r="F1134" s="42"/>
      <c r="G1134" s="42"/>
      <c r="H1134" s="42"/>
      <c r="I1134" s="42"/>
      <c r="J1134" s="42"/>
      <c r="K1134" s="42"/>
      <c r="L1134" s="42"/>
      <c r="M1134" s="42"/>
    </row>
    <row r="1135" spans="1:13" x14ac:dyDescent="0.2">
      <c r="A1135" s="42"/>
      <c r="B1135" s="42"/>
      <c r="C1135" s="42"/>
      <c r="D1135" s="42"/>
      <c r="E1135" s="42"/>
      <c r="F1135" s="42"/>
      <c r="G1135" s="42"/>
      <c r="H1135" s="42"/>
      <c r="I1135" s="42"/>
      <c r="J1135" s="42"/>
      <c r="K1135" s="42"/>
      <c r="L1135" s="42"/>
      <c r="M1135" s="42"/>
    </row>
    <row r="1136" spans="1:13" x14ac:dyDescent="0.2">
      <c r="A1136" s="42"/>
      <c r="B1136" s="42"/>
      <c r="C1136" s="42"/>
      <c r="D1136" s="42"/>
      <c r="E1136" s="42"/>
      <c r="F1136" s="42"/>
      <c r="G1136" s="42"/>
      <c r="H1136" s="42"/>
      <c r="I1136" s="42"/>
      <c r="J1136" s="42"/>
      <c r="K1136" s="42"/>
      <c r="L1136" s="42"/>
      <c r="M1136" s="42"/>
    </row>
    <row r="1137" spans="1:13" x14ac:dyDescent="0.2">
      <c r="A1137" s="42"/>
      <c r="B1137" s="42"/>
      <c r="C1137" s="42"/>
      <c r="D1137" s="42"/>
      <c r="E1137" s="42"/>
      <c r="F1137" s="42"/>
      <c r="G1137" s="42"/>
      <c r="H1137" s="42"/>
      <c r="I1137" s="42"/>
      <c r="J1137" s="42"/>
      <c r="K1137" s="42"/>
      <c r="L1137" s="42"/>
      <c r="M1137" s="42"/>
    </row>
    <row r="1138" spans="1:13" x14ac:dyDescent="0.2">
      <c r="A1138" s="42"/>
      <c r="B1138" s="42"/>
      <c r="C1138" s="42"/>
      <c r="D1138" s="42"/>
      <c r="E1138" s="42"/>
      <c r="F1138" s="42"/>
      <c r="G1138" s="42"/>
      <c r="H1138" s="42"/>
      <c r="I1138" s="42"/>
      <c r="J1138" s="42"/>
      <c r="K1138" s="42"/>
      <c r="L1138" s="42"/>
      <c r="M1138" s="42"/>
    </row>
    <row r="1139" spans="1:13" x14ac:dyDescent="0.2">
      <c r="A1139" s="42"/>
      <c r="B1139" s="42"/>
      <c r="C1139" s="42"/>
      <c r="D1139" s="42"/>
      <c r="E1139" s="42"/>
      <c r="F1139" s="42"/>
      <c r="G1139" s="42"/>
      <c r="H1139" s="42"/>
      <c r="I1139" s="42"/>
      <c r="J1139" s="42"/>
      <c r="K1139" s="42"/>
      <c r="L1139" s="42"/>
      <c r="M1139" s="42"/>
    </row>
    <row r="1140" spans="1:13" x14ac:dyDescent="0.2">
      <c r="A1140" s="42"/>
      <c r="B1140" s="42"/>
      <c r="C1140" s="42"/>
      <c r="D1140" s="42"/>
      <c r="E1140" s="42"/>
      <c r="F1140" s="42"/>
      <c r="G1140" s="42"/>
      <c r="H1140" s="42"/>
      <c r="I1140" s="42"/>
      <c r="J1140" s="42"/>
      <c r="K1140" s="42"/>
      <c r="L1140" s="42"/>
      <c r="M1140" s="42"/>
    </row>
    <row r="1141" spans="1:13" x14ac:dyDescent="0.2">
      <c r="A1141" s="42"/>
      <c r="B1141" s="42"/>
      <c r="C1141" s="42"/>
      <c r="D1141" s="42"/>
      <c r="E1141" s="42"/>
      <c r="F1141" s="42"/>
      <c r="G1141" s="42"/>
      <c r="H1141" s="42"/>
      <c r="I1141" s="42"/>
      <c r="J1141" s="42"/>
      <c r="K1141" s="42"/>
      <c r="L1141" s="42"/>
      <c r="M1141" s="42"/>
    </row>
    <row r="1142" spans="1:13" x14ac:dyDescent="0.2">
      <c r="A1142" s="42"/>
      <c r="B1142" s="42"/>
      <c r="C1142" s="42"/>
      <c r="D1142" s="42"/>
      <c r="E1142" s="42"/>
      <c r="F1142" s="42"/>
      <c r="G1142" s="42"/>
      <c r="H1142" s="42"/>
      <c r="I1142" s="42"/>
      <c r="J1142" s="42"/>
      <c r="K1142" s="42"/>
      <c r="L1142" s="42"/>
      <c r="M1142" s="42"/>
    </row>
    <row r="1143" spans="1:13" x14ac:dyDescent="0.2">
      <c r="A1143" s="42"/>
      <c r="B1143" s="42"/>
      <c r="C1143" s="42"/>
      <c r="D1143" s="42"/>
      <c r="E1143" s="42"/>
      <c r="F1143" s="42"/>
      <c r="G1143" s="42"/>
      <c r="H1143" s="42"/>
      <c r="I1143" s="42"/>
      <c r="J1143" s="42"/>
      <c r="K1143" s="42"/>
      <c r="L1143" s="42"/>
      <c r="M1143" s="42"/>
    </row>
    <row r="1144" spans="1:13" x14ac:dyDescent="0.2">
      <c r="A1144" s="42"/>
      <c r="B1144" s="42"/>
      <c r="C1144" s="42"/>
      <c r="D1144" s="42"/>
      <c r="E1144" s="42"/>
      <c r="F1144" s="42"/>
      <c r="G1144" s="42"/>
      <c r="H1144" s="42"/>
      <c r="I1144" s="42"/>
      <c r="J1144" s="42"/>
      <c r="K1144" s="42"/>
      <c r="L1144" s="42"/>
      <c r="M1144" s="42"/>
    </row>
    <row r="1145" spans="1:13" x14ac:dyDescent="0.2">
      <c r="A1145" s="42"/>
      <c r="B1145" s="42"/>
      <c r="C1145" s="42"/>
      <c r="D1145" s="42"/>
      <c r="E1145" s="42"/>
      <c r="F1145" s="42"/>
      <c r="G1145" s="42"/>
      <c r="H1145" s="42"/>
      <c r="I1145" s="42"/>
      <c r="J1145" s="42"/>
      <c r="K1145" s="42"/>
      <c r="L1145" s="42"/>
      <c r="M1145" s="42"/>
    </row>
    <row r="1146" spans="1:13" x14ac:dyDescent="0.2">
      <c r="A1146" s="42"/>
      <c r="B1146" s="42"/>
      <c r="C1146" s="42"/>
      <c r="D1146" s="42"/>
      <c r="E1146" s="42"/>
      <c r="F1146" s="42"/>
      <c r="G1146" s="42"/>
      <c r="H1146" s="42"/>
      <c r="I1146" s="42"/>
      <c r="J1146" s="42"/>
      <c r="K1146" s="42"/>
      <c r="L1146" s="42"/>
      <c r="M1146" s="42"/>
    </row>
    <row r="1147" spans="1:13" x14ac:dyDescent="0.2">
      <c r="A1147" s="42"/>
      <c r="B1147" s="42"/>
      <c r="C1147" s="42"/>
      <c r="D1147" s="42"/>
      <c r="E1147" s="42"/>
      <c r="F1147" s="42"/>
      <c r="G1147" s="42"/>
      <c r="H1147" s="42"/>
      <c r="I1147" s="42"/>
      <c r="J1147" s="42"/>
      <c r="K1147" s="42"/>
      <c r="L1147" s="42"/>
      <c r="M1147" s="42"/>
    </row>
    <row r="1148" spans="1:13" x14ac:dyDescent="0.2">
      <c r="A1148" s="42"/>
      <c r="B1148" s="42"/>
      <c r="C1148" s="42"/>
      <c r="D1148" s="42"/>
      <c r="E1148" s="42"/>
      <c r="F1148" s="42"/>
      <c r="G1148" s="42"/>
      <c r="H1148" s="42"/>
      <c r="I1148" s="42"/>
      <c r="J1148" s="42"/>
      <c r="K1148" s="42"/>
      <c r="L1148" s="42"/>
      <c r="M1148" s="42"/>
    </row>
    <row r="1149" spans="1:13" x14ac:dyDescent="0.2">
      <c r="A1149" s="42"/>
      <c r="B1149" s="42"/>
      <c r="C1149" s="42"/>
      <c r="D1149" s="42"/>
      <c r="E1149" s="42"/>
      <c r="F1149" s="42"/>
      <c r="G1149" s="42"/>
      <c r="H1149" s="42"/>
      <c r="I1149" s="42"/>
      <c r="J1149" s="42"/>
      <c r="K1149" s="42"/>
      <c r="L1149" s="42"/>
      <c r="M1149" s="42"/>
    </row>
    <row r="1150" spans="1:13" x14ac:dyDescent="0.2">
      <c r="A1150" s="42"/>
      <c r="B1150" s="42"/>
      <c r="C1150" s="42"/>
      <c r="D1150" s="42"/>
      <c r="E1150" s="42"/>
      <c r="F1150" s="42"/>
      <c r="G1150" s="42"/>
      <c r="H1150" s="42"/>
      <c r="I1150" s="42"/>
      <c r="J1150" s="42"/>
      <c r="K1150" s="42"/>
      <c r="L1150" s="42"/>
      <c r="M1150" s="42"/>
    </row>
    <row r="1151" spans="1:13" x14ac:dyDescent="0.2">
      <c r="A1151" s="42"/>
      <c r="B1151" s="42"/>
      <c r="C1151" s="42"/>
      <c r="D1151" s="42"/>
      <c r="E1151" s="42"/>
      <c r="F1151" s="42"/>
      <c r="G1151" s="42"/>
      <c r="H1151" s="42"/>
      <c r="I1151" s="42"/>
      <c r="J1151" s="42"/>
      <c r="K1151" s="42"/>
      <c r="L1151" s="42"/>
      <c r="M1151" s="42"/>
    </row>
    <row r="1152" spans="1:13" x14ac:dyDescent="0.2">
      <c r="A1152" s="42"/>
      <c r="B1152" s="42"/>
      <c r="C1152" s="42"/>
      <c r="D1152" s="42"/>
      <c r="E1152" s="42"/>
      <c r="F1152" s="42"/>
      <c r="G1152" s="42"/>
      <c r="H1152" s="42"/>
      <c r="I1152" s="42"/>
      <c r="J1152" s="42"/>
      <c r="K1152" s="42"/>
      <c r="L1152" s="42"/>
      <c r="M1152" s="42"/>
    </row>
    <row r="1153" spans="1:13" x14ac:dyDescent="0.2">
      <c r="A1153" s="42"/>
      <c r="B1153" s="42"/>
      <c r="C1153" s="42"/>
      <c r="D1153" s="42"/>
      <c r="E1153" s="42"/>
      <c r="F1153" s="42"/>
      <c r="G1153" s="42"/>
      <c r="H1153" s="42"/>
      <c r="I1153" s="42"/>
      <c r="J1153" s="42"/>
      <c r="K1153" s="42"/>
      <c r="L1153" s="42"/>
      <c r="M1153" s="42"/>
    </row>
    <row r="1154" spans="1:13" x14ac:dyDescent="0.2">
      <c r="A1154" s="42"/>
      <c r="B1154" s="42"/>
      <c r="C1154" s="42"/>
      <c r="D1154" s="42"/>
      <c r="E1154" s="42"/>
      <c r="F1154" s="42"/>
      <c r="G1154" s="42"/>
      <c r="H1154" s="42"/>
      <c r="I1154" s="42"/>
      <c r="J1154" s="42"/>
      <c r="K1154" s="42"/>
      <c r="L1154" s="42"/>
      <c r="M1154" s="42"/>
    </row>
    <row r="1155" spans="1:13" x14ac:dyDescent="0.2">
      <c r="A1155" s="42"/>
      <c r="B1155" s="42"/>
      <c r="C1155" s="42"/>
      <c r="D1155" s="42"/>
      <c r="E1155" s="42"/>
      <c r="F1155" s="42"/>
      <c r="G1155" s="42"/>
      <c r="H1155" s="42"/>
      <c r="I1155" s="42"/>
      <c r="J1155" s="42"/>
      <c r="K1155" s="42"/>
      <c r="L1155" s="42"/>
      <c r="M1155" s="42"/>
    </row>
    <row r="1156" spans="1:13" x14ac:dyDescent="0.2">
      <c r="A1156" s="42"/>
      <c r="B1156" s="42"/>
      <c r="C1156" s="42"/>
      <c r="D1156" s="42"/>
      <c r="E1156" s="42"/>
      <c r="F1156" s="42"/>
      <c r="G1156" s="42"/>
      <c r="H1156" s="42"/>
      <c r="I1156" s="42"/>
      <c r="J1156" s="42"/>
      <c r="K1156" s="42"/>
      <c r="L1156" s="42"/>
      <c r="M1156" s="42"/>
    </row>
    <row r="1157" spans="1:13" x14ac:dyDescent="0.2">
      <c r="A1157" s="42"/>
      <c r="B1157" s="42"/>
      <c r="C1157" s="42"/>
      <c r="D1157" s="42"/>
      <c r="E1157" s="42"/>
      <c r="F1157" s="42"/>
      <c r="G1157" s="42"/>
      <c r="H1157" s="42"/>
      <c r="I1157" s="42"/>
      <c r="J1157" s="42"/>
      <c r="K1157" s="42"/>
      <c r="L1157" s="42"/>
      <c r="M1157" s="42"/>
    </row>
    <row r="1158" spans="1:13" x14ac:dyDescent="0.2">
      <c r="A1158" s="42"/>
      <c r="B1158" s="42"/>
      <c r="C1158" s="42"/>
      <c r="D1158" s="42"/>
      <c r="E1158" s="42"/>
      <c r="F1158" s="42"/>
      <c r="G1158" s="42"/>
      <c r="H1158" s="42"/>
      <c r="I1158" s="42"/>
      <c r="J1158" s="42"/>
      <c r="K1158" s="42"/>
      <c r="L1158" s="42"/>
      <c r="M1158" s="42"/>
    </row>
    <row r="1159" spans="1:13" x14ac:dyDescent="0.2">
      <c r="A1159" s="42"/>
      <c r="B1159" s="42"/>
      <c r="C1159" s="42"/>
      <c r="D1159" s="42"/>
      <c r="E1159" s="42"/>
      <c r="F1159" s="42"/>
      <c r="G1159" s="42"/>
      <c r="H1159" s="42"/>
      <c r="I1159" s="42"/>
      <c r="J1159" s="42"/>
      <c r="K1159" s="42"/>
      <c r="L1159" s="42"/>
      <c r="M1159" s="42"/>
    </row>
    <row r="1160" spans="1:13" x14ac:dyDescent="0.2">
      <c r="A1160" s="42"/>
      <c r="B1160" s="42"/>
      <c r="C1160" s="42"/>
      <c r="D1160" s="42"/>
      <c r="E1160" s="42"/>
      <c r="F1160" s="42"/>
      <c r="G1160" s="42"/>
      <c r="H1160" s="42"/>
      <c r="I1160" s="42"/>
      <c r="J1160" s="42"/>
      <c r="K1160" s="42"/>
      <c r="L1160" s="42"/>
      <c r="M1160" s="42"/>
    </row>
    <row r="1161" spans="1:13" x14ac:dyDescent="0.2">
      <c r="A1161" s="42"/>
      <c r="B1161" s="42"/>
      <c r="C1161" s="42"/>
      <c r="D1161" s="42"/>
      <c r="E1161" s="42"/>
      <c r="F1161" s="42"/>
      <c r="G1161" s="42"/>
      <c r="H1161" s="42"/>
      <c r="I1161" s="42"/>
      <c r="J1161" s="42"/>
      <c r="K1161" s="42"/>
      <c r="L1161" s="42"/>
      <c r="M1161" s="42"/>
    </row>
    <row r="1162" spans="1:13" x14ac:dyDescent="0.2">
      <c r="A1162" s="42"/>
      <c r="B1162" s="42"/>
      <c r="C1162" s="42"/>
      <c r="D1162" s="42"/>
      <c r="E1162" s="42"/>
      <c r="F1162" s="42"/>
      <c r="G1162" s="42"/>
      <c r="H1162" s="42"/>
      <c r="I1162" s="42"/>
      <c r="J1162" s="42"/>
      <c r="K1162" s="42"/>
      <c r="L1162" s="42"/>
      <c r="M1162" s="42"/>
    </row>
    <row r="1163" spans="1:13" x14ac:dyDescent="0.2">
      <c r="A1163" s="42"/>
      <c r="B1163" s="42"/>
      <c r="C1163" s="42"/>
      <c r="D1163" s="42"/>
      <c r="E1163" s="42"/>
      <c r="F1163" s="42"/>
      <c r="G1163" s="42"/>
      <c r="H1163" s="42"/>
      <c r="I1163" s="42"/>
      <c r="J1163" s="42"/>
      <c r="K1163" s="42"/>
      <c r="L1163" s="42"/>
      <c r="M1163" s="42"/>
    </row>
    <row r="1164" spans="1:13" x14ac:dyDescent="0.2">
      <c r="A1164" s="42"/>
      <c r="B1164" s="42"/>
      <c r="C1164" s="42"/>
      <c r="D1164" s="42"/>
      <c r="E1164" s="42"/>
      <c r="F1164" s="42"/>
      <c r="G1164" s="42"/>
      <c r="H1164" s="42"/>
      <c r="I1164" s="42"/>
      <c r="J1164" s="42"/>
      <c r="K1164" s="42"/>
      <c r="L1164" s="42"/>
      <c r="M1164" s="42"/>
    </row>
    <row r="1165" spans="1:13" x14ac:dyDescent="0.2">
      <c r="A1165" s="42"/>
      <c r="B1165" s="42"/>
      <c r="C1165" s="42"/>
      <c r="D1165" s="42"/>
      <c r="E1165" s="42"/>
      <c r="F1165" s="42"/>
      <c r="G1165" s="42"/>
      <c r="H1165" s="42"/>
      <c r="I1165" s="42"/>
      <c r="J1165" s="42"/>
      <c r="K1165" s="42"/>
      <c r="L1165" s="42"/>
      <c r="M1165" s="42"/>
    </row>
    <row r="1166" spans="1:13" x14ac:dyDescent="0.2">
      <c r="A1166" s="42"/>
      <c r="B1166" s="42"/>
      <c r="C1166" s="42"/>
      <c r="D1166" s="42"/>
      <c r="E1166" s="42"/>
      <c r="F1166" s="42"/>
      <c r="G1166" s="42"/>
      <c r="H1166" s="42"/>
      <c r="I1166" s="42"/>
      <c r="J1166" s="42"/>
      <c r="K1166" s="42"/>
      <c r="L1166" s="42"/>
      <c r="M1166" s="42"/>
    </row>
    <row r="1167" spans="1:13" x14ac:dyDescent="0.2">
      <c r="A1167" s="42"/>
      <c r="B1167" s="42"/>
      <c r="C1167" s="42"/>
      <c r="D1167" s="42"/>
      <c r="E1167" s="42"/>
      <c r="F1167" s="42"/>
      <c r="G1167" s="42"/>
      <c r="H1167" s="42"/>
      <c r="I1167" s="42"/>
      <c r="J1167" s="42"/>
      <c r="K1167" s="42"/>
      <c r="L1167" s="42"/>
      <c r="M1167" s="42"/>
    </row>
    <row r="1168" spans="1:13" x14ac:dyDescent="0.2">
      <c r="A1168" s="42"/>
      <c r="B1168" s="42"/>
      <c r="C1168" s="42"/>
      <c r="D1168" s="42"/>
      <c r="E1168" s="42"/>
      <c r="F1168" s="42"/>
      <c r="G1168" s="42"/>
      <c r="H1168" s="42"/>
      <c r="I1168" s="42"/>
      <c r="J1168" s="42"/>
      <c r="K1168" s="42"/>
      <c r="L1168" s="42"/>
      <c r="M1168" s="42"/>
    </row>
    <row r="1169" spans="1:13" x14ac:dyDescent="0.2">
      <c r="A1169" s="42"/>
      <c r="B1169" s="42"/>
      <c r="C1169" s="42"/>
      <c r="D1169" s="42"/>
      <c r="E1169" s="42"/>
      <c r="F1169" s="42"/>
      <c r="G1169" s="42"/>
      <c r="H1169" s="42"/>
      <c r="I1169" s="42"/>
      <c r="J1169" s="42"/>
      <c r="K1169" s="42"/>
      <c r="L1169" s="42"/>
      <c r="M1169" s="42"/>
    </row>
    <row r="1170" spans="1:13" x14ac:dyDescent="0.2">
      <c r="A1170" s="42"/>
      <c r="B1170" s="42"/>
      <c r="C1170" s="42"/>
      <c r="D1170" s="42"/>
      <c r="E1170" s="42"/>
      <c r="F1170" s="42"/>
      <c r="G1170" s="42"/>
      <c r="H1170" s="42"/>
      <c r="I1170" s="42"/>
      <c r="J1170" s="42"/>
      <c r="K1170" s="42"/>
      <c r="L1170" s="42"/>
      <c r="M1170" s="42"/>
    </row>
    <row r="1171" spans="1:13" x14ac:dyDescent="0.2">
      <c r="A1171" s="42"/>
      <c r="B1171" s="42"/>
      <c r="C1171" s="42"/>
      <c r="D1171" s="42"/>
      <c r="E1171" s="42"/>
      <c r="F1171" s="42"/>
      <c r="G1171" s="42"/>
      <c r="H1171" s="42"/>
      <c r="I1171" s="42"/>
      <c r="J1171" s="42"/>
      <c r="K1171" s="42"/>
      <c r="L1171" s="42"/>
      <c r="M1171" s="42"/>
    </row>
    <row r="1172" spans="1:13" x14ac:dyDescent="0.2">
      <c r="A1172" s="42"/>
      <c r="B1172" s="42"/>
      <c r="C1172" s="42"/>
      <c r="D1172" s="42"/>
      <c r="E1172" s="42"/>
      <c r="F1172" s="42"/>
      <c r="G1172" s="42"/>
      <c r="H1172" s="42"/>
      <c r="I1172" s="42"/>
      <c r="J1172" s="42"/>
      <c r="K1172" s="42"/>
      <c r="L1172" s="42"/>
      <c r="M1172" s="42"/>
    </row>
    <row r="1173" spans="1:13" x14ac:dyDescent="0.2">
      <c r="A1173" s="42"/>
      <c r="B1173" s="42"/>
      <c r="C1173" s="42"/>
      <c r="D1173" s="42"/>
      <c r="E1173" s="42"/>
      <c r="F1173" s="42"/>
      <c r="G1173" s="42"/>
      <c r="H1173" s="42"/>
      <c r="I1173" s="42"/>
      <c r="J1173" s="42"/>
      <c r="K1173" s="42"/>
      <c r="L1173" s="42"/>
      <c r="M1173" s="42"/>
    </row>
    <row r="1174" spans="1:13" x14ac:dyDescent="0.2">
      <c r="A1174" s="42"/>
      <c r="B1174" s="42"/>
      <c r="C1174" s="42"/>
      <c r="D1174" s="42"/>
      <c r="E1174" s="42"/>
      <c r="F1174" s="42"/>
      <c r="G1174" s="42"/>
      <c r="H1174" s="42"/>
      <c r="I1174" s="42"/>
      <c r="J1174" s="42"/>
      <c r="K1174" s="42"/>
      <c r="L1174" s="42"/>
      <c r="M1174" s="42"/>
    </row>
    <row r="1175" spans="1:13" x14ac:dyDescent="0.2">
      <c r="A1175" s="42"/>
      <c r="B1175" s="42"/>
      <c r="C1175" s="42"/>
      <c r="D1175" s="42"/>
      <c r="E1175" s="42"/>
      <c r="F1175" s="42"/>
      <c r="G1175" s="42"/>
      <c r="H1175" s="42"/>
      <c r="I1175" s="42"/>
      <c r="J1175" s="42"/>
      <c r="K1175" s="42"/>
      <c r="L1175" s="42"/>
      <c r="M1175" s="42"/>
    </row>
    <row r="1176" spans="1:13" x14ac:dyDescent="0.2">
      <c r="A1176" s="42"/>
      <c r="B1176" s="42"/>
      <c r="C1176" s="42"/>
      <c r="D1176" s="42"/>
      <c r="E1176" s="42"/>
      <c r="F1176" s="42"/>
      <c r="G1176" s="42"/>
      <c r="H1176" s="42"/>
      <c r="I1176" s="42"/>
      <c r="J1176" s="42"/>
      <c r="K1176" s="42"/>
      <c r="L1176" s="42"/>
      <c r="M1176" s="42"/>
    </row>
    <row r="1177" spans="1:13" x14ac:dyDescent="0.2">
      <c r="A1177" s="42"/>
      <c r="B1177" s="42"/>
      <c r="C1177" s="42"/>
      <c r="D1177" s="42"/>
      <c r="E1177" s="42"/>
      <c r="F1177" s="42"/>
      <c r="G1177" s="42"/>
      <c r="H1177" s="42"/>
      <c r="I1177" s="42"/>
      <c r="J1177" s="42"/>
      <c r="K1177" s="42"/>
      <c r="L1177" s="42"/>
      <c r="M1177" s="42"/>
    </row>
    <row r="1178" spans="1:13" x14ac:dyDescent="0.2">
      <c r="A1178" s="42"/>
      <c r="B1178" s="42"/>
      <c r="C1178" s="42"/>
      <c r="D1178" s="42"/>
      <c r="E1178" s="42"/>
      <c r="F1178" s="42"/>
      <c r="G1178" s="42"/>
      <c r="H1178" s="42"/>
      <c r="I1178" s="42"/>
      <c r="J1178" s="42"/>
      <c r="K1178" s="42"/>
      <c r="L1178" s="42"/>
      <c r="M1178" s="42"/>
    </row>
    <row r="1179" spans="1:13" x14ac:dyDescent="0.2">
      <c r="A1179" s="42"/>
      <c r="B1179" s="42"/>
      <c r="C1179" s="42"/>
      <c r="D1179" s="42"/>
      <c r="E1179" s="42"/>
      <c r="F1179" s="42"/>
      <c r="G1179" s="42"/>
      <c r="H1179" s="42"/>
      <c r="I1179" s="42"/>
      <c r="J1179" s="42"/>
      <c r="K1179" s="42"/>
      <c r="L1179" s="42"/>
      <c r="M1179" s="42"/>
    </row>
    <row r="1180" spans="1:13" x14ac:dyDescent="0.2">
      <c r="A1180" s="42"/>
      <c r="B1180" s="42"/>
      <c r="C1180" s="42"/>
      <c r="D1180" s="42"/>
      <c r="E1180" s="42"/>
      <c r="F1180" s="42"/>
      <c r="G1180" s="42"/>
      <c r="H1180" s="42"/>
      <c r="I1180" s="42"/>
      <c r="J1180" s="42"/>
      <c r="K1180" s="42"/>
      <c r="L1180" s="42"/>
      <c r="M1180" s="42"/>
    </row>
    <row r="1181" spans="1:13" x14ac:dyDescent="0.2">
      <c r="A1181" s="42"/>
      <c r="B1181" s="42"/>
      <c r="C1181" s="42"/>
      <c r="D1181" s="42"/>
      <c r="E1181" s="42"/>
      <c r="F1181" s="42"/>
      <c r="G1181" s="42"/>
      <c r="H1181" s="42"/>
      <c r="I1181" s="42"/>
      <c r="J1181" s="42"/>
      <c r="K1181" s="42"/>
      <c r="L1181" s="42"/>
      <c r="M1181" s="42"/>
    </row>
    <row r="1182" spans="1:13" x14ac:dyDescent="0.2">
      <c r="A1182" s="42"/>
      <c r="B1182" s="42"/>
      <c r="C1182" s="42"/>
      <c r="D1182" s="42"/>
      <c r="E1182" s="42"/>
      <c r="F1182" s="42"/>
      <c r="G1182" s="42"/>
      <c r="H1182" s="42"/>
      <c r="I1182" s="42"/>
      <c r="J1182" s="42"/>
      <c r="K1182" s="42"/>
      <c r="L1182" s="42"/>
      <c r="M1182" s="42"/>
    </row>
    <row r="1183" spans="1:13" x14ac:dyDescent="0.2">
      <c r="A1183" s="42"/>
      <c r="B1183" s="42"/>
      <c r="C1183" s="42"/>
      <c r="D1183" s="42"/>
      <c r="E1183" s="42"/>
      <c r="F1183" s="42"/>
      <c r="G1183" s="42"/>
      <c r="H1183" s="42"/>
      <c r="I1183" s="42"/>
      <c r="J1183" s="42"/>
      <c r="K1183" s="42"/>
      <c r="L1183" s="42"/>
      <c r="M1183" s="42"/>
    </row>
    <row r="1184" spans="1:13" x14ac:dyDescent="0.2">
      <c r="A1184" s="42"/>
      <c r="B1184" s="42"/>
      <c r="C1184" s="42"/>
      <c r="D1184" s="42"/>
      <c r="E1184" s="42"/>
      <c r="F1184" s="42"/>
      <c r="G1184" s="42"/>
      <c r="H1184" s="42"/>
      <c r="I1184" s="42"/>
      <c r="J1184" s="42"/>
      <c r="K1184" s="42"/>
      <c r="L1184" s="42"/>
      <c r="M1184" s="42"/>
    </row>
    <row r="1185" spans="1:13" x14ac:dyDescent="0.2">
      <c r="A1185" s="42"/>
      <c r="B1185" s="42"/>
      <c r="C1185" s="42"/>
      <c r="D1185" s="42"/>
      <c r="E1185" s="42"/>
      <c r="F1185" s="42"/>
      <c r="G1185" s="42"/>
      <c r="H1185" s="42"/>
      <c r="I1185" s="42"/>
      <c r="J1185" s="42"/>
      <c r="K1185" s="42"/>
      <c r="L1185" s="42"/>
      <c r="M1185" s="42"/>
    </row>
    <row r="1186" spans="1:13" x14ac:dyDescent="0.2">
      <c r="A1186" s="42"/>
      <c r="B1186" s="42"/>
      <c r="C1186" s="42"/>
      <c r="D1186" s="42"/>
      <c r="E1186" s="42"/>
      <c r="F1186" s="42"/>
      <c r="G1186" s="42"/>
      <c r="H1186" s="42"/>
      <c r="I1186" s="42"/>
      <c r="J1186" s="42"/>
      <c r="K1186" s="42"/>
      <c r="L1186" s="42"/>
      <c r="M1186" s="42"/>
    </row>
    <row r="1187" spans="1:13" x14ac:dyDescent="0.2">
      <c r="A1187" s="42"/>
      <c r="B1187" s="42"/>
      <c r="C1187" s="42"/>
      <c r="D1187" s="42"/>
      <c r="E1187" s="42"/>
      <c r="F1187" s="42"/>
      <c r="G1187" s="42"/>
      <c r="H1187" s="42"/>
      <c r="I1187" s="42"/>
      <c r="J1187" s="42"/>
      <c r="K1187" s="42"/>
      <c r="L1187" s="42"/>
      <c r="M1187" s="42"/>
    </row>
    <row r="1188" spans="1:13" x14ac:dyDescent="0.2">
      <c r="A1188" s="42"/>
      <c r="B1188" s="42"/>
      <c r="C1188" s="42"/>
      <c r="D1188" s="42"/>
      <c r="E1188" s="42"/>
      <c r="F1188" s="42"/>
      <c r="G1188" s="42"/>
      <c r="H1188" s="42"/>
      <c r="I1188" s="42"/>
      <c r="J1188" s="42"/>
      <c r="K1188" s="42"/>
      <c r="L1188" s="42"/>
      <c r="M1188" s="42"/>
    </row>
    <row r="1189" spans="1:13" x14ac:dyDescent="0.2">
      <c r="A1189" s="42"/>
      <c r="B1189" s="42"/>
      <c r="C1189" s="42"/>
      <c r="D1189" s="42"/>
      <c r="E1189" s="42"/>
      <c r="F1189" s="42"/>
      <c r="G1189" s="42"/>
      <c r="H1189" s="42"/>
      <c r="I1189" s="42"/>
      <c r="J1189" s="42"/>
      <c r="K1189" s="42"/>
      <c r="L1189" s="42"/>
      <c r="M1189" s="42"/>
    </row>
    <row r="1190" spans="1:13" x14ac:dyDescent="0.2">
      <c r="A1190" s="42"/>
      <c r="B1190" s="42"/>
      <c r="C1190" s="42"/>
      <c r="D1190" s="42"/>
      <c r="E1190" s="42"/>
      <c r="F1190" s="42"/>
      <c r="G1190" s="42"/>
      <c r="H1190" s="42"/>
      <c r="I1190" s="42"/>
      <c r="J1190" s="42"/>
      <c r="K1190" s="42"/>
      <c r="L1190" s="42"/>
      <c r="M1190" s="42"/>
    </row>
    <row r="1191" spans="1:13" x14ac:dyDescent="0.2">
      <c r="A1191" s="42"/>
      <c r="B1191" s="42"/>
      <c r="C1191" s="42"/>
      <c r="D1191" s="42"/>
      <c r="E1191" s="42"/>
      <c r="F1191" s="42"/>
      <c r="G1191" s="42"/>
      <c r="H1191" s="42"/>
      <c r="I1191" s="42"/>
      <c r="J1191" s="42"/>
      <c r="K1191" s="42"/>
      <c r="L1191" s="42"/>
      <c r="M1191" s="42"/>
    </row>
    <row r="1192" spans="1:13" x14ac:dyDescent="0.2">
      <c r="A1192" s="42"/>
      <c r="B1192" s="42"/>
      <c r="C1192" s="42"/>
      <c r="D1192" s="42"/>
      <c r="E1192" s="42"/>
      <c r="F1192" s="42"/>
      <c r="G1192" s="42"/>
      <c r="H1192" s="42"/>
      <c r="I1192" s="42"/>
      <c r="J1192" s="42"/>
      <c r="K1192" s="42"/>
      <c r="L1192" s="42"/>
      <c r="M1192" s="42"/>
    </row>
    <row r="1193" spans="1:13" x14ac:dyDescent="0.2">
      <c r="A1193" s="42"/>
      <c r="B1193" s="42"/>
      <c r="C1193" s="42"/>
      <c r="D1193" s="42"/>
      <c r="E1193" s="42"/>
      <c r="F1193" s="42"/>
      <c r="G1193" s="42"/>
      <c r="H1193" s="42"/>
      <c r="I1193" s="42"/>
      <c r="J1193" s="42"/>
      <c r="K1193" s="42"/>
      <c r="L1193" s="42"/>
      <c r="M1193" s="42"/>
    </row>
    <row r="1194" spans="1:13" x14ac:dyDescent="0.2">
      <c r="A1194" s="42"/>
      <c r="B1194" s="42"/>
      <c r="C1194" s="42"/>
      <c r="D1194" s="42"/>
      <c r="E1194" s="42"/>
      <c r="F1194" s="42"/>
      <c r="G1194" s="42"/>
      <c r="H1194" s="42"/>
      <c r="I1194" s="42"/>
      <c r="J1194" s="42"/>
      <c r="K1194" s="42"/>
      <c r="L1194" s="42"/>
      <c r="M1194" s="42"/>
    </row>
    <row r="1195" spans="1:13" x14ac:dyDescent="0.2">
      <c r="A1195" s="42"/>
      <c r="B1195" s="42"/>
      <c r="C1195" s="42"/>
      <c r="D1195" s="42"/>
      <c r="E1195" s="42"/>
      <c r="F1195" s="42"/>
      <c r="G1195" s="42"/>
      <c r="H1195" s="42"/>
      <c r="I1195" s="42"/>
      <c r="J1195" s="42"/>
      <c r="K1195" s="42"/>
      <c r="L1195" s="42"/>
      <c r="M1195" s="42"/>
    </row>
    <row r="1196" spans="1:13" x14ac:dyDescent="0.2">
      <c r="A1196" s="42"/>
      <c r="B1196" s="42"/>
      <c r="C1196" s="42"/>
      <c r="D1196" s="42"/>
      <c r="E1196" s="42"/>
      <c r="F1196" s="42"/>
      <c r="G1196" s="42"/>
      <c r="H1196" s="42"/>
      <c r="I1196" s="42"/>
      <c r="J1196" s="42"/>
      <c r="K1196" s="42"/>
      <c r="L1196" s="42"/>
      <c r="M1196" s="42"/>
    </row>
    <row r="1197" spans="1:13" x14ac:dyDescent="0.2">
      <c r="A1197" s="42"/>
      <c r="B1197" s="42"/>
      <c r="C1197" s="42"/>
      <c r="D1197" s="42"/>
      <c r="E1197" s="42"/>
      <c r="F1197" s="42"/>
      <c r="G1197" s="42"/>
      <c r="H1197" s="42"/>
      <c r="I1197" s="42"/>
      <c r="J1197" s="42"/>
      <c r="K1197" s="42"/>
      <c r="L1197" s="42"/>
      <c r="M1197" s="42"/>
    </row>
    <row r="1198" spans="1:13" x14ac:dyDescent="0.2">
      <c r="A1198" s="42"/>
      <c r="B1198" s="42"/>
      <c r="C1198" s="42"/>
      <c r="D1198" s="42"/>
      <c r="E1198" s="42"/>
      <c r="F1198" s="42"/>
      <c r="G1198" s="42"/>
      <c r="H1198" s="42"/>
      <c r="I1198" s="42"/>
      <c r="J1198" s="42"/>
      <c r="K1198" s="42"/>
      <c r="L1198" s="42"/>
      <c r="M1198" s="42"/>
    </row>
    <row r="1199" spans="1:13" x14ac:dyDescent="0.2">
      <c r="A1199" s="42"/>
      <c r="B1199" s="42"/>
      <c r="C1199" s="42"/>
      <c r="D1199" s="42"/>
      <c r="E1199" s="42"/>
      <c r="F1199" s="42"/>
      <c r="G1199" s="42"/>
      <c r="H1199" s="42"/>
      <c r="I1199" s="42"/>
      <c r="J1199" s="42"/>
      <c r="K1199" s="42"/>
      <c r="L1199" s="42"/>
      <c r="M1199" s="42"/>
    </row>
    <row r="1200" spans="1:13" x14ac:dyDescent="0.2">
      <c r="A1200" s="42"/>
      <c r="B1200" s="42"/>
      <c r="C1200" s="42"/>
      <c r="D1200" s="42"/>
      <c r="E1200" s="42"/>
      <c r="F1200" s="42"/>
      <c r="G1200" s="42"/>
      <c r="H1200" s="42"/>
      <c r="I1200" s="42"/>
      <c r="J1200" s="42"/>
      <c r="K1200" s="42"/>
      <c r="L1200" s="42"/>
      <c r="M1200" s="42"/>
    </row>
    <row r="1201" spans="1:13" x14ac:dyDescent="0.2">
      <c r="A1201" s="42"/>
      <c r="B1201" s="42"/>
      <c r="C1201" s="42"/>
      <c r="D1201" s="42"/>
      <c r="E1201" s="42"/>
      <c r="F1201" s="42"/>
      <c r="G1201" s="42"/>
      <c r="H1201" s="42"/>
      <c r="I1201" s="42"/>
      <c r="J1201" s="42"/>
      <c r="K1201" s="42"/>
      <c r="L1201" s="42"/>
      <c r="M1201" s="42"/>
    </row>
    <row r="1202" spans="1:13" x14ac:dyDescent="0.2">
      <c r="A1202" s="42"/>
      <c r="B1202" s="42"/>
      <c r="C1202" s="42"/>
      <c r="D1202" s="42"/>
      <c r="E1202" s="42"/>
      <c r="F1202" s="42"/>
      <c r="G1202" s="42"/>
      <c r="H1202" s="42"/>
      <c r="I1202" s="42"/>
      <c r="J1202" s="42"/>
      <c r="K1202" s="42"/>
      <c r="L1202" s="42"/>
      <c r="M1202" s="42"/>
    </row>
    <row r="1203" spans="1:13" x14ac:dyDescent="0.2">
      <c r="A1203" s="42"/>
      <c r="B1203" s="42"/>
      <c r="C1203" s="42"/>
      <c r="D1203" s="42"/>
      <c r="E1203" s="42"/>
      <c r="F1203" s="42"/>
      <c r="G1203" s="42"/>
      <c r="H1203" s="42"/>
      <c r="I1203" s="42"/>
      <c r="J1203" s="42"/>
      <c r="K1203" s="42"/>
      <c r="L1203" s="42"/>
      <c r="M1203" s="42"/>
    </row>
    <row r="1204" spans="1:13" x14ac:dyDescent="0.2">
      <c r="A1204" s="42"/>
      <c r="B1204" s="42"/>
      <c r="C1204" s="42"/>
      <c r="D1204" s="42"/>
      <c r="E1204" s="42"/>
      <c r="F1204" s="42"/>
      <c r="G1204" s="42"/>
      <c r="H1204" s="42"/>
      <c r="I1204" s="42"/>
      <c r="J1204" s="42"/>
      <c r="K1204" s="42"/>
      <c r="L1204" s="42"/>
      <c r="M1204" s="42"/>
    </row>
    <row r="1205" spans="1:13" x14ac:dyDescent="0.2">
      <c r="A1205" s="42"/>
      <c r="B1205" s="42"/>
      <c r="C1205" s="42"/>
      <c r="D1205" s="42"/>
      <c r="E1205" s="42"/>
      <c r="F1205" s="42"/>
      <c r="G1205" s="42"/>
      <c r="H1205" s="42"/>
      <c r="I1205" s="42"/>
      <c r="J1205" s="42"/>
      <c r="K1205" s="42"/>
      <c r="L1205" s="42"/>
      <c r="M1205" s="42"/>
    </row>
    <row r="1206" spans="1:13" x14ac:dyDescent="0.2">
      <c r="A1206" s="42"/>
      <c r="B1206" s="42"/>
      <c r="C1206" s="42"/>
      <c r="D1206" s="42"/>
      <c r="E1206" s="42"/>
      <c r="F1206" s="42"/>
      <c r="G1206" s="42"/>
      <c r="H1206" s="42"/>
      <c r="I1206" s="42"/>
      <c r="J1206" s="42"/>
      <c r="K1206" s="42"/>
      <c r="L1206" s="42"/>
      <c r="M1206" s="42"/>
    </row>
    <row r="1207" spans="1:13" x14ac:dyDescent="0.2">
      <c r="A1207" s="42"/>
      <c r="B1207" s="42"/>
      <c r="C1207" s="42"/>
      <c r="D1207" s="42"/>
      <c r="E1207" s="42"/>
      <c r="F1207" s="42"/>
      <c r="G1207" s="42"/>
      <c r="H1207" s="42"/>
      <c r="I1207" s="42"/>
      <c r="J1207" s="42"/>
      <c r="K1207" s="42"/>
      <c r="L1207" s="42"/>
      <c r="M1207" s="42"/>
    </row>
    <row r="1208" spans="1:13" x14ac:dyDescent="0.2">
      <c r="A1208" s="42"/>
      <c r="B1208" s="42"/>
      <c r="C1208" s="42"/>
      <c r="D1208" s="42"/>
      <c r="E1208" s="42"/>
      <c r="F1208" s="42"/>
      <c r="G1208" s="42"/>
      <c r="H1208" s="42"/>
      <c r="I1208" s="42"/>
      <c r="J1208" s="42"/>
      <c r="K1208" s="42"/>
      <c r="L1208" s="42"/>
      <c r="M1208" s="42"/>
    </row>
    <row r="1209" spans="1:13" x14ac:dyDescent="0.2">
      <c r="A1209" s="42"/>
      <c r="B1209" s="42"/>
      <c r="C1209" s="42"/>
      <c r="D1209" s="42"/>
      <c r="E1209" s="42"/>
      <c r="F1209" s="42"/>
      <c r="G1209" s="42"/>
      <c r="H1209" s="42"/>
      <c r="I1209" s="42"/>
      <c r="J1209" s="42"/>
      <c r="K1209" s="42"/>
      <c r="L1209" s="42"/>
      <c r="M1209" s="42"/>
    </row>
    <row r="1210" spans="1:13" x14ac:dyDescent="0.2">
      <c r="A1210" s="42"/>
      <c r="B1210" s="42"/>
      <c r="C1210" s="42"/>
      <c r="D1210" s="42"/>
      <c r="E1210" s="42"/>
      <c r="F1210" s="42"/>
      <c r="G1210" s="42"/>
      <c r="H1210" s="42"/>
      <c r="I1210" s="42"/>
      <c r="J1210" s="42"/>
      <c r="K1210" s="42"/>
      <c r="L1210" s="42"/>
      <c r="M1210" s="42"/>
    </row>
    <row r="1211" spans="1:13" x14ac:dyDescent="0.2">
      <c r="A1211" s="42"/>
      <c r="B1211" s="42"/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</row>
    <row r="1212" spans="1:13" x14ac:dyDescent="0.2">
      <c r="A1212" s="42"/>
      <c r="B1212" s="42"/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</row>
    <row r="1213" spans="1:13" x14ac:dyDescent="0.2">
      <c r="A1213" s="42"/>
      <c r="B1213" s="42"/>
      <c r="C1213" s="42"/>
      <c r="D1213" s="42"/>
      <c r="E1213" s="42"/>
      <c r="F1213" s="42"/>
      <c r="G1213" s="42"/>
      <c r="H1213" s="42"/>
      <c r="I1213" s="42"/>
      <c r="J1213" s="42"/>
      <c r="K1213" s="42"/>
      <c r="L1213" s="42"/>
      <c r="M1213" s="42"/>
    </row>
    <row r="1214" spans="1:13" x14ac:dyDescent="0.2">
      <c r="A1214" s="42"/>
      <c r="B1214" s="42"/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</row>
    <row r="1215" spans="1:13" x14ac:dyDescent="0.2">
      <c r="A1215" s="42"/>
      <c r="B1215" s="42"/>
      <c r="C1215" s="42"/>
      <c r="D1215" s="42"/>
      <c r="E1215" s="42"/>
      <c r="F1215" s="42"/>
      <c r="G1215" s="42"/>
      <c r="H1215" s="42"/>
      <c r="I1215" s="42"/>
      <c r="J1215" s="42"/>
      <c r="K1215" s="42"/>
      <c r="L1215" s="42"/>
      <c r="M1215" s="42"/>
    </row>
    <row r="1216" spans="1:13" x14ac:dyDescent="0.2">
      <c r="A1216" s="42"/>
      <c r="B1216" s="42"/>
      <c r="C1216" s="42"/>
      <c r="D1216" s="42"/>
      <c r="E1216" s="42"/>
      <c r="F1216" s="42"/>
      <c r="G1216" s="42"/>
      <c r="H1216" s="42"/>
      <c r="I1216" s="42"/>
      <c r="J1216" s="42"/>
      <c r="K1216" s="42"/>
      <c r="L1216" s="42"/>
      <c r="M1216" s="42"/>
    </row>
    <row r="1217" spans="1:13" x14ac:dyDescent="0.2">
      <c r="A1217" s="42"/>
      <c r="B1217" s="42"/>
      <c r="C1217" s="42"/>
      <c r="D1217" s="42"/>
      <c r="E1217" s="42"/>
      <c r="F1217" s="42"/>
      <c r="G1217" s="42"/>
      <c r="H1217" s="42"/>
      <c r="I1217" s="42"/>
      <c r="J1217" s="42"/>
      <c r="K1217" s="42"/>
      <c r="L1217" s="42"/>
      <c r="M1217" s="42"/>
    </row>
    <row r="1218" spans="1:13" x14ac:dyDescent="0.2">
      <c r="A1218" s="42"/>
      <c r="B1218" s="42"/>
      <c r="C1218" s="42"/>
      <c r="D1218" s="42"/>
      <c r="E1218" s="42"/>
      <c r="F1218" s="42"/>
      <c r="G1218" s="42"/>
      <c r="H1218" s="42"/>
      <c r="I1218" s="42"/>
      <c r="J1218" s="42"/>
      <c r="K1218" s="42"/>
      <c r="L1218" s="42"/>
      <c r="M1218" s="42"/>
    </row>
    <row r="1219" spans="1:13" x14ac:dyDescent="0.2">
      <c r="A1219" s="42"/>
      <c r="B1219" s="42"/>
      <c r="C1219" s="42"/>
      <c r="D1219" s="42"/>
      <c r="E1219" s="42"/>
      <c r="F1219" s="42"/>
      <c r="G1219" s="42"/>
      <c r="H1219" s="42"/>
      <c r="I1219" s="42"/>
      <c r="J1219" s="42"/>
      <c r="K1219" s="42"/>
      <c r="L1219" s="42"/>
      <c r="M1219" s="42"/>
    </row>
    <row r="1220" spans="1:13" x14ac:dyDescent="0.2">
      <c r="A1220" s="42"/>
      <c r="B1220" s="42"/>
      <c r="C1220" s="42"/>
      <c r="D1220" s="42"/>
      <c r="E1220" s="42"/>
      <c r="F1220" s="42"/>
      <c r="G1220" s="42"/>
      <c r="H1220" s="42"/>
      <c r="I1220" s="42"/>
      <c r="J1220" s="42"/>
      <c r="K1220" s="42"/>
      <c r="L1220" s="42"/>
      <c r="M1220" s="42"/>
    </row>
    <row r="1221" spans="1:13" x14ac:dyDescent="0.2">
      <c r="A1221" s="42"/>
      <c r="B1221" s="42"/>
      <c r="C1221" s="42"/>
      <c r="D1221" s="42"/>
      <c r="E1221" s="42"/>
      <c r="F1221" s="42"/>
      <c r="G1221" s="42"/>
      <c r="H1221" s="42"/>
      <c r="I1221" s="42"/>
      <c r="J1221" s="42"/>
      <c r="K1221" s="42"/>
      <c r="L1221" s="42"/>
      <c r="M1221" s="42"/>
    </row>
    <row r="1222" spans="1:13" x14ac:dyDescent="0.2">
      <c r="A1222" s="42"/>
      <c r="B1222" s="42"/>
      <c r="C1222" s="42"/>
      <c r="D1222" s="42"/>
      <c r="E1222" s="42"/>
      <c r="F1222" s="42"/>
      <c r="G1222" s="42"/>
      <c r="H1222" s="42"/>
      <c r="I1222" s="42"/>
      <c r="J1222" s="42"/>
      <c r="K1222" s="42"/>
      <c r="L1222" s="42"/>
      <c r="M1222" s="42"/>
    </row>
    <row r="1223" spans="1:13" x14ac:dyDescent="0.2">
      <c r="A1223" s="42"/>
      <c r="B1223" s="42"/>
      <c r="C1223" s="42"/>
      <c r="D1223" s="42"/>
      <c r="E1223" s="42"/>
      <c r="F1223" s="42"/>
      <c r="G1223" s="42"/>
      <c r="H1223" s="42"/>
      <c r="I1223" s="42"/>
      <c r="J1223" s="42"/>
      <c r="K1223" s="42"/>
      <c r="L1223" s="42"/>
      <c r="M1223" s="42"/>
    </row>
    <row r="1224" spans="1:13" x14ac:dyDescent="0.2">
      <c r="A1224" s="42"/>
      <c r="B1224" s="42"/>
      <c r="C1224" s="42"/>
      <c r="D1224" s="42"/>
      <c r="E1224" s="42"/>
      <c r="F1224" s="42"/>
      <c r="G1224" s="42"/>
      <c r="H1224" s="42"/>
      <c r="I1224" s="42"/>
      <c r="J1224" s="42"/>
      <c r="K1224" s="42"/>
      <c r="L1224" s="42"/>
      <c r="M1224" s="42"/>
    </row>
    <row r="1225" spans="1:13" x14ac:dyDescent="0.2">
      <c r="A1225" s="42"/>
      <c r="B1225" s="42"/>
      <c r="C1225" s="42"/>
      <c r="D1225" s="42"/>
      <c r="E1225" s="42"/>
      <c r="F1225" s="42"/>
      <c r="G1225" s="42"/>
      <c r="H1225" s="42"/>
      <c r="I1225" s="42"/>
      <c r="J1225" s="42"/>
      <c r="K1225" s="42"/>
      <c r="L1225" s="42"/>
      <c r="M1225" s="42"/>
    </row>
    <row r="1226" spans="1:13" x14ac:dyDescent="0.2">
      <c r="A1226" s="42"/>
      <c r="B1226" s="42"/>
      <c r="C1226" s="42"/>
      <c r="D1226" s="42"/>
      <c r="E1226" s="42"/>
      <c r="F1226" s="42"/>
      <c r="G1226" s="42"/>
      <c r="H1226" s="42"/>
      <c r="I1226" s="42"/>
      <c r="J1226" s="42"/>
      <c r="K1226" s="42"/>
      <c r="L1226" s="42"/>
      <c r="M1226" s="42"/>
    </row>
    <row r="1227" spans="1:13" x14ac:dyDescent="0.2">
      <c r="A1227" s="42"/>
      <c r="B1227" s="42"/>
      <c r="C1227" s="42"/>
      <c r="D1227" s="42"/>
      <c r="E1227" s="42"/>
      <c r="F1227" s="42"/>
      <c r="G1227" s="42"/>
      <c r="H1227" s="42"/>
      <c r="I1227" s="42"/>
      <c r="J1227" s="42"/>
      <c r="K1227" s="42"/>
      <c r="L1227" s="42"/>
      <c r="M1227" s="42"/>
    </row>
    <row r="1228" spans="1:13" x14ac:dyDescent="0.2">
      <c r="A1228" s="42"/>
      <c r="B1228" s="42"/>
      <c r="C1228" s="42"/>
      <c r="D1228" s="42"/>
      <c r="E1228" s="42"/>
      <c r="F1228" s="42"/>
      <c r="G1228" s="42"/>
      <c r="H1228" s="42"/>
      <c r="I1228" s="42"/>
      <c r="J1228" s="42"/>
      <c r="K1228" s="42"/>
      <c r="L1228" s="42"/>
      <c r="M1228" s="42"/>
    </row>
    <row r="1229" spans="1:13" x14ac:dyDescent="0.2">
      <c r="A1229" s="42"/>
      <c r="B1229" s="42"/>
      <c r="C1229" s="42"/>
      <c r="D1229" s="42"/>
      <c r="E1229" s="42"/>
      <c r="F1229" s="42"/>
      <c r="G1229" s="42"/>
      <c r="H1229" s="42"/>
      <c r="I1229" s="42"/>
      <c r="J1229" s="42"/>
      <c r="K1229" s="42"/>
      <c r="L1229" s="42"/>
      <c r="M1229" s="42"/>
    </row>
    <row r="1230" spans="1:13" x14ac:dyDescent="0.2">
      <c r="A1230" s="42"/>
      <c r="B1230" s="42"/>
      <c r="C1230" s="42"/>
      <c r="D1230" s="42"/>
      <c r="E1230" s="42"/>
      <c r="F1230" s="42"/>
      <c r="G1230" s="42"/>
      <c r="H1230" s="42"/>
      <c r="I1230" s="42"/>
      <c r="J1230" s="42"/>
      <c r="K1230" s="42"/>
      <c r="L1230" s="42"/>
      <c r="M1230" s="42"/>
    </row>
    <row r="1231" spans="1:13" x14ac:dyDescent="0.2">
      <c r="A1231" s="42"/>
      <c r="B1231" s="42"/>
      <c r="C1231" s="42"/>
      <c r="D1231" s="42"/>
      <c r="E1231" s="42"/>
      <c r="F1231" s="42"/>
      <c r="G1231" s="42"/>
      <c r="H1231" s="42"/>
      <c r="I1231" s="42"/>
      <c r="J1231" s="42"/>
      <c r="K1231" s="42"/>
      <c r="L1231" s="42"/>
      <c r="M1231" s="42"/>
    </row>
    <row r="1232" spans="1:13" x14ac:dyDescent="0.2">
      <c r="A1232" s="42"/>
      <c r="B1232" s="42"/>
      <c r="C1232" s="42"/>
      <c r="D1232" s="42"/>
      <c r="E1232" s="42"/>
      <c r="F1232" s="42"/>
      <c r="G1232" s="42"/>
      <c r="H1232" s="42"/>
      <c r="I1232" s="42"/>
      <c r="J1232" s="42"/>
      <c r="K1232" s="42"/>
      <c r="L1232" s="42"/>
      <c r="M1232" s="42"/>
    </row>
    <row r="1233" spans="1:13" x14ac:dyDescent="0.2">
      <c r="A1233" s="42"/>
      <c r="B1233" s="42"/>
      <c r="C1233" s="42"/>
      <c r="D1233" s="42"/>
      <c r="E1233" s="42"/>
      <c r="F1233" s="42"/>
      <c r="G1233" s="42"/>
      <c r="H1233" s="42"/>
      <c r="I1233" s="42"/>
      <c r="J1233" s="42"/>
      <c r="K1233" s="42"/>
      <c r="L1233" s="42"/>
      <c r="M1233" s="42"/>
    </row>
    <row r="1234" spans="1:13" x14ac:dyDescent="0.2">
      <c r="A1234" s="42"/>
      <c r="B1234" s="42"/>
      <c r="C1234" s="42"/>
      <c r="D1234" s="42"/>
      <c r="E1234" s="42"/>
      <c r="F1234" s="42"/>
      <c r="G1234" s="42"/>
      <c r="H1234" s="42"/>
      <c r="I1234" s="42"/>
      <c r="J1234" s="42"/>
      <c r="K1234" s="42"/>
      <c r="L1234" s="42"/>
      <c r="M1234" s="42"/>
    </row>
    <row r="1235" spans="1:13" x14ac:dyDescent="0.2">
      <c r="A1235" s="42"/>
      <c r="B1235" s="42"/>
      <c r="C1235" s="42"/>
      <c r="D1235" s="42"/>
      <c r="E1235" s="42"/>
      <c r="F1235" s="42"/>
      <c r="G1235" s="42"/>
      <c r="H1235" s="42"/>
      <c r="I1235" s="42"/>
      <c r="J1235" s="42"/>
      <c r="K1235" s="42"/>
      <c r="L1235" s="42"/>
      <c r="M1235" s="42"/>
    </row>
    <row r="1236" spans="1:13" x14ac:dyDescent="0.2">
      <c r="A1236" s="42"/>
      <c r="B1236" s="42"/>
      <c r="C1236" s="42"/>
      <c r="D1236" s="42"/>
      <c r="E1236" s="42"/>
      <c r="F1236" s="42"/>
      <c r="G1236" s="42"/>
      <c r="H1236" s="42"/>
      <c r="I1236" s="42"/>
      <c r="J1236" s="42"/>
      <c r="K1236" s="42"/>
      <c r="L1236" s="42"/>
      <c r="M1236" s="42"/>
    </row>
    <row r="1237" spans="1:13" x14ac:dyDescent="0.2">
      <c r="A1237" s="42"/>
      <c r="B1237" s="42"/>
      <c r="C1237" s="42"/>
      <c r="D1237" s="42"/>
      <c r="E1237" s="42"/>
      <c r="F1237" s="42"/>
      <c r="G1237" s="42"/>
      <c r="H1237" s="42"/>
      <c r="I1237" s="42"/>
      <c r="J1237" s="42"/>
      <c r="K1237" s="42"/>
      <c r="L1237" s="42"/>
      <c r="M1237" s="42"/>
    </row>
    <row r="1238" spans="1:13" x14ac:dyDescent="0.2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</row>
    <row r="1239" spans="1:13" x14ac:dyDescent="0.2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</row>
    <row r="1240" spans="1:13" x14ac:dyDescent="0.2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</row>
    <row r="1241" spans="1:13" x14ac:dyDescent="0.2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</row>
    <row r="1242" spans="1:13" x14ac:dyDescent="0.2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</row>
    <row r="1243" spans="1:13" x14ac:dyDescent="0.2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</row>
    <row r="1244" spans="1:13" x14ac:dyDescent="0.2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</row>
    <row r="1245" spans="1:13" x14ac:dyDescent="0.2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</row>
    <row r="1246" spans="1:13" x14ac:dyDescent="0.2">
      <c r="A1246" s="42"/>
      <c r="B1246" s="42"/>
      <c r="C1246" s="42"/>
      <c r="D1246" s="42"/>
      <c r="E1246" s="42"/>
      <c r="F1246" s="42"/>
      <c r="G1246" s="42"/>
      <c r="H1246" s="42"/>
      <c r="I1246" s="42"/>
      <c r="J1246" s="42"/>
      <c r="K1246" s="42"/>
      <c r="L1246" s="42"/>
      <c r="M1246" s="42"/>
    </row>
    <row r="1247" spans="1:13" x14ac:dyDescent="0.2">
      <c r="A1247" s="42"/>
      <c r="B1247" s="42"/>
      <c r="C1247" s="42"/>
      <c r="D1247" s="42"/>
      <c r="E1247" s="42"/>
      <c r="F1247" s="42"/>
      <c r="G1247" s="42"/>
      <c r="H1247" s="42"/>
      <c r="I1247" s="42"/>
      <c r="J1247" s="42"/>
      <c r="K1247" s="42"/>
      <c r="L1247" s="42"/>
      <c r="M1247" s="42"/>
    </row>
    <row r="1248" spans="1:13" x14ac:dyDescent="0.2">
      <c r="A1248" s="42"/>
      <c r="B1248" s="42"/>
      <c r="C1248" s="42"/>
      <c r="D1248" s="42"/>
      <c r="E1248" s="42"/>
      <c r="F1248" s="42"/>
      <c r="G1248" s="42"/>
      <c r="H1248" s="42"/>
      <c r="I1248" s="42"/>
      <c r="J1248" s="42"/>
      <c r="K1248" s="42"/>
      <c r="L1248" s="42"/>
      <c r="M1248" s="42"/>
    </row>
    <row r="1249" spans="1:13" x14ac:dyDescent="0.2">
      <c r="A1249" s="42"/>
      <c r="B1249" s="42"/>
      <c r="C1249" s="42"/>
      <c r="D1249" s="42"/>
      <c r="E1249" s="42"/>
      <c r="F1249" s="42"/>
      <c r="G1249" s="42"/>
      <c r="H1249" s="42"/>
      <c r="I1249" s="42"/>
      <c r="J1249" s="42"/>
      <c r="K1249" s="42"/>
      <c r="L1249" s="42"/>
      <c r="M1249" s="42"/>
    </row>
    <row r="1250" spans="1:13" x14ac:dyDescent="0.2">
      <c r="A1250" s="42"/>
      <c r="B1250" s="42"/>
      <c r="C1250" s="42"/>
      <c r="D1250" s="42"/>
      <c r="E1250" s="42"/>
      <c r="F1250" s="42"/>
      <c r="G1250" s="42"/>
      <c r="H1250" s="42"/>
      <c r="I1250" s="42"/>
      <c r="J1250" s="42"/>
      <c r="K1250" s="42"/>
      <c r="L1250" s="42"/>
      <c r="M1250" s="42"/>
    </row>
    <row r="1251" spans="1:13" x14ac:dyDescent="0.2">
      <c r="A1251" s="42"/>
      <c r="B1251" s="42"/>
      <c r="C1251" s="42"/>
      <c r="D1251" s="42"/>
      <c r="E1251" s="42"/>
      <c r="F1251" s="42"/>
      <c r="G1251" s="42"/>
      <c r="H1251" s="42"/>
      <c r="I1251" s="42"/>
      <c r="J1251" s="42"/>
      <c r="K1251" s="42"/>
      <c r="L1251" s="42"/>
      <c r="M1251" s="42"/>
    </row>
    <row r="1252" spans="1:13" x14ac:dyDescent="0.2">
      <c r="A1252" s="42"/>
      <c r="B1252" s="42"/>
      <c r="C1252" s="42"/>
      <c r="D1252" s="42"/>
      <c r="E1252" s="42"/>
      <c r="F1252" s="42"/>
      <c r="G1252" s="42"/>
      <c r="H1252" s="42"/>
      <c r="I1252" s="42"/>
      <c r="J1252" s="42"/>
      <c r="K1252" s="42"/>
      <c r="L1252" s="42"/>
      <c r="M1252" s="42"/>
    </row>
    <row r="1253" spans="1:13" x14ac:dyDescent="0.2">
      <c r="A1253" s="42"/>
      <c r="B1253" s="42"/>
      <c r="C1253" s="42"/>
      <c r="D1253" s="42"/>
      <c r="E1253" s="42"/>
      <c r="F1253" s="42"/>
      <c r="G1253" s="42"/>
      <c r="H1253" s="42"/>
      <c r="I1253" s="42"/>
      <c r="J1253" s="42"/>
      <c r="K1253" s="42"/>
      <c r="L1253" s="42"/>
      <c r="M1253" s="42"/>
    </row>
    <row r="1254" spans="1:13" x14ac:dyDescent="0.2">
      <c r="A1254" s="42"/>
      <c r="B1254" s="42"/>
      <c r="C1254" s="42"/>
      <c r="D1254" s="42"/>
      <c r="E1254" s="42"/>
      <c r="F1254" s="42"/>
      <c r="G1254" s="42"/>
      <c r="H1254" s="42"/>
      <c r="I1254" s="42"/>
      <c r="J1254" s="42"/>
      <c r="K1254" s="42"/>
      <c r="L1254" s="42"/>
      <c r="M1254" s="42"/>
    </row>
    <row r="1255" spans="1:13" x14ac:dyDescent="0.2">
      <c r="A1255" s="42"/>
      <c r="B1255" s="42"/>
      <c r="C1255" s="42"/>
      <c r="D1255" s="42"/>
      <c r="E1255" s="42"/>
      <c r="F1255" s="42"/>
      <c r="G1255" s="42"/>
      <c r="H1255" s="42"/>
      <c r="I1255" s="42"/>
      <c r="J1255" s="42"/>
      <c r="K1255" s="42"/>
      <c r="L1255" s="42"/>
      <c r="M1255" s="42"/>
    </row>
    <row r="1256" spans="1:13" x14ac:dyDescent="0.2">
      <c r="A1256" s="42"/>
      <c r="B1256" s="42"/>
      <c r="C1256" s="42"/>
      <c r="D1256" s="42"/>
      <c r="E1256" s="42"/>
      <c r="F1256" s="42"/>
      <c r="G1256" s="42"/>
      <c r="H1256" s="42"/>
      <c r="I1256" s="42"/>
      <c r="J1256" s="42"/>
      <c r="K1256" s="42"/>
      <c r="L1256" s="42"/>
      <c r="M1256" s="42"/>
    </row>
    <row r="1257" spans="1:13" x14ac:dyDescent="0.2">
      <c r="A1257" s="42"/>
      <c r="B1257" s="42"/>
      <c r="C1257" s="42"/>
      <c r="D1257" s="42"/>
      <c r="E1257" s="42"/>
      <c r="F1257" s="42"/>
      <c r="G1257" s="42"/>
      <c r="H1257" s="42"/>
      <c r="I1257" s="42"/>
      <c r="J1257" s="42"/>
      <c r="K1257" s="42"/>
      <c r="L1257" s="42"/>
      <c r="M1257" s="42"/>
    </row>
    <row r="1258" spans="1:13" x14ac:dyDescent="0.2">
      <c r="A1258" s="42"/>
      <c r="B1258" s="42"/>
      <c r="C1258" s="42"/>
      <c r="D1258" s="42"/>
      <c r="E1258" s="42"/>
      <c r="F1258" s="42"/>
      <c r="G1258" s="42"/>
      <c r="H1258" s="42"/>
      <c r="I1258" s="42"/>
      <c r="J1258" s="42"/>
      <c r="K1258" s="42"/>
      <c r="L1258" s="42"/>
      <c r="M1258" s="42"/>
    </row>
    <row r="1259" spans="1:13" x14ac:dyDescent="0.2">
      <c r="A1259" s="42"/>
      <c r="B1259" s="42"/>
      <c r="C1259" s="42"/>
      <c r="D1259" s="42"/>
      <c r="E1259" s="42"/>
      <c r="F1259" s="42"/>
      <c r="G1259" s="42"/>
      <c r="H1259" s="42"/>
      <c r="I1259" s="42"/>
      <c r="J1259" s="42"/>
      <c r="K1259" s="42"/>
      <c r="L1259" s="42"/>
      <c r="M1259" s="42"/>
    </row>
    <row r="1260" spans="1:13" x14ac:dyDescent="0.2">
      <c r="A1260" s="42"/>
      <c r="B1260" s="42"/>
      <c r="C1260" s="42"/>
      <c r="D1260" s="42"/>
      <c r="E1260" s="42"/>
      <c r="F1260" s="42"/>
      <c r="G1260" s="42"/>
      <c r="H1260" s="42"/>
      <c r="I1260" s="42"/>
      <c r="J1260" s="42"/>
      <c r="K1260" s="42"/>
      <c r="L1260" s="42"/>
      <c r="M1260" s="42"/>
    </row>
    <row r="1261" spans="1:13" x14ac:dyDescent="0.2">
      <c r="A1261" s="42"/>
      <c r="B1261" s="42"/>
      <c r="C1261" s="42"/>
      <c r="D1261" s="42"/>
      <c r="E1261" s="42"/>
      <c r="F1261" s="42"/>
      <c r="G1261" s="42"/>
      <c r="H1261" s="42"/>
      <c r="I1261" s="42"/>
      <c r="J1261" s="42"/>
      <c r="K1261" s="42"/>
      <c r="L1261" s="42"/>
      <c r="M1261" s="42"/>
    </row>
    <row r="1262" spans="1:13" x14ac:dyDescent="0.2">
      <c r="A1262" s="42"/>
      <c r="B1262" s="42"/>
      <c r="C1262" s="42"/>
      <c r="D1262" s="42"/>
      <c r="E1262" s="42"/>
      <c r="F1262" s="42"/>
      <c r="G1262" s="42"/>
      <c r="H1262" s="42"/>
      <c r="I1262" s="42"/>
      <c r="J1262" s="42"/>
      <c r="K1262" s="42"/>
      <c r="L1262" s="42"/>
      <c r="M1262" s="42"/>
    </row>
    <row r="1263" spans="1:13" x14ac:dyDescent="0.2">
      <c r="A1263" s="42"/>
      <c r="B1263" s="42"/>
      <c r="C1263" s="42"/>
      <c r="D1263" s="42"/>
      <c r="E1263" s="42"/>
      <c r="F1263" s="42"/>
      <c r="G1263" s="42"/>
      <c r="H1263" s="42"/>
      <c r="I1263" s="42"/>
      <c r="J1263" s="42"/>
      <c r="K1263" s="42"/>
      <c r="L1263" s="42"/>
      <c r="M1263" s="42"/>
    </row>
    <row r="1264" spans="1:13" x14ac:dyDescent="0.2">
      <c r="A1264" s="42"/>
      <c r="B1264" s="42"/>
      <c r="C1264" s="42"/>
      <c r="D1264" s="42"/>
      <c r="E1264" s="42"/>
      <c r="F1264" s="42"/>
      <c r="G1264" s="42"/>
      <c r="H1264" s="42"/>
      <c r="I1264" s="42"/>
      <c r="J1264" s="42"/>
      <c r="K1264" s="42"/>
      <c r="L1264" s="42"/>
      <c r="M1264" s="42"/>
    </row>
    <row r="1265" spans="1:13" x14ac:dyDescent="0.2">
      <c r="A1265" s="42"/>
      <c r="B1265" s="42"/>
      <c r="C1265" s="42"/>
      <c r="D1265" s="42"/>
      <c r="E1265" s="42"/>
      <c r="F1265" s="42"/>
      <c r="G1265" s="42"/>
      <c r="H1265" s="42"/>
      <c r="I1265" s="42"/>
      <c r="J1265" s="42"/>
      <c r="K1265" s="42"/>
      <c r="L1265" s="42"/>
      <c r="M1265" s="42"/>
    </row>
    <row r="1266" spans="1:13" x14ac:dyDescent="0.2">
      <c r="A1266" s="42"/>
      <c r="B1266" s="42"/>
      <c r="C1266" s="42"/>
      <c r="D1266" s="42"/>
      <c r="E1266" s="42"/>
      <c r="F1266" s="42"/>
      <c r="G1266" s="42"/>
      <c r="H1266" s="42"/>
      <c r="I1266" s="42"/>
      <c r="J1266" s="42"/>
      <c r="K1266" s="42"/>
      <c r="L1266" s="42"/>
      <c r="M1266" s="42"/>
    </row>
    <row r="1267" spans="1:13" x14ac:dyDescent="0.2">
      <c r="A1267" s="42"/>
      <c r="B1267" s="42"/>
      <c r="C1267" s="42"/>
      <c r="D1267" s="42"/>
      <c r="E1267" s="42"/>
      <c r="F1267" s="42"/>
      <c r="G1267" s="42"/>
      <c r="H1267" s="42"/>
      <c r="I1267" s="42"/>
      <c r="J1267" s="42"/>
      <c r="K1267" s="42"/>
      <c r="L1267" s="42"/>
      <c r="M1267" s="42"/>
    </row>
    <row r="1268" spans="1:13" x14ac:dyDescent="0.2">
      <c r="A1268" s="42"/>
      <c r="B1268" s="42"/>
      <c r="C1268" s="42"/>
      <c r="D1268" s="42"/>
      <c r="E1268" s="42"/>
      <c r="F1268" s="42"/>
      <c r="G1268" s="42"/>
      <c r="H1268" s="42"/>
      <c r="I1268" s="42"/>
      <c r="J1268" s="42"/>
      <c r="K1268" s="42"/>
      <c r="L1268" s="42"/>
      <c r="M1268" s="42"/>
    </row>
    <row r="1269" spans="1:13" x14ac:dyDescent="0.2">
      <c r="A1269" s="42"/>
      <c r="B1269" s="42"/>
      <c r="C1269" s="42"/>
      <c r="D1269" s="42"/>
      <c r="E1269" s="42"/>
      <c r="F1269" s="42"/>
      <c r="G1269" s="42"/>
      <c r="H1269" s="42"/>
      <c r="I1269" s="42"/>
      <c r="J1269" s="42"/>
      <c r="K1269" s="42"/>
      <c r="L1269" s="42"/>
      <c r="M1269" s="42"/>
    </row>
    <row r="1270" spans="1:13" x14ac:dyDescent="0.2">
      <c r="A1270" s="42"/>
      <c r="B1270" s="42"/>
      <c r="C1270" s="42"/>
      <c r="D1270" s="42"/>
      <c r="E1270" s="42"/>
      <c r="F1270" s="42"/>
      <c r="G1270" s="42"/>
      <c r="H1270" s="42"/>
      <c r="I1270" s="42"/>
      <c r="J1270" s="42"/>
      <c r="K1270" s="42"/>
      <c r="L1270" s="42"/>
      <c r="M1270" s="42"/>
    </row>
    <row r="1271" spans="1:13" x14ac:dyDescent="0.2">
      <c r="A1271" s="42"/>
      <c r="B1271" s="42"/>
      <c r="C1271" s="42"/>
      <c r="D1271" s="42"/>
      <c r="E1271" s="42"/>
      <c r="F1271" s="42"/>
      <c r="G1271" s="42"/>
      <c r="H1271" s="42"/>
      <c r="I1271" s="42"/>
      <c r="J1271" s="42"/>
      <c r="K1271" s="42"/>
      <c r="L1271" s="42"/>
      <c r="M1271" s="42"/>
    </row>
    <row r="1272" spans="1:13" x14ac:dyDescent="0.2">
      <c r="A1272" s="42"/>
      <c r="B1272" s="42"/>
      <c r="C1272" s="42"/>
      <c r="D1272" s="42"/>
      <c r="E1272" s="42"/>
      <c r="F1272" s="42"/>
      <c r="G1272" s="42"/>
      <c r="H1272" s="42"/>
      <c r="I1272" s="42"/>
      <c r="J1272" s="42"/>
      <c r="K1272" s="42"/>
      <c r="L1272" s="42"/>
      <c r="M1272" s="42"/>
    </row>
    <row r="1273" spans="1:13" x14ac:dyDescent="0.2">
      <c r="A1273" s="42"/>
      <c r="B1273" s="42"/>
      <c r="C1273" s="42"/>
      <c r="D1273" s="42"/>
      <c r="E1273" s="42"/>
      <c r="F1273" s="42"/>
      <c r="G1273" s="42"/>
      <c r="H1273" s="42"/>
      <c r="I1273" s="42"/>
      <c r="J1273" s="42"/>
      <c r="K1273" s="42"/>
      <c r="L1273" s="42"/>
      <c r="M1273" s="42"/>
    </row>
    <row r="1274" spans="1:13" x14ac:dyDescent="0.2">
      <c r="A1274" s="42"/>
      <c r="B1274" s="42"/>
      <c r="C1274" s="42"/>
      <c r="D1274" s="42"/>
      <c r="E1274" s="42"/>
      <c r="F1274" s="42"/>
      <c r="G1274" s="42"/>
      <c r="H1274" s="42"/>
      <c r="I1274" s="42"/>
      <c r="J1274" s="42"/>
      <c r="K1274" s="42"/>
      <c r="L1274" s="42"/>
      <c r="M1274" s="42"/>
    </row>
    <row r="1275" spans="1:13" x14ac:dyDescent="0.2">
      <c r="A1275" s="42"/>
      <c r="B1275" s="42"/>
      <c r="C1275" s="42"/>
      <c r="D1275" s="42"/>
      <c r="E1275" s="42"/>
      <c r="F1275" s="42"/>
      <c r="G1275" s="42"/>
      <c r="H1275" s="42"/>
      <c r="I1275" s="42"/>
      <c r="J1275" s="42"/>
      <c r="K1275" s="42"/>
      <c r="L1275" s="42"/>
      <c r="M1275" s="42"/>
    </row>
    <row r="1276" spans="1:13" x14ac:dyDescent="0.2">
      <c r="A1276" s="42"/>
      <c r="B1276" s="42"/>
      <c r="C1276" s="42"/>
      <c r="D1276" s="42"/>
      <c r="E1276" s="42"/>
      <c r="F1276" s="42"/>
      <c r="G1276" s="42"/>
      <c r="H1276" s="42"/>
      <c r="I1276" s="42"/>
      <c r="J1276" s="42"/>
      <c r="K1276" s="42"/>
      <c r="L1276" s="42"/>
      <c r="M1276" s="42"/>
    </row>
    <row r="1277" spans="1:13" x14ac:dyDescent="0.2">
      <c r="A1277" s="42"/>
      <c r="B1277" s="42"/>
      <c r="C1277" s="42"/>
      <c r="D1277" s="42"/>
      <c r="E1277" s="42"/>
      <c r="F1277" s="42"/>
      <c r="G1277" s="42"/>
      <c r="H1277" s="42"/>
      <c r="I1277" s="42"/>
      <c r="J1277" s="42"/>
      <c r="K1277" s="42"/>
      <c r="L1277" s="42"/>
      <c r="M1277" s="42"/>
    </row>
    <row r="1278" spans="1:13" x14ac:dyDescent="0.2">
      <c r="A1278" s="42"/>
      <c r="B1278" s="42"/>
      <c r="C1278" s="42"/>
      <c r="D1278" s="42"/>
      <c r="E1278" s="42"/>
      <c r="F1278" s="42"/>
      <c r="G1278" s="42"/>
      <c r="H1278" s="42"/>
      <c r="I1278" s="42"/>
      <c r="J1278" s="42"/>
      <c r="K1278" s="42"/>
      <c r="L1278" s="42"/>
      <c r="M1278" s="42"/>
    </row>
    <row r="1279" spans="1:13" x14ac:dyDescent="0.2">
      <c r="A1279" s="42"/>
      <c r="B1279" s="42"/>
      <c r="C1279" s="42"/>
      <c r="D1279" s="42"/>
      <c r="E1279" s="42"/>
      <c r="F1279" s="42"/>
      <c r="G1279" s="42"/>
      <c r="H1279" s="42"/>
      <c r="I1279" s="42"/>
      <c r="J1279" s="42"/>
      <c r="K1279" s="42"/>
      <c r="L1279" s="42"/>
      <c r="M1279" s="42"/>
    </row>
    <row r="1280" spans="1:13" x14ac:dyDescent="0.2">
      <c r="A1280" s="42"/>
      <c r="B1280" s="42"/>
      <c r="C1280" s="42"/>
      <c r="D1280" s="42"/>
      <c r="E1280" s="42"/>
      <c r="F1280" s="42"/>
      <c r="G1280" s="42"/>
      <c r="H1280" s="42"/>
      <c r="I1280" s="42"/>
      <c r="J1280" s="42"/>
      <c r="K1280" s="42"/>
      <c r="L1280" s="42"/>
      <c r="M1280" s="42"/>
    </row>
    <row r="1281" spans="1:13" x14ac:dyDescent="0.2">
      <c r="A1281" s="42"/>
      <c r="B1281" s="42"/>
      <c r="C1281" s="42"/>
      <c r="D1281" s="42"/>
      <c r="E1281" s="42"/>
      <c r="F1281" s="42"/>
      <c r="G1281" s="42"/>
      <c r="H1281" s="42"/>
      <c r="I1281" s="42"/>
      <c r="J1281" s="42"/>
      <c r="K1281" s="42"/>
      <c r="L1281" s="42"/>
      <c r="M1281" s="42"/>
    </row>
    <row r="1282" spans="1:13" x14ac:dyDescent="0.2">
      <c r="A1282" s="42"/>
      <c r="B1282" s="42"/>
      <c r="C1282" s="42"/>
      <c r="D1282" s="42"/>
      <c r="E1282" s="42"/>
      <c r="F1282" s="42"/>
      <c r="G1282" s="42"/>
      <c r="H1282" s="42"/>
      <c r="I1282" s="42"/>
      <c r="J1282" s="42"/>
      <c r="K1282" s="42"/>
      <c r="L1282" s="42"/>
      <c r="M1282" s="42"/>
    </row>
    <row r="1283" spans="1:13" x14ac:dyDescent="0.2">
      <c r="A1283" s="42"/>
      <c r="B1283" s="42"/>
      <c r="C1283" s="42"/>
      <c r="D1283" s="42"/>
      <c r="E1283" s="42"/>
      <c r="F1283" s="42"/>
      <c r="G1283" s="42"/>
      <c r="H1283" s="42"/>
      <c r="I1283" s="42"/>
      <c r="J1283" s="42"/>
      <c r="K1283" s="42"/>
      <c r="L1283" s="42"/>
      <c r="M1283" s="42"/>
    </row>
    <row r="1284" spans="1:13" x14ac:dyDescent="0.2">
      <c r="A1284" s="42"/>
      <c r="B1284" s="42"/>
      <c r="C1284" s="42"/>
      <c r="D1284" s="42"/>
      <c r="E1284" s="42"/>
      <c r="F1284" s="42"/>
      <c r="G1284" s="42"/>
      <c r="H1284" s="42"/>
      <c r="I1284" s="42"/>
      <c r="J1284" s="42"/>
      <c r="K1284" s="42"/>
      <c r="L1284" s="42"/>
      <c r="M1284" s="42"/>
    </row>
    <row r="1285" spans="1:13" x14ac:dyDescent="0.2">
      <c r="A1285" s="42"/>
      <c r="B1285" s="42"/>
      <c r="C1285" s="42"/>
      <c r="D1285" s="42"/>
      <c r="E1285" s="42"/>
      <c r="F1285" s="42"/>
      <c r="G1285" s="42"/>
      <c r="H1285" s="42"/>
      <c r="I1285" s="42"/>
      <c r="J1285" s="42"/>
      <c r="K1285" s="42"/>
      <c r="L1285" s="42"/>
      <c r="M1285" s="42"/>
    </row>
    <row r="1286" spans="1:13" x14ac:dyDescent="0.2">
      <c r="A1286" s="42"/>
      <c r="B1286" s="42"/>
      <c r="C1286" s="42"/>
      <c r="D1286" s="42"/>
      <c r="E1286" s="42"/>
      <c r="F1286" s="42"/>
      <c r="G1286" s="42"/>
      <c r="H1286" s="42"/>
      <c r="I1286" s="42"/>
      <c r="J1286" s="42"/>
      <c r="K1286" s="42"/>
      <c r="L1286" s="42"/>
      <c r="M1286" s="42"/>
    </row>
    <row r="1287" spans="1:13" x14ac:dyDescent="0.2">
      <c r="A1287" s="42"/>
      <c r="B1287" s="42"/>
      <c r="C1287" s="42"/>
      <c r="D1287" s="42"/>
      <c r="E1287" s="42"/>
      <c r="F1287" s="42"/>
      <c r="G1287" s="42"/>
      <c r="H1287" s="42"/>
      <c r="I1287" s="42"/>
      <c r="J1287" s="42"/>
      <c r="K1287" s="42"/>
      <c r="L1287" s="42"/>
      <c r="M1287" s="42"/>
    </row>
    <row r="1288" spans="1:13" x14ac:dyDescent="0.2">
      <c r="A1288" s="42"/>
      <c r="B1288" s="42"/>
      <c r="C1288" s="42"/>
      <c r="D1288" s="42"/>
      <c r="E1288" s="42"/>
      <c r="F1288" s="42"/>
      <c r="G1288" s="42"/>
      <c r="H1288" s="42"/>
      <c r="I1288" s="42"/>
      <c r="J1288" s="42"/>
      <c r="K1288" s="42"/>
      <c r="L1288" s="42"/>
      <c r="M1288" s="42"/>
    </row>
    <row r="1289" spans="1:13" x14ac:dyDescent="0.2">
      <c r="A1289" s="42"/>
      <c r="B1289" s="42"/>
      <c r="C1289" s="42"/>
      <c r="D1289" s="42"/>
      <c r="E1289" s="42"/>
      <c r="F1289" s="42"/>
      <c r="G1289" s="42"/>
      <c r="H1289" s="42"/>
      <c r="I1289" s="42"/>
      <c r="J1289" s="42"/>
      <c r="K1289" s="42"/>
      <c r="L1289" s="42"/>
      <c r="M1289" s="42"/>
    </row>
    <row r="1290" spans="1:13" x14ac:dyDescent="0.2">
      <c r="A1290" s="42"/>
      <c r="B1290" s="42"/>
      <c r="C1290" s="42"/>
      <c r="D1290" s="42"/>
      <c r="E1290" s="42"/>
      <c r="F1290" s="42"/>
      <c r="G1290" s="42"/>
      <c r="H1290" s="42"/>
      <c r="I1290" s="42"/>
      <c r="J1290" s="42"/>
      <c r="K1290" s="42"/>
      <c r="L1290" s="42"/>
      <c r="M1290" s="42"/>
    </row>
    <row r="1291" spans="1:13" x14ac:dyDescent="0.2">
      <c r="A1291" s="42"/>
      <c r="B1291" s="42"/>
      <c r="C1291" s="42"/>
      <c r="D1291" s="42"/>
      <c r="E1291" s="42"/>
      <c r="F1291" s="42"/>
      <c r="G1291" s="42"/>
      <c r="H1291" s="42"/>
      <c r="I1291" s="42"/>
      <c r="J1291" s="42"/>
      <c r="K1291" s="42"/>
      <c r="L1291" s="42"/>
      <c r="M1291" s="42"/>
    </row>
    <row r="1292" spans="1:13" x14ac:dyDescent="0.2">
      <c r="A1292" s="42"/>
      <c r="B1292" s="42"/>
      <c r="C1292" s="42"/>
      <c r="D1292" s="42"/>
      <c r="E1292" s="42"/>
      <c r="F1292" s="42"/>
      <c r="G1292" s="42"/>
      <c r="H1292" s="42"/>
      <c r="I1292" s="42"/>
      <c r="J1292" s="42"/>
      <c r="K1292" s="42"/>
      <c r="L1292" s="42"/>
      <c r="M1292" s="42"/>
    </row>
    <row r="1293" spans="1:13" x14ac:dyDescent="0.2">
      <c r="A1293" s="42"/>
      <c r="B1293" s="42"/>
      <c r="C1293" s="42"/>
      <c r="D1293" s="42"/>
      <c r="E1293" s="42"/>
      <c r="F1293" s="42"/>
      <c r="G1293" s="42"/>
      <c r="H1293" s="42"/>
      <c r="I1293" s="42"/>
      <c r="J1293" s="42"/>
      <c r="K1293" s="42"/>
      <c r="L1293" s="42"/>
      <c r="M1293" s="42"/>
    </row>
    <row r="1294" spans="1:13" x14ac:dyDescent="0.2">
      <c r="A1294" s="42"/>
      <c r="B1294" s="42"/>
      <c r="C1294" s="42"/>
      <c r="D1294" s="42"/>
      <c r="E1294" s="42"/>
      <c r="F1294" s="42"/>
      <c r="G1294" s="42"/>
      <c r="H1294" s="42"/>
      <c r="I1294" s="42"/>
      <c r="J1294" s="42"/>
      <c r="K1294" s="42"/>
      <c r="L1294" s="42"/>
      <c r="M1294" s="42"/>
    </row>
    <row r="1295" spans="1:13" x14ac:dyDescent="0.2">
      <c r="A1295" s="42"/>
      <c r="B1295" s="42"/>
      <c r="C1295" s="42"/>
      <c r="D1295" s="42"/>
      <c r="E1295" s="42"/>
      <c r="F1295" s="42"/>
      <c r="G1295" s="42"/>
      <c r="H1295" s="42"/>
      <c r="I1295" s="42"/>
      <c r="J1295" s="42"/>
      <c r="K1295" s="42"/>
      <c r="L1295" s="42"/>
      <c r="M1295" s="42"/>
    </row>
    <row r="1296" spans="1:13" x14ac:dyDescent="0.2">
      <c r="A1296" s="42"/>
      <c r="B1296" s="42"/>
      <c r="C1296" s="42"/>
      <c r="D1296" s="42"/>
      <c r="E1296" s="42"/>
      <c r="F1296" s="42"/>
      <c r="G1296" s="42"/>
      <c r="H1296" s="42"/>
      <c r="I1296" s="42"/>
      <c r="J1296" s="42"/>
      <c r="K1296" s="42"/>
      <c r="L1296" s="42"/>
      <c r="M1296" s="42"/>
    </row>
    <row r="1297" spans="1:13" x14ac:dyDescent="0.2">
      <c r="A1297" s="42"/>
      <c r="B1297" s="42"/>
      <c r="C1297" s="42"/>
      <c r="D1297" s="42"/>
      <c r="E1297" s="42"/>
      <c r="F1297" s="42"/>
      <c r="G1297" s="42"/>
      <c r="H1297" s="42"/>
      <c r="I1297" s="42"/>
      <c r="J1297" s="42"/>
      <c r="K1297" s="42"/>
      <c r="L1297" s="42"/>
      <c r="M1297" s="42"/>
    </row>
    <row r="1298" spans="1:13" x14ac:dyDescent="0.2">
      <c r="A1298" s="42"/>
      <c r="B1298" s="42"/>
      <c r="C1298" s="42"/>
      <c r="D1298" s="42"/>
      <c r="E1298" s="42"/>
      <c r="F1298" s="42"/>
      <c r="G1298" s="42"/>
      <c r="H1298" s="42"/>
      <c r="I1298" s="42"/>
      <c r="J1298" s="42"/>
      <c r="K1298" s="42"/>
      <c r="L1298" s="42"/>
      <c r="M1298" s="42"/>
    </row>
    <row r="1299" spans="1:13" x14ac:dyDescent="0.2">
      <c r="A1299" s="42"/>
      <c r="B1299" s="42"/>
      <c r="C1299" s="42"/>
      <c r="D1299" s="42"/>
      <c r="E1299" s="42"/>
      <c r="F1299" s="42"/>
      <c r="G1299" s="42"/>
      <c r="H1299" s="42"/>
      <c r="I1299" s="42"/>
      <c r="J1299" s="42"/>
      <c r="K1299" s="42"/>
      <c r="L1299" s="42"/>
      <c r="M1299" s="42"/>
    </row>
    <row r="1300" spans="1:13" x14ac:dyDescent="0.2">
      <c r="A1300" s="42"/>
      <c r="B1300" s="42"/>
      <c r="C1300" s="42"/>
      <c r="D1300" s="42"/>
      <c r="E1300" s="42"/>
      <c r="F1300" s="42"/>
      <c r="G1300" s="42"/>
      <c r="H1300" s="42"/>
      <c r="I1300" s="42"/>
      <c r="J1300" s="42"/>
      <c r="K1300" s="42"/>
      <c r="L1300" s="42"/>
      <c r="M1300" s="42"/>
    </row>
    <row r="1301" spans="1:13" x14ac:dyDescent="0.2">
      <c r="A1301" s="42"/>
      <c r="B1301" s="42"/>
      <c r="C1301" s="42"/>
      <c r="D1301" s="42"/>
      <c r="E1301" s="42"/>
      <c r="F1301" s="42"/>
      <c r="G1301" s="42"/>
      <c r="H1301" s="42"/>
      <c r="I1301" s="42"/>
      <c r="J1301" s="42"/>
      <c r="K1301" s="42"/>
      <c r="L1301" s="42"/>
      <c r="M1301" s="42"/>
    </row>
    <row r="1302" spans="1:13" x14ac:dyDescent="0.2">
      <c r="A1302" s="42"/>
      <c r="B1302" s="42"/>
      <c r="C1302" s="42"/>
      <c r="D1302" s="42"/>
      <c r="E1302" s="42"/>
      <c r="F1302" s="42"/>
      <c r="G1302" s="42"/>
      <c r="H1302" s="42"/>
      <c r="I1302" s="42"/>
      <c r="J1302" s="42"/>
      <c r="K1302" s="42"/>
      <c r="L1302" s="42"/>
      <c r="M1302" s="42"/>
    </row>
    <row r="1303" spans="1:13" x14ac:dyDescent="0.2">
      <c r="A1303" s="42"/>
      <c r="B1303" s="42"/>
      <c r="C1303" s="42"/>
      <c r="D1303" s="42"/>
      <c r="E1303" s="42"/>
      <c r="F1303" s="42"/>
      <c r="G1303" s="42"/>
      <c r="H1303" s="42"/>
      <c r="I1303" s="42"/>
      <c r="J1303" s="42"/>
      <c r="K1303" s="42"/>
      <c r="L1303" s="42"/>
      <c r="M1303" s="42"/>
    </row>
    <row r="1304" spans="1:13" x14ac:dyDescent="0.2">
      <c r="A1304" s="42"/>
      <c r="B1304" s="42"/>
      <c r="C1304" s="42"/>
      <c r="D1304" s="42"/>
      <c r="E1304" s="42"/>
      <c r="F1304" s="42"/>
      <c r="G1304" s="42"/>
      <c r="H1304" s="42"/>
      <c r="I1304" s="42"/>
      <c r="J1304" s="42"/>
      <c r="K1304" s="42"/>
      <c r="L1304" s="42"/>
      <c r="M1304" s="42"/>
    </row>
    <row r="1305" spans="1:13" x14ac:dyDescent="0.2">
      <c r="A1305" s="42"/>
      <c r="B1305" s="42"/>
      <c r="C1305" s="42"/>
      <c r="D1305" s="42"/>
      <c r="E1305" s="42"/>
      <c r="F1305" s="42"/>
      <c r="G1305" s="42"/>
      <c r="H1305" s="42"/>
      <c r="I1305" s="42"/>
      <c r="J1305" s="42"/>
      <c r="K1305" s="42"/>
      <c r="L1305" s="42"/>
      <c r="M1305" s="42"/>
    </row>
    <row r="1306" spans="1:13" x14ac:dyDescent="0.2">
      <c r="A1306" s="42"/>
      <c r="B1306" s="42"/>
      <c r="C1306" s="42"/>
      <c r="D1306" s="42"/>
      <c r="E1306" s="42"/>
      <c r="F1306" s="42"/>
      <c r="G1306" s="42"/>
      <c r="H1306" s="42"/>
      <c r="I1306" s="42"/>
      <c r="J1306" s="42"/>
      <c r="K1306" s="42"/>
      <c r="L1306" s="42"/>
      <c r="M1306" s="42"/>
    </row>
    <row r="1307" spans="1:13" x14ac:dyDescent="0.2">
      <c r="A1307" s="42"/>
      <c r="B1307" s="42"/>
      <c r="C1307" s="42"/>
      <c r="D1307" s="42"/>
      <c r="E1307" s="42"/>
      <c r="F1307" s="42"/>
      <c r="G1307" s="42"/>
      <c r="H1307" s="42"/>
      <c r="I1307" s="42"/>
      <c r="J1307" s="42"/>
      <c r="K1307" s="42"/>
      <c r="L1307" s="42"/>
      <c r="M1307" s="42"/>
    </row>
    <row r="1308" spans="1:13" x14ac:dyDescent="0.2">
      <c r="A1308" s="42"/>
      <c r="B1308" s="42"/>
      <c r="C1308" s="42"/>
      <c r="D1308" s="42"/>
      <c r="E1308" s="42"/>
      <c r="F1308" s="42"/>
      <c r="G1308" s="42"/>
      <c r="H1308" s="42"/>
      <c r="I1308" s="42"/>
      <c r="J1308" s="42"/>
      <c r="K1308" s="42"/>
      <c r="L1308" s="42"/>
      <c r="M1308" s="42"/>
    </row>
    <row r="1309" spans="1:13" x14ac:dyDescent="0.2">
      <c r="A1309" s="42"/>
      <c r="B1309" s="42"/>
      <c r="C1309" s="42"/>
      <c r="D1309" s="42"/>
      <c r="E1309" s="42"/>
      <c r="F1309" s="42"/>
      <c r="G1309" s="42"/>
      <c r="H1309" s="42"/>
      <c r="I1309" s="42"/>
      <c r="J1309" s="42"/>
      <c r="K1309" s="42"/>
      <c r="L1309" s="42"/>
      <c r="M1309" s="42"/>
    </row>
    <row r="1310" spans="1:13" x14ac:dyDescent="0.2">
      <c r="A1310" s="42"/>
      <c r="B1310" s="42"/>
      <c r="C1310" s="42"/>
      <c r="D1310" s="42"/>
      <c r="E1310" s="42"/>
      <c r="F1310" s="42"/>
      <c r="G1310" s="42"/>
      <c r="H1310" s="42"/>
      <c r="I1310" s="42"/>
      <c r="J1310" s="42"/>
      <c r="K1310" s="42"/>
      <c r="L1310" s="42"/>
      <c r="M1310" s="42"/>
    </row>
    <row r="1311" spans="1:13" x14ac:dyDescent="0.2">
      <c r="A1311" s="42"/>
      <c r="B1311" s="42"/>
      <c r="C1311" s="42"/>
      <c r="D1311" s="42"/>
      <c r="E1311" s="42"/>
      <c r="F1311" s="42"/>
      <c r="G1311" s="42"/>
      <c r="H1311" s="42"/>
      <c r="I1311" s="42"/>
      <c r="J1311" s="42"/>
      <c r="K1311" s="42"/>
      <c r="L1311" s="42"/>
      <c r="M1311" s="42"/>
    </row>
    <row r="1312" spans="1:13" x14ac:dyDescent="0.2">
      <c r="A1312" s="42"/>
      <c r="B1312" s="42"/>
      <c r="C1312" s="42"/>
      <c r="D1312" s="42"/>
      <c r="E1312" s="42"/>
      <c r="F1312" s="42"/>
      <c r="G1312" s="42"/>
      <c r="H1312" s="42"/>
      <c r="I1312" s="42"/>
      <c r="J1312" s="42"/>
      <c r="K1312" s="42"/>
      <c r="L1312" s="42"/>
      <c r="M1312" s="42"/>
    </row>
    <row r="1313" spans="1:13" x14ac:dyDescent="0.2">
      <c r="A1313" s="42"/>
      <c r="B1313" s="42"/>
      <c r="C1313" s="42"/>
      <c r="D1313" s="42"/>
      <c r="E1313" s="42"/>
      <c r="F1313" s="42"/>
      <c r="G1313" s="42"/>
      <c r="H1313" s="42"/>
      <c r="I1313" s="42"/>
      <c r="J1313" s="42"/>
      <c r="K1313" s="42"/>
      <c r="L1313" s="42"/>
      <c r="M1313" s="42"/>
    </row>
    <row r="1314" spans="1:13" x14ac:dyDescent="0.2">
      <c r="A1314" s="42"/>
      <c r="B1314" s="42"/>
      <c r="C1314" s="42"/>
      <c r="D1314" s="42"/>
      <c r="E1314" s="42"/>
      <c r="F1314" s="42"/>
      <c r="G1314" s="42"/>
      <c r="H1314" s="42"/>
      <c r="I1314" s="42"/>
      <c r="J1314" s="42"/>
      <c r="K1314" s="42"/>
      <c r="L1314" s="42"/>
      <c r="M1314" s="42"/>
    </row>
    <row r="1315" spans="1:13" x14ac:dyDescent="0.2">
      <c r="A1315" s="42"/>
      <c r="B1315" s="42"/>
      <c r="C1315" s="42"/>
      <c r="D1315" s="42"/>
      <c r="E1315" s="42"/>
      <c r="F1315" s="42"/>
      <c r="G1315" s="42"/>
      <c r="H1315" s="42"/>
      <c r="I1315" s="42"/>
      <c r="J1315" s="42"/>
      <c r="K1315" s="42"/>
      <c r="L1315" s="42"/>
      <c r="M1315" s="42"/>
    </row>
    <row r="1316" spans="1:13" x14ac:dyDescent="0.2">
      <c r="A1316" s="42"/>
      <c r="B1316" s="42"/>
      <c r="C1316" s="42"/>
      <c r="D1316" s="42"/>
      <c r="E1316" s="42"/>
      <c r="F1316" s="42"/>
      <c r="G1316" s="42"/>
      <c r="H1316" s="42"/>
      <c r="I1316" s="42"/>
      <c r="J1316" s="42"/>
      <c r="K1316" s="42"/>
      <c r="L1316" s="42"/>
      <c r="M1316" s="42"/>
    </row>
    <row r="1317" spans="1:13" x14ac:dyDescent="0.2">
      <c r="A1317" s="42"/>
      <c r="B1317" s="42"/>
      <c r="C1317" s="42"/>
      <c r="D1317" s="42"/>
      <c r="E1317" s="42"/>
      <c r="F1317" s="42"/>
      <c r="G1317" s="42"/>
      <c r="H1317" s="42"/>
      <c r="I1317" s="42"/>
      <c r="J1317" s="42"/>
      <c r="K1317" s="42"/>
      <c r="L1317" s="42"/>
      <c r="M1317" s="42"/>
    </row>
    <row r="1318" spans="1:13" x14ac:dyDescent="0.2">
      <c r="A1318" s="42"/>
      <c r="B1318" s="42"/>
      <c r="C1318" s="42"/>
      <c r="D1318" s="42"/>
      <c r="E1318" s="42"/>
      <c r="F1318" s="42"/>
      <c r="G1318" s="42"/>
      <c r="H1318" s="42"/>
      <c r="I1318" s="42"/>
      <c r="J1318" s="42"/>
      <c r="K1318" s="42"/>
      <c r="L1318" s="42"/>
      <c r="M1318" s="42"/>
    </row>
    <row r="1319" spans="1:13" x14ac:dyDescent="0.2">
      <c r="A1319" s="42"/>
      <c r="B1319" s="42"/>
      <c r="C1319" s="42"/>
      <c r="D1319" s="42"/>
      <c r="E1319" s="42"/>
      <c r="F1319" s="42"/>
      <c r="G1319" s="42"/>
      <c r="H1319" s="42"/>
      <c r="I1319" s="42"/>
      <c r="J1319" s="42"/>
      <c r="K1319" s="42"/>
      <c r="L1319" s="42"/>
      <c r="M1319" s="42"/>
    </row>
    <row r="1320" spans="1:13" x14ac:dyDescent="0.2">
      <c r="A1320" s="42"/>
      <c r="B1320" s="42"/>
      <c r="C1320" s="42"/>
      <c r="D1320" s="42"/>
      <c r="E1320" s="42"/>
      <c r="F1320" s="42"/>
      <c r="G1320" s="42"/>
      <c r="H1320" s="42"/>
      <c r="I1320" s="42"/>
      <c r="J1320" s="42"/>
      <c r="K1320" s="42"/>
      <c r="L1320" s="42"/>
      <c r="M1320" s="42"/>
    </row>
    <row r="1321" spans="1:13" x14ac:dyDescent="0.2">
      <c r="A1321" s="42"/>
      <c r="B1321" s="42"/>
      <c r="C1321" s="42"/>
      <c r="D1321" s="42"/>
      <c r="E1321" s="42"/>
      <c r="F1321" s="42"/>
      <c r="G1321" s="42"/>
      <c r="H1321" s="42"/>
      <c r="I1321" s="42"/>
      <c r="J1321" s="42"/>
      <c r="K1321" s="42"/>
      <c r="L1321" s="42"/>
      <c r="M1321" s="42"/>
    </row>
    <row r="1322" spans="1:13" x14ac:dyDescent="0.2">
      <c r="A1322" s="42"/>
      <c r="B1322" s="42"/>
      <c r="C1322" s="42"/>
      <c r="D1322" s="42"/>
      <c r="E1322" s="42"/>
      <c r="F1322" s="42"/>
      <c r="G1322" s="42"/>
      <c r="H1322" s="42"/>
      <c r="I1322" s="42"/>
      <c r="J1322" s="42"/>
      <c r="K1322" s="42"/>
      <c r="L1322" s="42"/>
      <c r="M1322" s="42"/>
    </row>
    <row r="1323" spans="1:13" x14ac:dyDescent="0.2">
      <c r="A1323" s="42"/>
      <c r="B1323" s="42"/>
      <c r="C1323" s="42"/>
      <c r="D1323" s="42"/>
      <c r="E1323" s="42"/>
      <c r="F1323" s="42"/>
      <c r="G1323" s="42"/>
      <c r="H1323" s="42"/>
      <c r="I1323" s="42"/>
      <c r="J1323" s="42"/>
      <c r="K1323" s="42"/>
      <c r="L1323" s="42"/>
      <c r="M1323" s="42"/>
    </row>
    <row r="1324" spans="1:13" x14ac:dyDescent="0.2">
      <c r="A1324" s="42"/>
      <c r="B1324" s="42"/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</row>
    <row r="1325" spans="1:13" x14ac:dyDescent="0.2">
      <c r="A1325" s="42"/>
      <c r="B1325" s="42"/>
      <c r="C1325" s="42"/>
      <c r="D1325" s="42"/>
      <c r="E1325" s="42"/>
      <c r="F1325" s="42"/>
      <c r="G1325" s="42"/>
      <c r="H1325" s="42"/>
      <c r="I1325" s="42"/>
      <c r="J1325" s="42"/>
      <c r="K1325" s="42"/>
      <c r="L1325" s="42"/>
      <c r="M1325" s="42"/>
    </row>
    <row r="1326" spans="1:13" x14ac:dyDescent="0.2">
      <c r="A1326" s="42"/>
      <c r="B1326" s="42"/>
      <c r="C1326" s="42"/>
      <c r="D1326" s="42"/>
      <c r="E1326" s="42"/>
      <c r="F1326" s="42"/>
      <c r="G1326" s="42"/>
      <c r="H1326" s="42"/>
      <c r="I1326" s="42"/>
      <c r="J1326" s="42"/>
      <c r="K1326" s="42"/>
      <c r="L1326" s="42"/>
      <c r="M1326" s="42"/>
    </row>
    <row r="1327" spans="1:13" x14ac:dyDescent="0.2">
      <c r="A1327" s="42"/>
      <c r="B1327" s="42"/>
      <c r="C1327" s="42"/>
      <c r="D1327" s="42"/>
      <c r="E1327" s="42"/>
      <c r="F1327" s="42"/>
      <c r="G1327" s="42"/>
      <c r="H1327" s="42"/>
      <c r="I1327" s="42"/>
      <c r="J1327" s="42"/>
      <c r="K1327" s="42"/>
      <c r="L1327" s="42"/>
      <c r="M1327" s="42"/>
    </row>
    <row r="1328" spans="1:13" x14ac:dyDescent="0.2">
      <c r="A1328" s="42"/>
      <c r="B1328" s="42"/>
      <c r="C1328" s="42"/>
      <c r="D1328" s="42"/>
      <c r="E1328" s="42"/>
      <c r="F1328" s="42"/>
      <c r="G1328" s="42"/>
      <c r="H1328" s="42"/>
      <c r="I1328" s="42"/>
      <c r="J1328" s="42"/>
      <c r="K1328" s="42"/>
      <c r="L1328" s="42"/>
      <c r="M1328" s="42"/>
    </row>
    <row r="1329" spans="1:13" x14ac:dyDescent="0.2">
      <c r="A1329" s="42"/>
      <c r="B1329" s="42"/>
      <c r="C1329" s="42"/>
      <c r="D1329" s="42"/>
      <c r="E1329" s="42"/>
      <c r="F1329" s="42"/>
      <c r="G1329" s="42"/>
      <c r="H1329" s="42"/>
      <c r="I1329" s="42"/>
      <c r="J1329" s="42"/>
      <c r="K1329" s="42"/>
      <c r="L1329" s="42"/>
      <c r="M1329" s="42"/>
    </row>
    <row r="1330" spans="1:13" x14ac:dyDescent="0.2">
      <c r="A1330" s="42"/>
      <c r="B1330" s="42"/>
      <c r="C1330" s="42"/>
      <c r="D1330" s="42"/>
      <c r="E1330" s="42"/>
      <c r="F1330" s="42"/>
      <c r="G1330" s="42"/>
      <c r="H1330" s="42"/>
      <c r="I1330" s="42"/>
      <c r="J1330" s="42"/>
      <c r="K1330" s="42"/>
      <c r="L1330" s="42"/>
      <c r="M1330" s="42"/>
    </row>
    <row r="1331" spans="1:13" x14ac:dyDescent="0.2">
      <c r="A1331" s="42"/>
      <c r="B1331" s="42"/>
      <c r="C1331" s="42"/>
      <c r="D1331" s="42"/>
      <c r="E1331" s="42"/>
      <c r="F1331" s="42"/>
      <c r="G1331" s="42"/>
      <c r="H1331" s="42"/>
      <c r="I1331" s="42"/>
      <c r="J1331" s="42"/>
      <c r="K1331" s="42"/>
      <c r="L1331" s="42"/>
      <c r="M1331" s="42"/>
    </row>
    <row r="1332" spans="1:13" x14ac:dyDescent="0.2">
      <c r="A1332" s="42"/>
      <c r="B1332" s="42"/>
      <c r="C1332" s="42"/>
      <c r="D1332" s="42"/>
      <c r="E1332" s="42"/>
      <c r="F1332" s="42"/>
      <c r="G1332" s="42"/>
      <c r="H1332" s="42"/>
      <c r="I1332" s="42"/>
      <c r="J1332" s="42"/>
      <c r="K1332" s="42"/>
      <c r="L1332" s="42"/>
      <c r="M1332" s="42"/>
    </row>
    <row r="1333" spans="1:13" x14ac:dyDescent="0.2">
      <c r="A1333" s="42"/>
      <c r="B1333" s="42"/>
      <c r="C1333" s="42"/>
      <c r="D1333" s="42"/>
      <c r="E1333" s="42"/>
      <c r="F1333" s="42"/>
      <c r="G1333" s="42"/>
      <c r="H1333" s="42"/>
      <c r="I1333" s="42"/>
      <c r="J1333" s="42"/>
      <c r="K1333" s="42"/>
      <c r="L1333" s="42"/>
      <c r="M1333" s="42"/>
    </row>
    <row r="1334" spans="1:13" x14ac:dyDescent="0.2">
      <c r="A1334" s="42"/>
      <c r="B1334" s="42"/>
      <c r="C1334" s="42"/>
      <c r="D1334" s="42"/>
      <c r="E1334" s="42"/>
      <c r="F1334" s="42"/>
      <c r="G1334" s="42"/>
      <c r="H1334" s="42"/>
      <c r="I1334" s="42"/>
      <c r="J1334" s="42"/>
      <c r="K1334" s="42"/>
      <c r="L1334" s="42"/>
      <c r="M1334" s="42"/>
    </row>
    <row r="1335" spans="1:13" x14ac:dyDescent="0.2">
      <c r="A1335" s="42"/>
      <c r="B1335" s="42"/>
      <c r="C1335" s="42"/>
      <c r="D1335" s="42"/>
      <c r="E1335" s="42"/>
      <c r="F1335" s="42"/>
      <c r="G1335" s="42"/>
      <c r="H1335" s="42"/>
      <c r="I1335" s="42"/>
      <c r="J1335" s="42"/>
      <c r="K1335" s="42"/>
      <c r="L1335" s="42"/>
      <c r="M1335" s="42"/>
    </row>
    <row r="1336" spans="1:13" x14ac:dyDescent="0.2">
      <c r="A1336" s="42"/>
      <c r="B1336" s="42"/>
      <c r="C1336" s="42"/>
      <c r="D1336" s="42"/>
      <c r="E1336" s="42"/>
      <c r="F1336" s="42"/>
      <c r="G1336" s="42"/>
      <c r="H1336" s="42"/>
      <c r="I1336" s="42"/>
      <c r="J1336" s="42"/>
      <c r="K1336" s="42"/>
      <c r="L1336" s="42"/>
      <c r="M1336" s="42"/>
    </row>
    <row r="1337" spans="1:13" x14ac:dyDescent="0.2">
      <c r="A1337" s="42"/>
      <c r="B1337" s="42"/>
      <c r="C1337" s="42"/>
      <c r="D1337" s="42"/>
      <c r="E1337" s="42"/>
      <c r="F1337" s="42"/>
      <c r="G1337" s="42"/>
      <c r="H1337" s="42"/>
      <c r="I1337" s="42"/>
      <c r="J1337" s="42"/>
      <c r="K1337" s="42"/>
      <c r="L1337" s="42"/>
      <c r="M1337" s="42"/>
    </row>
    <row r="1338" spans="1:13" x14ac:dyDescent="0.2">
      <c r="A1338" s="42"/>
      <c r="B1338" s="42"/>
      <c r="C1338" s="42"/>
      <c r="D1338" s="42"/>
      <c r="E1338" s="42"/>
      <c r="F1338" s="42"/>
      <c r="G1338" s="42"/>
      <c r="H1338" s="42"/>
      <c r="I1338" s="42"/>
      <c r="J1338" s="42"/>
      <c r="K1338" s="42"/>
      <c r="L1338" s="42"/>
      <c r="M1338" s="42"/>
    </row>
    <row r="1339" spans="1:13" x14ac:dyDescent="0.2">
      <c r="A1339" s="42"/>
      <c r="B1339" s="42"/>
      <c r="C1339" s="42"/>
      <c r="D1339" s="42"/>
      <c r="E1339" s="42"/>
      <c r="F1339" s="42"/>
      <c r="G1339" s="42"/>
      <c r="H1339" s="42"/>
      <c r="I1339" s="42"/>
      <c r="J1339" s="42"/>
      <c r="K1339" s="42"/>
      <c r="L1339" s="42"/>
      <c r="M1339" s="42"/>
    </row>
    <row r="1340" spans="1:13" x14ac:dyDescent="0.2">
      <c r="A1340" s="42"/>
      <c r="B1340" s="42"/>
      <c r="C1340" s="42"/>
      <c r="D1340" s="42"/>
      <c r="E1340" s="42"/>
      <c r="F1340" s="42"/>
      <c r="G1340" s="42"/>
      <c r="H1340" s="42"/>
      <c r="I1340" s="42"/>
      <c r="J1340" s="42"/>
      <c r="K1340" s="42"/>
      <c r="L1340" s="42"/>
      <c r="M1340" s="42"/>
    </row>
    <row r="1341" spans="1:13" x14ac:dyDescent="0.2">
      <c r="A1341" s="42"/>
      <c r="B1341" s="42"/>
      <c r="C1341" s="42"/>
      <c r="D1341" s="42"/>
      <c r="E1341" s="42"/>
      <c r="F1341" s="42"/>
      <c r="G1341" s="42"/>
      <c r="H1341" s="42"/>
      <c r="I1341" s="42"/>
      <c r="J1341" s="42"/>
      <c r="K1341" s="42"/>
      <c r="L1341" s="42"/>
      <c r="M1341" s="42"/>
    </row>
    <row r="1342" spans="1:13" x14ac:dyDescent="0.2">
      <c r="A1342" s="42"/>
      <c r="B1342" s="42"/>
      <c r="C1342" s="42"/>
      <c r="D1342" s="42"/>
      <c r="E1342" s="42"/>
      <c r="F1342" s="42"/>
      <c r="G1342" s="42"/>
      <c r="H1342" s="42"/>
      <c r="I1342" s="42"/>
      <c r="J1342" s="42"/>
      <c r="K1342" s="42"/>
      <c r="L1342" s="42"/>
      <c r="M1342" s="42"/>
    </row>
    <row r="1343" spans="1:13" x14ac:dyDescent="0.2">
      <c r="A1343" s="42"/>
      <c r="B1343" s="42"/>
      <c r="C1343" s="42"/>
      <c r="D1343" s="42"/>
      <c r="E1343" s="42"/>
      <c r="F1343" s="42"/>
      <c r="G1343" s="42"/>
      <c r="H1343" s="42"/>
      <c r="I1343" s="42"/>
      <c r="J1343" s="42"/>
      <c r="K1343" s="42"/>
      <c r="L1343" s="42"/>
      <c r="M1343" s="42"/>
    </row>
    <row r="1344" spans="1:13" x14ac:dyDescent="0.2">
      <c r="A1344" s="42"/>
      <c r="B1344" s="42"/>
      <c r="C1344" s="42"/>
      <c r="D1344" s="42"/>
      <c r="E1344" s="42"/>
      <c r="F1344" s="42"/>
      <c r="G1344" s="42"/>
      <c r="H1344" s="42"/>
      <c r="I1344" s="42"/>
      <c r="J1344" s="42"/>
      <c r="K1344" s="42"/>
      <c r="L1344" s="42"/>
      <c r="M1344" s="42"/>
    </row>
    <row r="1345" spans="1:13" x14ac:dyDescent="0.2">
      <c r="A1345" s="42"/>
      <c r="B1345" s="42"/>
      <c r="C1345" s="42"/>
      <c r="D1345" s="42"/>
      <c r="E1345" s="42"/>
      <c r="F1345" s="42"/>
      <c r="G1345" s="42"/>
      <c r="H1345" s="42"/>
      <c r="I1345" s="42"/>
      <c r="J1345" s="42"/>
      <c r="K1345" s="42"/>
      <c r="L1345" s="42"/>
      <c r="M1345" s="42"/>
    </row>
    <row r="1346" spans="1:13" x14ac:dyDescent="0.2">
      <c r="A1346" s="42"/>
      <c r="B1346" s="42"/>
      <c r="C1346" s="42"/>
      <c r="D1346" s="42"/>
      <c r="E1346" s="42"/>
      <c r="F1346" s="42"/>
      <c r="G1346" s="42"/>
      <c r="H1346" s="42"/>
      <c r="I1346" s="42"/>
      <c r="J1346" s="42"/>
      <c r="K1346" s="42"/>
      <c r="L1346" s="42"/>
      <c r="M1346" s="42"/>
    </row>
    <row r="1347" spans="1:13" x14ac:dyDescent="0.2">
      <c r="A1347" s="42"/>
      <c r="B1347" s="42"/>
      <c r="C1347" s="42"/>
      <c r="D1347" s="42"/>
      <c r="E1347" s="42"/>
      <c r="F1347" s="42"/>
      <c r="G1347" s="42"/>
      <c r="H1347" s="42"/>
      <c r="I1347" s="42"/>
      <c r="J1347" s="42"/>
      <c r="K1347" s="42"/>
      <c r="L1347" s="42"/>
      <c r="M1347" s="42"/>
    </row>
    <row r="1348" spans="1:13" x14ac:dyDescent="0.2">
      <c r="A1348" s="42"/>
      <c r="B1348" s="42"/>
      <c r="C1348" s="42"/>
      <c r="D1348" s="42"/>
      <c r="E1348" s="42"/>
      <c r="F1348" s="42"/>
      <c r="G1348" s="42"/>
      <c r="H1348" s="42"/>
      <c r="I1348" s="42"/>
      <c r="J1348" s="42"/>
      <c r="K1348" s="42"/>
      <c r="L1348" s="42"/>
      <c r="M1348" s="42"/>
    </row>
    <row r="1349" spans="1:13" x14ac:dyDescent="0.2">
      <c r="A1349" s="42"/>
      <c r="B1349" s="42"/>
      <c r="C1349" s="42"/>
      <c r="D1349" s="42"/>
      <c r="E1349" s="42"/>
      <c r="F1349" s="42"/>
      <c r="G1349" s="42"/>
      <c r="H1349" s="42"/>
      <c r="I1349" s="42"/>
      <c r="J1349" s="42"/>
      <c r="K1349" s="42"/>
      <c r="L1349" s="42"/>
      <c r="M1349" s="42"/>
    </row>
    <row r="1350" spans="1:13" x14ac:dyDescent="0.2">
      <c r="A1350" s="42"/>
      <c r="B1350" s="42"/>
      <c r="C1350" s="42"/>
      <c r="D1350" s="42"/>
      <c r="E1350" s="42"/>
      <c r="F1350" s="42"/>
      <c r="G1350" s="42"/>
      <c r="H1350" s="42"/>
      <c r="I1350" s="42"/>
      <c r="J1350" s="42"/>
      <c r="K1350" s="42"/>
      <c r="L1350" s="42"/>
      <c r="M1350" s="42"/>
    </row>
    <row r="1351" spans="1:13" x14ac:dyDescent="0.2">
      <c r="A1351" s="42"/>
      <c r="B1351" s="42"/>
      <c r="C1351" s="42"/>
      <c r="D1351" s="42"/>
      <c r="E1351" s="42"/>
      <c r="F1351" s="42"/>
      <c r="G1351" s="42"/>
      <c r="H1351" s="42"/>
      <c r="I1351" s="42"/>
      <c r="J1351" s="42"/>
      <c r="K1351" s="42"/>
      <c r="L1351" s="42"/>
      <c r="M1351" s="42"/>
    </row>
    <row r="1352" spans="1:13" x14ac:dyDescent="0.2">
      <c r="A1352" s="42"/>
      <c r="B1352" s="42"/>
      <c r="C1352" s="42"/>
      <c r="D1352" s="42"/>
      <c r="E1352" s="42"/>
      <c r="F1352" s="42"/>
      <c r="G1352" s="42"/>
      <c r="H1352" s="42"/>
      <c r="I1352" s="42"/>
      <c r="J1352" s="42"/>
      <c r="K1352" s="42"/>
      <c r="L1352" s="42"/>
      <c r="M1352" s="42"/>
    </row>
    <row r="1353" spans="1:13" x14ac:dyDescent="0.2">
      <c r="A1353" s="42"/>
      <c r="B1353" s="42"/>
      <c r="C1353" s="42"/>
      <c r="D1353" s="42"/>
      <c r="E1353" s="42"/>
      <c r="F1353" s="42"/>
      <c r="G1353" s="42"/>
      <c r="H1353" s="42"/>
      <c r="I1353" s="42"/>
      <c r="J1353" s="42"/>
      <c r="K1353" s="42"/>
      <c r="L1353" s="42"/>
      <c r="M1353" s="42"/>
    </row>
    <row r="1354" spans="1:13" x14ac:dyDescent="0.2">
      <c r="A1354" s="42"/>
      <c r="B1354" s="42"/>
      <c r="C1354" s="42"/>
      <c r="D1354" s="42"/>
      <c r="E1354" s="42"/>
      <c r="F1354" s="42"/>
      <c r="G1354" s="42"/>
      <c r="H1354" s="42"/>
      <c r="I1354" s="42"/>
      <c r="J1354" s="42"/>
      <c r="K1354" s="42"/>
      <c r="L1354" s="42"/>
      <c r="M1354" s="42"/>
    </row>
    <row r="1355" spans="1:13" x14ac:dyDescent="0.2">
      <c r="A1355" s="42"/>
      <c r="B1355" s="42"/>
      <c r="C1355" s="42"/>
      <c r="D1355" s="42"/>
      <c r="E1355" s="42"/>
      <c r="F1355" s="42"/>
      <c r="G1355" s="42"/>
      <c r="H1355" s="42"/>
      <c r="I1355" s="42"/>
      <c r="J1355" s="42"/>
      <c r="K1355" s="42"/>
      <c r="L1355" s="42"/>
      <c r="M1355" s="42"/>
    </row>
    <row r="1356" spans="1:13" x14ac:dyDescent="0.2">
      <c r="A1356" s="42"/>
      <c r="B1356" s="42"/>
      <c r="C1356" s="42"/>
      <c r="D1356" s="42"/>
      <c r="E1356" s="42"/>
      <c r="F1356" s="42"/>
      <c r="G1356" s="42"/>
      <c r="H1356" s="42"/>
      <c r="I1356" s="42"/>
      <c r="J1356" s="42"/>
      <c r="K1356" s="42"/>
      <c r="L1356" s="42"/>
      <c r="M1356" s="42"/>
    </row>
    <row r="1357" spans="1:13" x14ac:dyDescent="0.2">
      <c r="A1357" s="42"/>
      <c r="B1357" s="42"/>
      <c r="C1357" s="42"/>
      <c r="D1357" s="42"/>
      <c r="E1357" s="42"/>
      <c r="F1357" s="42"/>
      <c r="G1357" s="42"/>
      <c r="H1357" s="42"/>
      <c r="I1357" s="42"/>
      <c r="J1357" s="42"/>
      <c r="K1357" s="42"/>
      <c r="L1357" s="42"/>
      <c r="M1357" s="42"/>
    </row>
    <row r="1358" spans="1:13" x14ac:dyDescent="0.2">
      <c r="A1358" s="42"/>
      <c r="B1358" s="42"/>
      <c r="C1358" s="42"/>
      <c r="D1358" s="42"/>
      <c r="E1358" s="42"/>
      <c r="F1358" s="42"/>
      <c r="G1358" s="42"/>
      <c r="H1358" s="42"/>
      <c r="I1358" s="42"/>
      <c r="J1358" s="42"/>
      <c r="K1358" s="42"/>
      <c r="L1358" s="42"/>
      <c r="M1358" s="42"/>
    </row>
    <row r="1359" spans="1:13" x14ac:dyDescent="0.2">
      <c r="A1359" s="42"/>
      <c r="B1359" s="42"/>
      <c r="C1359" s="42"/>
      <c r="D1359" s="42"/>
      <c r="E1359" s="42"/>
      <c r="F1359" s="42"/>
      <c r="G1359" s="42"/>
      <c r="H1359" s="42"/>
      <c r="I1359" s="42"/>
      <c r="J1359" s="42"/>
      <c r="K1359" s="42"/>
      <c r="L1359" s="42"/>
      <c r="M1359" s="42"/>
    </row>
    <row r="1360" spans="1:13" x14ac:dyDescent="0.2">
      <c r="A1360" s="42"/>
      <c r="B1360" s="42"/>
      <c r="C1360" s="42"/>
      <c r="D1360" s="42"/>
      <c r="E1360" s="42"/>
      <c r="F1360" s="42"/>
      <c r="G1360" s="42"/>
      <c r="H1360" s="42"/>
      <c r="I1360" s="42"/>
      <c r="J1360" s="42"/>
      <c r="K1360" s="42"/>
      <c r="L1360" s="42"/>
      <c r="M1360" s="42"/>
    </row>
    <row r="1361" spans="1:13" x14ac:dyDescent="0.2">
      <c r="A1361" s="42"/>
      <c r="B1361" s="42"/>
      <c r="C1361" s="42"/>
      <c r="D1361" s="42"/>
      <c r="E1361" s="42"/>
      <c r="F1361" s="42"/>
      <c r="G1361" s="42"/>
      <c r="H1361" s="42"/>
      <c r="I1361" s="42"/>
      <c r="J1361" s="42"/>
      <c r="K1361" s="42"/>
      <c r="L1361" s="42"/>
      <c r="M1361" s="42"/>
    </row>
    <row r="1362" spans="1:13" x14ac:dyDescent="0.2">
      <c r="A1362" s="42"/>
      <c r="B1362" s="42"/>
      <c r="C1362" s="42"/>
      <c r="D1362" s="42"/>
      <c r="E1362" s="42"/>
      <c r="F1362" s="42"/>
      <c r="G1362" s="42"/>
      <c r="H1362" s="42"/>
      <c r="I1362" s="42"/>
      <c r="J1362" s="42"/>
      <c r="K1362" s="42"/>
      <c r="L1362" s="42"/>
      <c r="M1362" s="42"/>
    </row>
    <row r="1363" spans="1:13" x14ac:dyDescent="0.2">
      <c r="A1363" s="42"/>
      <c r="B1363" s="42"/>
      <c r="C1363" s="42"/>
      <c r="D1363" s="42"/>
      <c r="E1363" s="42"/>
      <c r="F1363" s="42"/>
      <c r="G1363" s="42"/>
      <c r="H1363" s="42"/>
      <c r="I1363" s="42"/>
      <c r="J1363" s="42"/>
      <c r="K1363" s="42"/>
      <c r="L1363" s="42"/>
      <c r="M1363" s="42"/>
    </row>
    <row r="1364" spans="1:13" x14ac:dyDescent="0.2">
      <c r="A1364" s="42"/>
      <c r="B1364" s="42"/>
      <c r="C1364" s="42"/>
      <c r="D1364" s="42"/>
      <c r="E1364" s="42"/>
      <c r="F1364" s="42"/>
      <c r="G1364" s="42"/>
      <c r="H1364" s="42"/>
      <c r="I1364" s="42"/>
      <c r="J1364" s="42"/>
      <c r="K1364" s="42"/>
      <c r="L1364" s="42"/>
      <c r="M1364" s="42"/>
    </row>
    <row r="1365" spans="1:13" x14ac:dyDescent="0.2">
      <c r="A1365" s="42"/>
      <c r="B1365" s="42"/>
      <c r="C1365" s="42"/>
      <c r="D1365" s="42"/>
      <c r="E1365" s="42"/>
      <c r="F1365" s="42"/>
      <c r="G1365" s="42"/>
      <c r="H1365" s="42"/>
      <c r="I1365" s="42"/>
      <c r="J1365" s="42"/>
      <c r="K1365" s="42"/>
      <c r="L1365" s="42"/>
      <c r="M1365" s="42"/>
    </row>
    <row r="1366" spans="1:13" x14ac:dyDescent="0.2">
      <c r="A1366" s="42"/>
      <c r="B1366" s="42"/>
      <c r="C1366" s="42"/>
      <c r="D1366" s="42"/>
      <c r="E1366" s="42"/>
      <c r="F1366" s="42"/>
      <c r="G1366" s="42"/>
      <c r="H1366" s="42"/>
      <c r="I1366" s="42"/>
      <c r="J1366" s="42"/>
      <c r="K1366" s="42"/>
      <c r="L1366" s="42"/>
      <c r="M1366" s="42"/>
    </row>
    <row r="1367" spans="1:13" x14ac:dyDescent="0.2">
      <c r="A1367" s="42"/>
      <c r="B1367" s="42"/>
      <c r="C1367" s="42"/>
      <c r="D1367" s="42"/>
      <c r="E1367" s="42"/>
      <c r="F1367" s="42"/>
      <c r="G1367" s="42"/>
      <c r="H1367" s="42"/>
      <c r="I1367" s="42"/>
      <c r="J1367" s="42"/>
      <c r="K1367" s="42"/>
      <c r="L1367" s="42"/>
      <c r="M1367" s="42"/>
    </row>
    <row r="1368" spans="1:13" x14ac:dyDescent="0.2">
      <c r="A1368" s="42"/>
      <c r="B1368" s="42"/>
      <c r="C1368" s="42"/>
      <c r="D1368" s="42"/>
      <c r="E1368" s="42"/>
      <c r="F1368" s="42"/>
      <c r="G1368" s="42"/>
      <c r="H1368" s="42"/>
      <c r="I1368" s="42"/>
      <c r="J1368" s="42"/>
      <c r="K1368" s="42"/>
      <c r="L1368" s="42"/>
      <c r="M1368" s="42"/>
    </row>
    <row r="1369" spans="1:13" x14ac:dyDescent="0.2">
      <c r="A1369" s="42"/>
      <c r="B1369" s="42"/>
      <c r="C1369" s="42"/>
      <c r="D1369" s="42"/>
      <c r="E1369" s="42"/>
      <c r="F1369" s="42"/>
      <c r="G1369" s="42"/>
      <c r="H1369" s="42"/>
      <c r="I1369" s="42"/>
      <c r="J1369" s="42"/>
      <c r="K1369" s="42"/>
      <c r="L1369" s="42"/>
      <c r="M1369" s="42"/>
    </row>
    <row r="1370" spans="1:13" x14ac:dyDescent="0.2">
      <c r="A1370" s="42"/>
      <c r="B1370" s="42"/>
      <c r="C1370" s="42"/>
      <c r="D1370" s="42"/>
      <c r="E1370" s="42"/>
      <c r="F1370" s="42"/>
      <c r="G1370" s="42"/>
      <c r="H1370" s="42"/>
      <c r="I1370" s="42"/>
      <c r="J1370" s="42"/>
      <c r="K1370" s="42"/>
      <c r="L1370" s="42"/>
      <c r="M1370" s="42"/>
    </row>
    <row r="1371" spans="1:13" x14ac:dyDescent="0.2">
      <c r="A1371" s="42"/>
      <c r="B1371" s="42"/>
      <c r="C1371" s="42"/>
      <c r="D1371" s="42"/>
      <c r="E1371" s="42"/>
      <c r="F1371" s="42"/>
      <c r="G1371" s="42"/>
      <c r="H1371" s="42"/>
      <c r="I1371" s="42"/>
      <c r="J1371" s="42"/>
      <c r="K1371" s="42"/>
      <c r="L1371" s="42"/>
      <c r="M1371" s="42"/>
    </row>
    <row r="1372" spans="1:13" x14ac:dyDescent="0.2">
      <c r="A1372" s="42"/>
      <c r="B1372" s="42"/>
      <c r="C1372" s="42"/>
      <c r="D1372" s="42"/>
      <c r="E1372" s="42"/>
      <c r="F1372" s="42"/>
      <c r="G1372" s="42"/>
      <c r="H1372" s="42"/>
      <c r="I1372" s="42"/>
      <c r="J1372" s="42"/>
      <c r="K1372" s="42"/>
      <c r="L1372" s="42"/>
      <c r="M1372" s="42"/>
    </row>
    <row r="1373" spans="1:13" x14ac:dyDescent="0.2">
      <c r="A1373" s="42"/>
      <c r="B1373" s="42"/>
      <c r="C1373" s="42"/>
      <c r="D1373" s="42"/>
      <c r="E1373" s="42"/>
      <c r="F1373" s="42"/>
      <c r="G1373" s="42"/>
      <c r="H1373" s="42"/>
      <c r="I1373" s="42"/>
      <c r="J1373" s="42"/>
      <c r="K1373" s="42"/>
      <c r="L1373" s="42"/>
      <c r="M1373" s="42"/>
    </row>
    <row r="1374" spans="1:13" x14ac:dyDescent="0.2">
      <c r="A1374" s="42"/>
      <c r="B1374" s="42"/>
      <c r="C1374" s="42"/>
      <c r="D1374" s="42"/>
      <c r="E1374" s="42"/>
      <c r="F1374" s="42"/>
      <c r="G1374" s="42"/>
      <c r="H1374" s="42"/>
      <c r="I1374" s="42"/>
      <c r="J1374" s="42"/>
      <c r="K1374" s="42"/>
      <c r="L1374" s="42"/>
      <c r="M1374" s="42"/>
    </row>
    <row r="1375" spans="1:13" x14ac:dyDescent="0.2">
      <c r="A1375" s="42"/>
      <c r="B1375" s="42"/>
      <c r="C1375" s="42"/>
      <c r="D1375" s="42"/>
      <c r="E1375" s="42"/>
      <c r="F1375" s="42"/>
      <c r="G1375" s="42"/>
      <c r="H1375" s="42"/>
      <c r="I1375" s="42"/>
      <c r="J1375" s="42"/>
      <c r="K1375" s="42"/>
      <c r="L1375" s="42"/>
      <c r="M1375" s="42"/>
    </row>
    <row r="1376" spans="1:13" x14ac:dyDescent="0.2">
      <c r="A1376" s="42"/>
      <c r="B1376" s="42"/>
      <c r="C1376" s="42"/>
      <c r="D1376" s="42"/>
      <c r="E1376" s="42"/>
      <c r="F1376" s="42"/>
      <c r="G1376" s="42"/>
      <c r="H1376" s="42"/>
      <c r="I1376" s="42"/>
      <c r="J1376" s="42"/>
      <c r="K1376" s="42"/>
      <c r="L1376" s="42"/>
      <c r="M1376" s="42"/>
    </row>
    <row r="1377" spans="1:13" x14ac:dyDescent="0.2">
      <c r="A1377" s="42"/>
      <c r="B1377" s="42"/>
      <c r="C1377" s="42"/>
      <c r="D1377" s="42"/>
      <c r="E1377" s="42"/>
      <c r="F1377" s="42"/>
      <c r="G1377" s="42"/>
      <c r="H1377" s="42"/>
      <c r="I1377" s="42"/>
      <c r="J1377" s="42"/>
      <c r="K1377" s="42"/>
      <c r="L1377" s="42"/>
      <c r="M1377" s="42"/>
    </row>
    <row r="1378" spans="1:13" x14ac:dyDescent="0.2">
      <c r="A1378" s="42"/>
      <c r="B1378" s="42"/>
      <c r="C1378" s="42"/>
      <c r="D1378" s="42"/>
      <c r="E1378" s="42"/>
      <c r="F1378" s="42"/>
      <c r="G1378" s="42"/>
      <c r="H1378" s="42"/>
      <c r="I1378" s="42"/>
      <c r="J1378" s="42"/>
      <c r="K1378" s="42"/>
      <c r="L1378" s="42"/>
      <c r="M1378" s="42"/>
    </row>
    <row r="1379" spans="1:13" x14ac:dyDescent="0.2">
      <c r="A1379" s="42"/>
      <c r="B1379" s="42"/>
      <c r="C1379" s="42"/>
      <c r="D1379" s="42"/>
      <c r="E1379" s="42"/>
      <c r="F1379" s="42"/>
      <c r="G1379" s="42"/>
      <c r="H1379" s="42"/>
      <c r="I1379" s="42"/>
      <c r="J1379" s="42"/>
      <c r="K1379" s="42"/>
      <c r="L1379" s="42"/>
      <c r="M1379" s="42"/>
    </row>
    <row r="1380" spans="1:13" x14ac:dyDescent="0.2">
      <c r="A1380" s="42"/>
      <c r="B1380" s="42"/>
      <c r="C1380" s="42"/>
      <c r="D1380" s="42"/>
      <c r="E1380" s="42"/>
      <c r="F1380" s="42"/>
      <c r="G1380" s="42"/>
      <c r="H1380" s="42"/>
      <c r="I1380" s="42"/>
      <c r="J1380" s="42"/>
      <c r="K1380" s="42"/>
      <c r="L1380" s="42"/>
      <c r="M1380" s="42"/>
    </row>
    <row r="1381" spans="1:13" x14ac:dyDescent="0.2">
      <c r="A1381" s="42"/>
      <c r="B1381" s="42"/>
      <c r="C1381" s="42"/>
      <c r="D1381" s="42"/>
      <c r="E1381" s="42"/>
      <c r="F1381" s="42"/>
      <c r="G1381" s="42"/>
      <c r="H1381" s="42"/>
      <c r="I1381" s="42"/>
      <c r="J1381" s="42"/>
      <c r="K1381" s="42"/>
      <c r="L1381" s="42"/>
      <c r="M1381" s="42"/>
    </row>
    <row r="1382" spans="1:13" x14ac:dyDescent="0.2">
      <c r="A1382" s="42"/>
      <c r="B1382" s="42"/>
      <c r="C1382" s="42"/>
      <c r="D1382" s="42"/>
      <c r="E1382" s="42"/>
      <c r="F1382" s="42"/>
      <c r="G1382" s="42"/>
      <c r="H1382" s="42"/>
      <c r="I1382" s="42"/>
      <c r="J1382" s="42"/>
      <c r="K1382" s="42"/>
      <c r="L1382" s="42"/>
      <c r="M1382" s="42"/>
    </row>
    <row r="1383" spans="1:13" x14ac:dyDescent="0.2">
      <c r="A1383" s="42"/>
      <c r="B1383" s="42"/>
      <c r="C1383" s="42"/>
      <c r="D1383" s="42"/>
      <c r="E1383" s="42"/>
      <c r="F1383" s="42"/>
      <c r="G1383" s="42"/>
      <c r="H1383" s="42"/>
      <c r="I1383" s="42"/>
      <c r="J1383" s="42"/>
      <c r="K1383" s="42"/>
      <c r="L1383" s="42"/>
      <c r="M1383" s="42"/>
    </row>
    <row r="1384" spans="1:13" x14ac:dyDescent="0.2">
      <c r="A1384" s="42"/>
      <c r="B1384" s="42"/>
      <c r="C1384" s="42"/>
      <c r="D1384" s="42"/>
      <c r="E1384" s="42"/>
      <c r="F1384" s="42"/>
      <c r="G1384" s="42"/>
      <c r="H1384" s="42"/>
      <c r="I1384" s="42"/>
      <c r="J1384" s="42"/>
      <c r="K1384" s="42"/>
      <c r="L1384" s="42"/>
      <c r="M1384" s="42"/>
    </row>
    <row r="1385" spans="1:13" x14ac:dyDescent="0.2">
      <c r="A1385" s="42"/>
      <c r="B1385" s="42"/>
      <c r="C1385" s="42"/>
      <c r="D1385" s="42"/>
      <c r="E1385" s="42"/>
      <c r="F1385" s="42"/>
      <c r="G1385" s="42"/>
      <c r="H1385" s="42"/>
      <c r="I1385" s="42"/>
      <c r="J1385" s="42"/>
      <c r="K1385" s="42"/>
      <c r="L1385" s="42"/>
      <c r="M1385" s="42"/>
    </row>
    <row r="1386" spans="1:13" x14ac:dyDescent="0.2">
      <c r="A1386" s="42"/>
      <c r="B1386" s="42"/>
      <c r="C1386" s="42"/>
      <c r="D1386" s="42"/>
      <c r="E1386" s="42"/>
      <c r="F1386" s="42"/>
      <c r="G1386" s="42"/>
      <c r="H1386" s="42"/>
      <c r="I1386" s="42"/>
      <c r="J1386" s="42"/>
      <c r="K1386" s="42"/>
      <c r="L1386" s="42"/>
      <c r="M1386" s="42"/>
    </row>
    <row r="1387" spans="1:13" x14ac:dyDescent="0.2">
      <c r="A1387" s="42"/>
      <c r="B1387" s="42"/>
      <c r="C1387" s="42"/>
      <c r="D1387" s="42"/>
      <c r="E1387" s="42"/>
      <c r="F1387" s="42"/>
      <c r="G1387" s="42"/>
      <c r="H1387" s="42"/>
      <c r="I1387" s="42"/>
      <c r="J1387" s="42"/>
      <c r="K1387" s="42"/>
      <c r="L1387" s="42"/>
      <c r="M1387" s="42"/>
    </row>
    <row r="1388" spans="1:13" x14ac:dyDescent="0.2">
      <c r="A1388" s="42"/>
      <c r="B1388" s="42"/>
      <c r="C1388" s="42"/>
      <c r="D1388" s="42"/>
      <c r="E1388" s="42"/>
      <c r="F1388" s="42"/>
      <c r="G1388" s="42"/>
      <c r="H1388" s="42"/>
      <c r="I1388" s="42"/>
      <c r="J1388" s="42"/>
      <c r="K1388" s="42"/>
      <c r="L1388" s="42"/>
      <c r="M1388" s="42"/>
    </row>
    <row r="1389" spans="1:13" x14ac:dyDescent="0.2">
      <c r="A1389" s="42"/>
      <c r="B1389" s="42"/>
      <c r="C1389" s="42"/>
      <c r="D1389" s="42"/>
      <c r="E1389" s="42"/>
      <c r="F1389" s="42"/>
      <c r="G1389" s="42"/>
      <c r="H1389" s="42"/>
      <c r="I1389" s="42"/>
      <c r="J1389" s="42"/>
      <c r="K1389" s="42"/>
      <c r="L1389" s="42"/>
      <c r="M1389" s="42"/>
    </row>
    <row r="1390" spans="1:13" x14ac:dyDescent="0.2">
      <c r="A1390" s="42"/>
      <c r="B1390" s="42"/>
      <c r="C1390" s="42"/>
      <c r="D1390" s="42"/>
      <c r="E1390" s="42"/>
      <c r="F1390" s="42"/>
      <c r="G1390" s="42"/>
      <c r="H1390" s="42"/>
      <c r="I1390" s="42"/>
      <c r="J1390" s="42"/>
      <c r="K1390" s="42"/>
      <c r="L1390" s="42"/>
      <c r="M1390" s="42"/>
    </row>
    <row r="1391" spans="1:13" x14ac:dyDescent="0.2">
      <c r="A1391" s="42"/>
      <c r="B1391" s="42"/>
      <c r="C1391" s="42"/>
      <c r="D1391" s="42"/>
      <c r="E1391" s="42"/>
      <c r="F1391" s="42"/>
      <c r="G1391" s="42"/>
      <c r="H1391" s="42"/>
      <c r="I1391" s="42"/>
      <c r="J1391" s="42"/>
      <c r="K1391" s="42"/>
      <c r="L1391" s="42"/>
      <c r="M1391" s="42"/>
    </row>
    <row r="1392" spans="1:13" x14ac:dyDescent="0.2">
      <c r="A1392" s="42"/>
      <c r="B1392" s="42"/>
      <c r="C1392" s="42"/>
      <c r="D1392" s="42"/>
      <c r="E1392" s="42"/>
      <c r="F1392" s="42"/>
      <c r="G1392" s="42"/>
      <c r="H1392" s="42"/>
      <c r="I1392" s="42"/>
      <c r="J1392" s="42"/>
      <c r="K1392" s="42"/>
      <c r="L1392" s="42"/>
      <c r="M1392" s="42"/>
    </row>
    <row r="1393" spans="1:13" x14ac:dyDescent="0.2">
      <c r="A1393" s="42"/>
      <c r="B1393" s="42"/>
      <c r="C1393" s="42"/>
      <c r="D1393" s="42"/>
      <c r="E1393" s="42"/>
      <c r="F1393" s="42"/>
      <c r="G1393" s="42"/>
      <c r="H1393" s="42"/>
      <c r="I1393" s="42"/>
      <c r="J1393" s="42"/>
      <c r="K1393" s="42"/>
      <c r="L1393" s="42"/>
      <c r="M1393" s="42"/>
    </row>
    <row r="1394" spans="1:13" x14ac:dyDescent="0.2">
      <c r="A1394" s="42"/>
      <c r="B1394" s="42"/>
      <c r="C1394" s="42"/>
      <c r="D1394" s="42"/>
      <c r="E1394" s="42"/>
      <c r="F1394" s="42"/>
      <c r="G1394" s="42"/>
      <c r="H1394" s="42"/>
      <c r="I1394" s="42"/>
      <c r="J1394" s="42"/>
      <c r="K1394" s="42"/>
      <c r="L1394" s="42"/>
      <c r="M1394" s="42"/>
    </row>
    <row r="1395" spans="1:13" x14ac:dyDescent="0.2">
      <c r="A1395" s="42"/>
      <c r="B1395" s="42"/>
      <c r="C1395" s="42"/>
      <c r="D1395" s="42"/>
      <c r="E1395" s="42"/>
      <c r="F1395" s="42"/>
      <c r="G1395" s="42"/>
      <c r="H1395" s="42"/>
      <c r="I1395" s="42"/>
      <c r="J1395" s="42"/>
      <c r="K1395" s="42"/>
      <c r="L1395" s="42"/>
      <c r="M1395" s="42"/>
    </row>
    <row r="1396" spans="1:13" x14ac:dyDescent="0.2">
      <c r="A1396" s="42"/>
      <c r="B1396" s="42"/>
      <c r="C1396" s="42"/>
      <c r="D1396" s="42"/>
      <c r="E1396" s="42"/>
      <c r="F1396" s="42"/>
      <c r="G1396" s="42"/>
      <c r="H1396" s="42"/>
      <c r="I1396" s="42"/>
      <c r="J1396" s="42"/>
      <c r="K1396" s="42"/>
      <c r="L1396" s="42"/>
      <c r="M1396" s="42"/>
    </row>
    <row r="1397" spans="1:13" x14ac:dyDescent="0.2">
      <c r="A1397" s="42"/>
      <c r="B1397" s="42"/>
      <c r="C1397" s="42"/>
      <c r="D1397" s="42"/>
      <c r="E1397" s="42"/>
      <c r="F1397" s="42"/>
      <c r="G1397" s="42"/>
      <c r="H1397" s="42"/>
      <c r="I1397" s="42"/>
      <c r="J1397" s="42"/>
      <c r="K1397" s="42"/>
      <c r="L1397" s="42"/>
      <c r="M1397" s="42"/>
    </row>
    <row r="1398" spans="1:13" x14ac:dyDescent="0.2">
      <c r="A1398" s="42"/>
      <c r="B1398" s="42"/>
      <c r="C1398" s="42"/>
      <c r="D1398" s="42"/>
      <c r="E1398" s="42"/>
      <c r="F1398" s="42"/>
      <c r="G1398" s="42"/>
      <c r="H1398" s="42"/>
      <c r="I1398" s="42"/>
      <c r="J1398" s="42"/>
      <c r="K1398" s="42"/>
      <c r="L1398" s="42"/>
      <c r="M1398" s="42"/>
    </row>
    <row r="1399" spans="1:13" x14ac:dyDescent="0.2">
      <c r="A1399" s="42"/>
      <c r="B1399" s="42"/>
      <c r="C1399" s="42"/>
      <c r="D1399" s="42"/>
      <c r="E1399" s="42"/>
      <c r="F1399" s="42"/>
      <c r="G1399" s="42"/>
      <c r="H1399" s="42"/>
      <c r="I1399" s="42"/>
      <c r="J1399" s="42"/>
      <c r="K1399" s="42"/>
      <c r="L1399" s="42"/>
      <c r="M1399" s="42"/>
    </row>
    <row r="1400" spans="1:13" x14ac:dyDescent="0.2">
      <c r="A1400" s="42"/>
      <c r="B1400" s="42"/>
      <c r="C1400" s="42"/>
      <c r="D1400" s="42"/>
      <c r="E1400" s="42"/>
      <c r="F1400" s="42"/>
      <c r="G1400" s="42"/>
      <c r="H1400" s="42"/>
      <c r="I1400" s="42"/>
      <c r="J1400" s="42"/>
      <c r="K1400" s="42"/>
      <c r="L1400" s="42"/>
      <c r="M1400" s="42"/>
    </row>
    <row r="1401" spans="1:13" x14ac:dyDescent="0.2">
      <c r="A1401" s="42"/>
      <c r="B1401" s="42"/>
      <c r="C1401" s="42"/>
      <c r="D1401" s="42"/>
      <c r="E1401" s="42"/>
      <c r="F1401" s="42"/>
      <c r="G1401" s="42"/>
      <c r="H1401" s="42"/>
      <c r="I1401" s="42"/>
      <c r="J1401" s="42"/>
      <c r="K1401" s="42"/>
      <c r="L1401" s="42"/>
      <c r="M1401" s="42"/>
    </row>
    <row r="1402" spans="1:13" x14ac:dyDescent="0.2">
      <c r="A1402" s="42"/>
      <c r="B1402" s="42"/>
      <c r="C1402" s="42"/>
      <c r="D1402" s="42"/>
      <c r="E1402" s="42"/>
      <c r="F1402" s="42"/>
      <c r="G1402" s="42"/>
      <c r="H1402" s="42"/>
      <c r="I1402" s="42"/>
      <c r="J1402" s="42"/>
      <c r="K1402" s="42"/>
      <c r="L1402" s="42"/>
      <c r="M1402" s="42"/>
    </row>
    <row r="1403" spans="1:13" x14ac:dyDescent="0.2">
      <c r="A1403" s="42"/>
      <c r="B1403" s="42"/>
      <c r="C1403" s="42"/>
      <c r="D1403" s="42"/>
      <c r="E1403" s="42"/>
      <c r="F1403" s="42"/>
      <c r="G1403" s="42"/>
      <c r="H1403" s="42"/>
      <c r="I1403" s="42"/>
      <c r="J1403" s="42"/>
      <c r="K1403" s="42"/>
      <c r="L1403" s="42"/>
      <c r="M1403" s="42"/>
    </row>
    <row r="1404" spans="1:13" x14ac:dyDescent="0.2">
      <c r="A1404" s="42"/>
      <c r="B1404" s="42"/>
      <c r="C1404" s="42"/>
      <c r="D1404" s="42"/>
      <c r="E1404" s="42"/>
      <c r="F1404" s="42"/>
      <c r="G1404" s="42"/>
      <c r="H1404" s="42"/>
      <c r="I1404" s="42"/>
      <c r="J1404" s="42"/>
      <c r="K1404" s="42"/>
      <c r="L1404" s="42"/>
      <c r="M1404" s="42"/>
    </row>
    <row r="1405" spans="1:13" x14ac:dyDescent="0.2">
      <c r="A1405" s="42"/>
      <c r="B1405" s="42"/>
      <c r="C1405" s="42"/>
      <c r="D1405" s="42"/>
      <c r="E1405" s="42"/>
      <c r="F1405" s="42"/>
      <c r="G1405" s="42"/>
      <c r="H1405" s="42"/>
      <c r="I1405" s="42"/>
      <c r="J1405" s="42"/>
      <c r="K1405" s="42"/>
      <c r="L1405" s="42"/>
      <c r="M1405" s="42"/>
    </row>
    <row r="1406" spans="1:13" x14ac:dyDescent="0.2">
      <c r="A1406" s="42"/>
      <c r="B1406" s="42"/>
      <c r="C1406" s="42"/>
      <c r="D1406" s="42"/>
      <c r="E1406" s="42"/>
      <c r="F1406" s="42"/>
      <c r="G1406" s="42"/>
      <c r="H1406" s="42"/>
      <c r="I1406" s="42"/>
      <c r="J1406" s="42"/>
      <c r="K1406" s="42"/>
      <c r="L1406" s="42"/>
      <c r="M1406" s="42"/>
    </row>
    <row r="1407" spans="1:13" x14ac:dyDescent="0.2">
      <c r="A1407" s="42"/>
      <c r="B1407" s="42"/>
      <c r="C1407" s="42"/>
      <c r="D1407" s="42"/>
      <c r="E1407" s="42"/>
      <c r="F1407" s="42"/>
      <c r="G1407" s="42"/>
      <c r="H1407" s="42"/>
      <c r="I1407" s="42"/>
      <c r="J1407" s="42"/>
      <c r="K1407" s="42"/>
      <c r="L1407" s="42"/>
      <c r="M1407" s="42"/>
    </row>
    <row r="1408" spans="1:13" x14ac:dyDescent="0.2">
      <c r="A1408" s="42"/>
      <c r="B1408" s="42"/>
      <c r="C1408" s="42"/>
      <c r="D1408" s="42"/>
      <c r="E1408" s="42"/>
      <c r="F1408" s="42"/>
      <c r="G1408" s="42"/>
      <c r="H1408" s="42"/>
      <c r="I1408" s="42"/>
      <c r="J1408" s="42"/>
      <c r="K1408" s="42"/>
      <c r="L1408" s="42"/>
      <c r="M1408" s="42"/>
    </row>
    <row r="1409" spans="1:13" x14ac:dyDescent="0.2">
      <c r="A1409" s="42"/>
      <c r="B1409" s="42"/>
      <c r="C1409" s="42"/>
      <c r="D1409" s="42"/>
      <c r="E1409" s="42"/>
      <c r="F1409" s="42"/>
      <c r="G1409" s="42"/>
      <c r="H1409" s="42"/>
      <c r="I1409" s="42"/>
      <c r="J1409" s="42"/>
      <c r="K1409" s="42"/>
      <c r="L1409" s="42"/>
      <c r="M1409" s="42"/>
    </row>
    <row r="1410" spans="1:13" x14ac:dyDescent="0.2">
      <c r="A1410" s="42"/>
      <c r="B1410" s="42"/>
      <c r="C1410" s="42"/>
      <c r="D1410" s="42"/>
      <c r="E1410" s="42"/>
      <c r="F1410" s="42"/>
      <c r="G1410" s="42"/>
      <c r="H1410" s="42"/>
      <c r="I1410" s="42"/>
      <c r="J1410" s="42"/>
      <c r="K1410" s="42"/>
      <c r="L1410" s="42"/>
      <c r="M1410" s="42"/>
    </row>
    <row r="1411" spans="1:13" x14ac:dyDescent="0.2">
      <c r="A1411" s="42"/>
      <c r="B1411" s="42"/>
      <c r="C1411" s="42"/>
      <c r="D1411" s="42"/>
      <c r="E1411" s="42"/>
      <c r="F1411" s="42"/>
      <c r="G1411" s="42"/>
      <c r="H1411" s="42"/>
      <c r="I1411" s="42"/>
      <c r="J1411" s="42"/>
      <c r="K1411" s="42"/>
      <c r="L1411" s="42"/>
      <c r="M1411" s="42"/>
    </row>
    <row r="1412" spans="1:13" x14ac:dyDescent="0.2">
      <c r="A1412" s="42"/>
      <c r="B1412" s="42"/>
      <c r="C1412" s="42"/>
      <c r="D1412" s="42"/>
      <c r="E1412" s="42"/>
      <c r="F1412" s="42"/>
      <c r="G1412" s="42"/>
      <c r="H1412" s="42"/>
      <c r="I1412" s="42"/>
      <c r="J1412" s="42"/>
      <c r="K1412" s="42"/>
      <c r="L1412" s="42"/>
      <c r="M1412" s="42"/>
    </row>
    <row r="1413" spans="1:13" x14ac:dyDescent="0.2">
      <c r="A1413" s="42"/>
      <c r="B1413" s="42"/>
      <c r="C1413" s="42"/>
      <c r="D1413" s="42"/>
      <c r="E1413" s="42"/>
      <c r="F1413" s="42"/>
      <c r="G1413" s="42"/>
      <c r="H1413" s="42"/>
      <c r="I1413" s="42"/>
      <c r="J1413" s="42"/>
      <c r="K1413" s="42"/>
      <c r="L1413" s="42"/>
      <c r="M1413" s="42"/>
    </row>
    <row r="1414" spans="1:13" x14ac:dyDescent="0.2">
      <c r="A1414" s="42"/>
      <c r="B1414" s="42"/>
      <c r="C1414" s="42"/>
      <c r="D1414" s="42"/>
      <c r="E1414" s="42"/>
      <c r="F1414" s="42"/>
      <c r="G1414" s="42"/>
      <c r="H1414" s="42"/>
      <c r="I1414" s="42"/>
      <c r="J1414" s="42"/>
      <c r="K1414" s="42"/>
      <c r="L1414" s="42"/>
      <c r="M1414" s="42"/>
    </row>
    <row r="1415" spans="1:13" x14ac:dyDescent="0.2">
      <c r="A1415" s="42"/>
      <c r="B1415" s="42"/>
      <c r="C1415" s="42"/>
      <c r="D1415" s="42"/>
      <c r="E1415" s="42"/>
      <c r="F1415" s="42"/>
      <c r="G1415" s="42"/>
      <c r="H1415" s="42"/>
      <c r="I1415" s="42"/>
      <c r="J1415" s="42"/>
      <c r="K1415" s="42"/>
      <c r="L1415" s="42"/>
      <c r="M1415" s="42"/>
    </row>
    <row r="1416" spans="1:13" x14ac:dyDescent="0.2">
      <c r="A1416" s="42"/>
      <c r="B1416" s="42"/>
      <c r="C1416" s="42"/>
      <c r="D1416" s="42"/>
      <c r="E1416" s="42"/>
      <c r="F1416" s="42"/>
      <c r="G1416" s="42"/>
      <c r="H1416" s="42"/>
      <c r="I1416" s="42"/>
      <c r="J1416" s="42"/>
      <c r="K1416" s="42"/>
      <c r="L1416" s="42"/>
      <c r="M1416" s="42"/>
    </row>
    <row r="1417" spans="1:13" x14ac:dyDescent="0.2">
      <c r="A1417" s="42"/>
      <c r="B1417" s="42"/>
      <c r="C1417" s="42"/>
      <c r="D1417" s="42"/>
      <c r="E1417" s="42"/>
      <c r="F1417" s="42"/>
      <c r="G1417" s="42"/>
      <c r="H1417" s="42"/>
      <c r="I1417" s="42"/>
      <c r="J1417" s="42"/>
      <c r="K1417" s="42"/>
      <c r="L1417" s="42"/>
      <c r="M1417" s="42"/>
    </row>
    <row r="1418" spans="1:13" x14ac:dyDescent="0.2">
      <c r="A1418" s="42"/>
      <c r="B1418" s="42"/>
      <c r="C1418" s="42"/>
      <c r="D1418" s="42"/>
      <c r="E1418" s="42"/>
      <c r="F1418" s="42"/>
      <c r="G1418" s="42"/>
      <c r="H1418" s="42"/>
      <c r="I1418" s="42"/>
      <c r="J1418" s="42"/>
      <c r="K1418" s="42"/>
      <c r="L1418" s="42"/>
      <c r="M1418" s="42"/>
    </row>
    <row r="1419" spans="1:13" x14ac:dyDescent="0.2">
      <c r="A1419" s="42"/>
      <c r="B1419" s="42"/>
      <c r="C1419" s="42"/>
      <c r="D1419" s="42"/>
      <c r="E1419" s="42"/>
      <c r="F1419" s="42"/>
      <c r="G1419" s="42"/>
      <c r="H1419" s="42"/>
      <c r="I1419" s="42"/>
      <c r="J1419" s="42"/>
      <c r="K1419" s="42"/>
      <c r="L1419" s="42"/>
      <c r="M1419" s="42"/>
    </row>
    <row r="1420" spans="1:13" x14ac:dyDescent="0.2">
      <c r="A1420" s="42"/>
      <c r="B1420" s="42"/>
      <c r="C1420" s="42"/>
      <c r="D1420" s="42"/>
      <c r="E1420" s="42"/>
      <c r="F1420" s="42"/>
      <c r="G1420" s="42"/>
      <c r="H1420" s="42"/>
      <c r="I1420" s="42"/>
      <c r="J1420" s="42"/>
      <c r="K1420" s="42"/>
      <c r="L1420" s="42"/>
      <c r="M1420" s="42"/>
    </row>
    <row r="1421" spans="1:13" x14ac:dyDescent="0.2">
      <c r="A1421" s="42"/>
      <c r="B1421" s="42"/>
      <c r="C1421" s="42"/>
      <c r="D1421" s="42"/>
      <c r="E1421" s="42"/>
      <c r="F1421" s="42"/>
      <c r="G1421" s="42"/>
      <c r="H1421" s="42"/>
      <c r="I1421" s="42"/>
      <c r="J1421" s="42"/>
      <c r="K1421" s="42"/>
      <c r="L1421" s="42"/>
      <c r="M1421" s="42"/>
    </row>
    <row r="1422" spans="1:13" x14ac:dyDescent="0.2">
      <c r="A1422" s="42"/>
      <c r="B1422" s="42"/>
      <c r="C1422" s="42"/>
      <c r="D1422" s="42"/>
      <c r="E1422" s="42"/>
      <c r="F1422" s="42"/>
      <c r="G1422" s="42"/>
      <c r="H1422" s="42"/>
      <c r="I1422" s="42"/>
      <c r="J1422" s="42"/>
      <c r="K1422" s="42"/>
      <c r="L1422" s="42"/>
      <c r="M1422" s="42"/>
    </row>
    <row r="1423" spans="1:13" x14ac:dyDescent="0.2">
      <c r="A1423" s="42"/>
      <c r="B1423" s="42"/>
      <c r="C1423" s="42"/>
      <c r="D1423" s="42"/>
      <c r="E1423" s="42"/>
      <c r="F1423" s="42"/>
      <c r="G1423" s="42"/>
      <c r="H1423" s="42"/>
      <c r="I1423" s="42"/>
      <c r="J1423" s="42"/>
      <c r="K1423" s="42"/>
      <c r="L1423" s="42"/>
      <c r="M1423" s="42"/>
    </row>
    <row r="1424" spans="1:13" x14ac:dyDescent="0.2">
      <c r="A1424" s="42"/>
      <c r="B1424" s="42"/>
      <c r="C1424" s="42"/>
      <c r="D1424" s="42"/>
      <c r="E1424" s="42"/>
      <c r="F1424" s="42"/>
      <c r="G1424" s="42"/>
      <c r="H1424" s="42"/>
      <c r="I1424" s="42"/>
      <c r="J1424" s="42"/>
      <c r="K1424" s="42"/>
      <c r="L1424" s="42"/>
      <c r="M1424" s="42"/>
    </row>
    <row r="1425" spans="1:13" x14ac:dyDescent="0.2">
      <c r="A1425" s="42"/>
      <c r="B1425" s="42"/>
      <c r="C1425" s="42"/>
      <c r="D1425" s="42"/>
      <c r="E1425" s="42"/>
      <c r="F1425" s="42"/>
      <c r="G1425" s="42"/>
      <c r="H1425" s="42"/>
      <c r="I1425" s="42"/>
      <c r="J1425" s="42"/>
      <c r="K1425" s="42"/>
      <c r="L1425" s="42"/>
      <c r="M1425" s="42"/>
    </row>
    <row r="1426" spans="1:13" x14ac:dyDescent="0.2">
      <c r="A1426" s="42"/>
      <c r="B1426" s="42"/>
      <c r="C1426" s="42"/>
      <c r="D1426" s="42"/>
      <c r="E1426" s="42"/>
      <c r="F1426" s="42"/>
      <c r="G1426" s="42"/>
      <c r="H1426" s="42"/>
      <c r="I1426" s="42"/>
      <c r="J1426" s="42"/>
      <c r="K1426" s="42"/>
      <c r="L1426" s="42"/>
      <c r="M1426" s="42"/>
    </row>
    <row r="1427" spans="1:13" x14ac:dyDescent="0.2">
      <c r="A1427" s="42"/>
      <c r="B1427" s="42"/>
      <c r="C1427" s="42"/>
      <c r="D1427" s="42"/>
      <c r="E1427" s="42"/>
      <c r="F1427" s="42"/>
      <c r="G1427" s="42"/>
      <c r="H1427" s="42"/>
      <c r="I1427" s="42"/>
      <c r="J1427" s="42"/>
      <c r="K1427" s="42"/>
      <c r="L1427" s="42"/>
      <c r="M1427" s="42"/>
    </row>
    <row r="1428" spans="1:13" x14ac:dyDescent="0.2">
      <c r="A1428" s="42"/>
      <c r="B1428" s="42"/>
      <c r="C1428" s="42"/>
      <c r="D1428" s="42"/>
      <c r="E1428" s="42"/>
      <c r="F1428" s="42"/>
      <c r="G1428" s="42"/>
      <c r="H1428" s="42"/>
      <c r="I1428" s="42"/>
      <c r="J1428" s="42"/>
      <c r="K1428" s="42"/>
      <c r="L1428" s="42"/>
      <c r="M1428" s="42"/>
    </row>
    <row r="1429" spans="1:13" x14ac:dyDescent="0.2">
      <c r="A1429" s="42"/>
      <c r="B1429" s="42"/>
      <c r="C1429" s="42"/>
      <c r="D1429" s="42"/>
      <c r="E1429" s="42"/>
      <c r="F1429" s="42"/>
      <c r="G1429" s="42"/>
      <c r="H1429" s="42"/>
      <c r="I1429" s="42"/>
      <c r="J1429" s="42"/>
      <c r="K1429" s="42"/>
      <c r="L1429" s="42"/>
      <c r="M1429" s="42"/>
    </row>
    <row r="1430" spans="1:13" x14ac:dyDescent="0.2">
      <c r="A1430" s="42"/>
      <c r="B1430" s="42"/>
      <c r="C1430" s="42"/>
      <c r="D1430" s="42"/>
      <c r="E1430" s="42"/>
      <c r="F1430" s="42"/>
      <c r="G1430" s="42"/>
      <c r="H1430" s="42"/>
      <c r="I1430" s="42"/>
      <c r="J1430" s="42"/>
      <c r="K1430" s="42"/>
      <c r="L1430" s="42"/>
      <c r="M1430" s="42"/>
    </row>
    <row r="1431" spans="1:13" x14ac:dyDescent="0.2">
      <c r="A1431" s="42"/>
      <c r="B1431" s="42"/>
      <c r="C1431" s="42"/>
      <c r="D1431" s="42"/>
      <c r="E1431" s="42"/>
      <c r="F1431" s="42"/>
      <c r="G1431" s="42"/>
      <c r="H1431" s="42"/>
      <c r="I1431" s="42"/>
      <c r="J1431" s="42"/>
      <c r="K1431" s="42"/>
      <c r="L1431" s="42"/>
      <c r="M1431" s="42"/>
    </row>
    <row r="1432" spans="1:13" x14ac:dyDescent="0.2">
      <c r="A1432" s="42"/>
      <c r="B1432" s="42"/>
      <c r="C1432" s="42"/>
      <c r="D1432" s="42"/>
      <c r="E1432" s="42"/>
      <c r="F1432" s="42"/>
      <c r="G1432" s="42"/>
      <c r="H1432" s="42"/>
      <c r="I1432" s="42"/>
      <c r="J1432" s="42"/>
      <c r="K1432" s="42"/>
      <c r="L1432" s="42"/>
      <c r="M1432" s="42"/>
    </row>
    <row r="1433" spans="1:13" x14ac:dyDescent="0.2">
      <c r="A1433" s="42"/>
      <c r="B1433" s="42"/>
      <c r="C1433" s="42"/>
      <c r="D1433" s="42"/>
      <c r="E1433" s="42"/>
      <c r="F1433" s="42"/>
      <c r="G1433" s="42"/>
      <c r="H1433" s="42"/>
      <c r="I1433" s="42"/>
      <c r="J1433" s="42"/>
      <c r="K1433" s="42"/>
      <c r="L1433" s="42"/>
      <c r="M1433" s="42"/>
    </row>
    <row r="1434" spans="1:13" x14ac:dyDescent="0.2">
      <c r="A1434" s="42"/>
      <c r="B1434" s="42"/>
      <c r="C1434" s="42"/>
      <c r="D1434" s="42"/>
      <c r="E1434" s="42"/>
      <c r="F1434" s="42"/>
      <c r="G1434" s="42"/>
      <c r="H1434" s="42"/>
      <c r="I1434" s="42"/>
      <c r="J1434" s="42"/>
      <c r="K1434" s="42"/>
      <c r="L1434" s="42"/>
      <c r="M1434" s="42"/>
    </row>
    <row r="1435" spans="1:13" x14ac:dyDescent="0.2">
      <c r="A1435" s="42"/>
      <c r="B1435" s="42"/>
      <c r="C1435" s="42"/>
      <c r="D1435" s="42"/>
      <c r="E1435" s="42"/>
      <c r="F1435" s="42"/>
      <c r="G1435" s="42"/>
      <c r="H1435" s="42"/>
      <c r="I1435" s="42"/>
      <c r="J1435" s="42"/>
      <c r="K1435" s="42"/>
      <c r="L1435" s="42"/>
      <c r="M1435" s="42"/>
    </row>
    <row r="1436" spans="1:13" x14ac:dyDescent="0.2">
      <c r="A1436" s="42"/>
      <c r="B1436" s="42"/>
      <c r="C1436" s="42"/>
      <c r="D1436" s="42"/>
      <c r="E1436" s="42"/>
      <c r="F1436" s="42"/>
      <c r="G1436" s="42"/>
      <c r="H1436" s="42"/>
      <c r="I1436" s="42"/>
      <c r="J1436" s="42"/>
      <c r="K1436" s="42"/>
      <c r="L1436" s="42"/>
      <c r="M1436" s="42"/>
    </row>
    <row r="1437" spans="1:13" x14ac:dyDescent="0.2">
      <c r="A1437" s="42"/>
      <c r="B1437" s="42"/>
      <c r="C1437" s="42"/>
      <c r="D1437" s="42"/>
      <c r="E1437" s="42"/>
      <c r="F1437" s="42"/>
      <c r="G1437" s="42"/>
      <c r="H1437" s="42"/>
      <c r="I1437" s="42"/>
      <c r="J1437" s="42"/>
      <c r="K1437" s="42"/>
      <c r="L1437" s="42"/>
      <c r="M1437" s="42"/>
    </row>
    <row r="1438" spans="1:13" x14ac:dyDescent="0.2">
      <c r="A1438" s="42"/>
      <c r="B1438" s="42"/>
      <c r="C1438" s="42"/>
      <c r="D1438" s="42"/>
      <c r="E1438" s="42"/>
      <c r="F1438" s="42"/>
      <c r="G1438" s="42"/>
      <c r="H1438" s="42"/>
      <c r="I1438" s="42"/>
      <c r="J1438" s="42"/>
      <c r="K1438" s="42"/>
      <c r="L1438" s="42"/>
      <c r="M1438" s="42"/>
    </row>
    <row r="1439" spans="1:13" x14ac:dyDescent="0.2">
      <c r="A1439" s="42"/>
      <c r="B1439" s="42"/>
      <c r="C1439" s="42"/>
      <c r="D1439" s="42"/>
      <c r="E1439" s="42"/>
      <c r="F1439" s="42"/>
      <c r="G1439" s="42"/>
      <c r="H1439" s="42"/>
      <c r="I1439" s="42"/>
      <c r="J1439" s="42"/>
      <c r="K1439" s="42"/>
      <c r="L1439" s="42"/>
      <c r="M1439" s="42"/>
    </row>
    <row r="1440" spans="1:13" x14ac:dyDescent="0.2">
      <c r="A1440" s="42"/>
      <c r="B1440" s="42"/>
      <c r="C1440" s="42"/>
      <c r="D1440" s="42"/>
      <c r="E1440" s="42"/>
      <c r="F1440" s="42"/>
      <c r="G1440" s="42"/>
      <c r="H1440" s="42"/>
      <c r="I1440" s="42"/>
      <c r="J1440" s="42"/>
      <c r="K1440" s="42"/>
      <c r="L1440" s="42"/>
      <c r="M1440" s="42"/>
    </row>
    <row r="1441" spans="1:13" x14ac:dyDescent="0.2">
      <c r="A1441" s="42"/>
      <c r="B1441" s="42"/>
      <c r="C1441" s="42"/>
      <c r="D1441" s="42"/>
      <c r="E1441" s="42"/>
      <c r="F1441" s="42"/>
      <c r="G1441" s="42"/>
      <c r="H1441" s="42"/>
      <c r="I1441" s="42"/>
      <c r="J1441" s="42"/>
      <c r="K1441" s="42"/>
      <c r="L1441" s="42"/>
      <c r="M1441" s="42"/>
    </row>
    <row r="1442" spans="1:13" x14ac:dyDescent="0.2">
      <c r="A1442" s="42"/>
      <c r="B1442" s="42"/>
      <c r="C1442" s="42"/>
      <c r="D1442" s="42"/>
      <c r="E1442" s="42"/>
      <c r="F1442" s="42"/>
      <c r="G1442" s="42"/>
      <c r="H1442" s="42"/>
      <c r="I1442" s="42"/>
      <c r="J1442" s="42"/>
      <c r="K1442" s="42"/>
      <c r="L1442" s="42"/>
      <c r="M1442" s="42"/>
    </row>
    <row r="1443" spans="1:13" x14ac:dyDescent="0.2">
      <c r="A1443" s="42"/>
      <c r="B1443" s="42"/>
      <c r="C1443" s="42"/>
      <c r="D1443" s="42"/>
      <c r="E1443" s="42"/>
      <c r="F1443" s="42"/>
      <c r="G1443" s="42"/>
      <c r="H1443" s="42"/>
      <c r="I1443" s="42"/>
      <c r="J1443" s="42"/>
      <c r="K1443" s="42"/>
      <c r="L1443" s="42"/>
      <c r="M1443" s="42"/>
    </row>
    <row r="1444" spans="1:13" x14ac:dyDescent="0.2">
      <c r="A1444" s="42"/>
      <c r="B1444" s="42"/>
      <c r="C1444" s="42"/>
      <c r="D1444" s="42"/>
      <c r="E1444" s="42"/>
      <c r="F1444" s="42"/>
      <c r="G1444" s="42"/>
      <c r="H1444" s="42"/>
      <c r="I1444" s="42"/>
      <c r="J1444" s="42"/>
      <c r="K1444" s="42"/>
      <c r="L1444" s="42"/>
      <c r="M1444" s="42"/>
    </row>
    <row r="1445" spans="1:13" x14ac:dyDescent="0.2">
      <c r="A1445" s="42"/>
      <c r="B1445" s="42"/>
      <c r="C1445" s="42"/>
      <c r="D1445" s="42"/>
      <c r="E1445" s="42"/>
      <c r="F1445" s="42"/>
      <c r="G1445" s="42"/>
      <c r="H1445" s="42"/>
      <c r="I1445" s="42"/>
      <c r="J1445" s="42"/>
      <c r="K1445" s="42"/>
      <c r="L1445" s="42"/>
      <c r="M1445" s="42"/>
    </row>
    <row r="1446" spans="1:13" x14ac:dyDescent="0.2">
      <c r="A1446" s="42"/>
      <c r="B1446" s="42"/>
      <c r="C1446" s="42"/>
      <c r="D1446" s="42"/>
      <c r="E1446" s="42"/>
      <c r="F1446" s="42"/>
      <c r="G1446" s="42"/>
      <c r="H1446" s="42"/>
      <c r="I1446" s="42"/>
      <c r="J1446" s="42"/>
      <c r="K1446" s="42"/>
      <c r="L1446" s="42"/>
      <c r="M1446" s="42"/>
    </row>
    <row r="1447" spans="1:13" x14ac:dyDescent="0.2">
      <c r="A1447" s="42"/>
      <c r="B1447" s="42"/>
      <c r="C1447" s="42"/>
      <c r="D1447" s="42"/>
      <c r="E1447" s="42"/>
      <c r="F1447" s="42"/>
      <c r="G1447" s="42"/>
      <c r="H1447" s="42"/>
      <c r="I1447" s="42"/>
      <c r="J1447" s="42"/>
      <c r="K1447" s="42"/>
      <c r="L1447" s="42"/>
      <c r="M1447" s="42"/>
    </row>
    <row r="1448" spans="1:13" x14ac:dyDescent="0.2">
      <c r="A1448" s="42"/>
      <c r="B1448" s="42"/>
      <c r="C1448" s="42"/>
      <c r="D1448" s="42"/>
      <c r="E1448" s="42"/>
      <c r="F1448" s="42"/>
      <c r="G1448" s="42"/>
      <c r="H1448" s="42"/>
      <c r="I1448" s="42"/>
      <c r="J1448" s="42"/>
      <c r="K1448" s="42"/>
      <c r="L1448" s="42"/>
      <c r="M1448" s="42"/>
    </row>
    <row r="1449" spans="1:13" x14ac:dyDescent="0.2">
      <c r="A1449" s="42"/>
      <c r="B1449" s="42"/>
      <c r="C1449" s="42"/>
      <c r="D1449" s="42"/>
      <c r="E1449" s="42"/>
      <c r="F1449" s="42"/>
      <c r="G1449" s="42"/>
      <c r="H1449" s="42"/>
      <c r="I1449" s="42"/>
      <c r="J1449" s="42"/>
      <c r="K1449" s="42"/>
      <c r="L1449" s="42"/>
      <c r="M1449" s="42"/>
    </row>
    <row r="1450" spans="1:13" x14ac:dyDescent="0.2">
      <c r="A1450" s="42"/>
      <c r="B1450" s="42"/>
      <c r="C1450" s="42"/>
      <c r="D1450" s="42"/>
      <c r="E1450" s="42"/>
      <c r="F1450" s="42"/>
      <c r="G1450" s="42"/>
      <c r="H1450" s="42"/>
      <c r="I1450" s="42"/>
      <c r="J1450" s="42"/>
      <c r="K1450" s="42"/>
      <c r="L1450" s="42"/>
      <c r="M1450" s="42"/>
    </row>
    <row r="1451" spans="1:13" x14ac:dyDescent="0.2">
      <c r="A1451" s="42"/>
      <c r="B1451" s="42"/>
      <c r="C1451" s="42"/>
      <c r="D1451" s="42"/>
      <c r="E1451" s="42"/>
      <c r="F1451" s="42"/>
      <c r="G1451" s="42"/>
      <c r="H1451" s="42"/>
      <c r="I1451" s="42"/>
      <c r="J1451" s="42"/>
      <c r="K1451" s="42"/>
      <c r="L1451" s="42"/>
      <c r="M1451" s="42"/>
    </row>
    <row r="1452" spans="1:13" x14ac:dyDescent="0.2">
      <c r="A1452" s="42"/>
      <c r="B1452" s="42"/>
      <c r="C1452" s="42"/>
      <c r="D1452" s="42"/>
      <c r="E1452" s="42"/>
      <c r="F1452" s="42"/>
      <c r="G1452" s="42"/>
      <c r="H1452" s="42"/>
      <c r="I1452" s="42"/>
      <c r="J1452" s="42"/>
      <c r="K1452" s="42"/>
      <c r="L1452" s="42"/>
      <c r="M1452" s="42"/>
    </row>
    <row r="1453" spans="1:13" x14ac:dyDescent="0.2">
      <c r="A1453" s="42"/>
      <c r="B1453" s="42"/>
      <c r="C1453" s="42"/>
      <c r="D1453" s="42"/>
      <c r="E1453" s="42"/>
      <c r="F1453" s="42"/>
      <c r="G1453" s="42"/>
      <c r="H1453" s="42"/>
      <c r="I1453" s="42"/>
      <c r="J1453" s="42"/>
      <c r="K1453" s="42"/>
      <c r="L1453" s="42"/>
      <c r="M1453" s="42"/>
    </row>
    <row r="1454" spans="1:13" x14ac:dyDescent="0.2">
      <c r="A1454" s="42"/>
      <c r="B1454" s="42"/>
      <c r="C1454" s="42"/>
      <c r="D1454" s="42"/>
      <c r="E1454" s="42"/>
      <c r="F1454" s="42"/>
      <c r="G1454" s="42"/>
      <c r="H1454" s="42"/>
      <c r="I1454" s="42"/>
      <c r="J1454" s="42"/>
      <c r="K1454" s="42"/>
      <c r="L1454" s="42"/>
      <c r="M1454" s="42"/>
    </row>
    <row r="1455" spans="1:13" x14ac:dyDescent="0.2">
      <c r="A1455" s="42"/>
      <c r="B1455" s="42"/>
      <c r="C1455" s="42"/>
      <c r="D1455" s="42"/>
      <c r="E1455" s="42"/>
      <c r="F1455" s="42"/>
      <c r="G1455" s="42"/>
      <c r="H1455" s="42"/>
      <c r="I1455" s="42"/>
      <c r="J1455" s="42"/>
      <c r="K1455" s="42"/>
      <c r="L1455" s="42"/>
      <c r="M1455" s="42"/>
    </row>
    <row r="1456" spans="1:13" x14ac:dyDescent="0.2">
      <c r="A1456" s="42"/>
      <c r="B1456" s="42"/>
      <c r="C1456" s="42"/>
      <c r="D1456" s="42"/>
      <c r="E1456" s="42"/>
      <c r="F1456" s="42"/>
      <c r="G1456" s="42"/>
      <c r="H1456" s="42"/>
      <c r="I1456" s="42"/>
      <c r="J1456" s="42"/>
      <c r="K1456" s="42"/>
      <c r="L1456" s="42"/>
      <c r="M1456" s="42"/>
    </row>
    <row r="1457" spans="1:13" x14ac:dyDescent="0.2">
      <c r="A1457" s="42"/>
      <c r="B1457" s="42"/>
      <c r="C1457" s="42"/>
      <c r="D1457" s="42"/>
      <c r="E1457" s="42"/>
      <c r="F1457" s="42"/>
      <c r="G1457" s="42"/>
      <c r="H1457" s="42"/>
      <c r="I1457" s="42"/>
      <c r="J1457" s="42"/>
      <c r="K1457" s="42"/>
      <c r="L1457" s="42"/>
      <c r="M1457" s="42"/>
    </row>
    <row r="1458" spans="1:13" x14ac:dyDescent="0.2">
      <c r="A1458" s="42"/>
      <c r="B1458" s="42"/>
      <c r="C1458" s="42"/>
      <c r="D1458" s="42"/>
      <c r="E1458" s="42"/>
      <c r="F1458" s="42"/>
      <c r="G1458" s="42"/>
      <c r="H1458" s="42"/>
      <c r="I1458" s="42"/>
      <c r="J1458" s="42"/>
      <c r="K1458" s="42"/>
      <c r="L1458" s="42"/>
      <c r="M1458" s="42"/>
    </row>
    <row r="1459" spans="1:13" x14ac:dyDescent="0.2">
      <c r="A1459" s="42"/>
      <c r="B1459" s="42"/>
      <c r="C1459" s="42"/>
      <c r="D1459" s="42"/>
      <c r="E1459" s="42"/>
      <c r="F1459" s="42"/>
      <c r="G1459" s="42"/>
      <c r="H1459" s="42"/>
      <c r="I1459" s="42"/>
      <c r="J1459" s="42"/>
      <c r="K1459" s="42"/>
      <c r="L1459" s="42"/>
      <c r="M1459" s="42"/>
    </row>
    <row r="1460" spans="1:13" x14ac:dyDescent="0.2">
      <c r="A1460" s="42"/>
      <c r="B1460" s="42"/>
      <c r="C1460" s="42"/>
      <c r="D1460" s="42"/>
      <c r="E1460" s="42"/>
      <c r="F1460" s="42"/>
      <c r="G1460" s="42"/>
      <c r="H1460" s="42"/>
      <c r="I1460" s="42"/>
      <c r="J1460" s="42"/>
      <c r="K1460" s="42"/>
      <c r="L1460" s="42"/>
      <c r="M1460" s="42"/>
    </row>
    <row r="1461" spans="1:13" x14ac:dyDescent="0.2">
      <c r="A1461" s="42"/>
      <c r="B1461" s="42"/>
      <c r="C1461" s="42"/>
      <c r="D1461" s="42"/>
      <c r="E1461" s="42"/>
      <c r="F1461" s="42"/>
      <c r="G1461" s="42"/>
      <c r="H1461" s="42"/>
      <c r="I1461" s="42"/>
      <c r="J1461" s="42"/>
      <c r="K1461" s="42"/>
      <c r="L1461" s="42"/>
      <c r="M1461" s="42"/>
    </row>
    <row r="1462" spans="1:13" x14ac:dyDescent="0.2">
      <c r="A1462" s="42"/>
      <c r="B1462" s="42"/>
      <c r="C1462" s="42"/>
      <c r="D1462" s="42"/>
      <c r="E1462" s="42"/>
      <c r="F1462" s="42"/>
      <c r="G1462" s="42"/>
      <c r="H1462" s="42"/>
      <c r="I1462" s="42"/>
      <c r="J1462" s="42"/>
      <c r="K1462" s="42"/>
      <c r="L1462" s="42"/>
      <c r="M1462" s="42"/>
    </row>
    <row r="1463" spans="1:13" x14ac:dyDescent="0.2">
      <c r="A1463" s="42"/>
      <c r="B1463" s="42"/>
      <c r="C1463" s="42"/>
      <c r="D1463" s="42"/>
      <c r="E1463" s="42"/>
      <c r="F1463" s="42"/>
      <c r="G1463" s="42"/>
      <c r="H1463" s="42"/>
      <c r="I1463" s="42"/>
      <c r="J1463" s="42"/>
      <c r="K1463" s="42"/>
      <c r="L1463" s="42"/>
      <c r="M1463" s="42"/>
    </row>
    <row r="1464" spans="1:13" x14ac:dyDescent="0.2">
      <c r="A1464" s="42"/>
      <c r="B1464" s="42"/>
      <c r="C1464" s="42"/>
      <c r="D1464" s="42"/>
      <c r="E1464" s="42"/>
      <c r="F1464" s="42"/>
      <c r="G1464" s="42"/>
      <c r="H1464" s="42"/>
      <c r="I1464" s="42"/>
      <c r="J1464" s="42"/>
      <c r="K1464" s="42"/>
      <c r="L1464" s="42"/>
      <c r="M1464" s="42"/>
    </row>
    <row r="1465" spans="1:13" x14ac:dyDescent="0.2">
      <c r="A1465" s="42"/>
      <c r="B1465" s="42"/>
      <c r="C1465" s="42"/>
      <c r="D1465" s="42"/>
      <c r="E1465" s="42"/>
      <c r="F1465" s="42"/>
      <c r="G1465" s="42"/>
      <c r="H1465" s="42"/>
      <c r="I1465" s="42"/>
      <c r="J1465" s="42"/>
      <c r="K1465" s="42"/>
      <c r="L1465" s="42"/>
      <c r="M1465" s="42"/>
    </row>
    <row r="1466" spans="1:13" x14ac:dyDescent="0.2">
      <c r="A1466" s="42"/>
      <c r="B1466" s="42"/>
      <c r="C1466" s="42"/>
      <c r="D1466" s="42"/>
      <c r="E1466" s="42"/>
      <c r="F1466" s="42"/>
      <c r="G1466" s="42"/>
      <c r="H1466" s="42"/>
      <c r="I1466" s="42"/>
      <c r="J1466" s="42"/>
      <c r="K1466" s="42"/>
      <c r="L1466" s="42"/>
      <c r="M1466" s="42"/>
    </row>
    <row r="1467" spans="1:13" x14ac:dyDescent="0.2">
      <c r="A1467" s="42"/>
      <c r="B1467" s="42"/>
      <c r="C1467" s="42"/>
      <c r="D1467" s="42"/>
      <c r="E1467" s="42"/>
      <c r="F1467" s="42"/>
      <c r="G1467" s="42"/>
      <c r="H1467" s="42"/>
      <c r="I1467" s="42"/>
      <c r="J1467" s="42"/>
      <c r="K1467" s="42"/>
      <c r="L1467" s="42"/>
      <c r="M1467" s="42"/>
    </row>
    <row r="1468" spans="1:13" x14ac:dyDescent="0.2">
      <c r="A1468" s="42"/>
      <c r="B1468" s="42"/>
      <c r="C1468" s="42"/>
      <c r="D1468" s="42"/>
      <c r="E1468" s="42"/>
      <c r="F1468" s="42"/>
      <c r="G1468" s="42"/>
      <c r="H1468" s="42"/>
      <c r="I1468" s="42"/>
      <c r="J1468" s="42"/>
      <c r="K1468" s="42"/>
      <c r="L1468" s="42"/>
      <c r="M1468" s="42"/>
    </row>
    <row r="1469" spans="1:13" x14ac:dyDescent="0.2">
      <c r="A1469" s="42"/>
      <c r="B1469" s="42"/>
      <c r="C1469" s="42"/>
      <c r="D1469" s="42"/>
      <c r="E1469" s="42"/>
      <c r="F1469" s="42"/>
      <c r="G1469" s="42"/>
      <c r="H1469" s="42"/>
      <c r="I1469" s="42"/>
      <c r="J1469" s="42"/>
      <c r="K1469" s="42"/>
      <c r="L1469" s="42"/>
      <c r="M1469" s="42"/>
    </row>
    <row r="1470" spans="1:13" x14ac:dyDescent="0.2">
      <c r="A1470" s="42"/>
      <c r="B1470" s="42"/>
      <c r="C1470" s="42"/>
      <c r="D1470" s="42"/>
      <c r="E1470" s="42"/>
      <c r="F1470" s="42"/>
      <c r="G1470" s="42"/>
      <c r="H1470" s="42"/>
      <c r="I1470" s="42"/>
      <c r="J1470" s="42"/>
      <c r="K1470" s="42"/>
      <c r="L1470" s="42"/>
      <c r="M1470" s="42"/>
    </row>
    <row r="1471" spans="1:13" x14ac:dyDescent="0.2">
      <c r="A1471" s="42"/>
      <c r="B1471" s="42"/>
      <c r="C1471" s="42"/>
      <c r="D1471" s="42"/>
      <c r="E1471" s="42"/>
      <c r="F1471" s="42"/>
      <c r="G1471" s="42"/>
      <c r="H1471" s="42"/>
      <c r="I1471" s="42"/>
      <c r="J1471" s="42"/>
      <c r="K1471" s="42"/>
      <c r="L1471" s="42"/>
      <c r="M1471" s="42"/>
    </row>
    <row r="1472" spans="1:13" x14ac:dyDescent="0.2">
      <c r="A1472" s="42"/>
      <c r="B1472" s="42"/>
      <c r="C1472" s="42"/>
      <c r="D1472" s="42"/>
      <c r="E1472" s="42"/>
      <c r="F1472" s="42"/>
      <c r="G1472" s="42"/>
      <c r="H1472" s="42"/>
      <c r="I1472" s="42"/>
      <c r="J1472" s="42"/>
      <c r="K1472" s="42"/>
      <c r="L1472" s="42"/>
      <c r="M1472" s="42"/>
    </row>
    <row r="1473" spans="1:13" x14ac:dyDescent="0.2">
      <c r="A1473" s="42"/>
      <c r="B1473" s="42"/>
      <c r="C1473" s="42"/>
      <c r="D1473" s="42"/>
      <c r="E1473" s="42"/>
      <c r="F1473" s="42"/>
      <c r="G1473" s="42"/>
      <c r="H1473" s="42"/>
      <c r="I1473" s="42"/>
      <c r="J1473" s="42"/>
      <c r="K1473" s="42"/>
      <c r="L1473" s="42"/>
      <c r="M1473" s="42"/>
    </row>
    <row r="1474" spans="1:13" x14ac:dyDescent="0.2">
      <c r="A1474" s="42"/>
      <c r="B1474" s="42"/>
      <c r="C1474" s="42"/>
      <c r="D1474" s="42"/>
      <c r="E1474" s="42"/>
      <c r="F1474" s="42"/>
      <c r="G1474" s="42"/>
      <c r="H1474" s="42"/>
      <c r="I1474" s="42"/>
      <c r="J1474" s="42"/>
      <c r="K1474" s="42"/>
      <c r="L1474" s="42"/>
      <c r="M1474" s="42"/>
    </row>
    <row r="1475" spans="1:13" x14ac:dyDescent="0.2">
      <c r="A1475" s="42"/>
      <c r="B1475" s="42"/>
      <c r="C1475" s="42"/>
      <c r="D1475" s="42"/>
      <c r="E1475" s="42"/>
      <c r="F1475" s="42"/>
      <c r="G1475" s="42"/>
      <c r="H1475" s="42"/>
      <c r="I1475" s="42"/>
      <c r="J1475" s="42"/>
      <c r="K1475" s="42"/>
      <c r="L1475" s="42"/>
      <c r="M1475" s="42"/>
    </row>
    <row r="1476" spans="1:13" x14ac:dyDescent="0.2">
      <c r="A1476" s="42"/>
      <c r="B1476" s="42"/>
      <c r="C1476" s="42"/>
      <c r="D1476" s="42"/>
      <c r="E1476" s="42"/>
      <c r="F1476" s="42"/>
      <c r="G1476" s="42"/>
      <c r="H1476" s="42"/>
      <c r="I1476" s="42"/>
      <c r="J1476" s="42"/>
      <c r="K1476" s="42"/>
      <c r="L1476" s="42"/>
      <c r="M1476" s="42"/>
    </row>
    <row r="1477" spans="1:13" x14ac:dyDescent="0.2">
      <c r="A1477" s="42"/>
      <c r="B1477" s="42"/>
      <c r="C1477" s="42"/>
      <c r="D1477" s="42"/>
      <c r="E1477" s="42"/>
      <c r="F1477" s="42"/>
      <c r="G1477" s="42"/>
      <c r="H1477" s="42"/>
      <c r="I1477" s="42"/>
      <c r="J1477" s="42"/>
      <c r="K1477" s="42"/>
      <c r="L1477" s="42"/>
      <c r="M1477" s="42"/>
    </row>
    <row r="1478" spans="1:13" x14ac:dyDescent="0.2">
      <c r="A1478" s="42"/>
      <c r="B1478" s="42"/>
      <c r="C1478" s="42"/>
      <c r="D1478" s="42"/>
      <c r="E1478" s="42"/>
      <c r="F1478" s="42"/>
      <c r="G1478" s="42"/>
      <c r="H1478" s="42"/>
      <c r="I1478" s="42"/>
      <c r="J1478" s="42"/>
      <c r="K1478" s="42"/>
      <c r="L1478" s="42"/>
      <c r="M1478" s="42"/>
    </row>
    <row r="1479" spans="1:13" x14ac:dyDescent="0.2">
      <c r="A1479" s="42"/>
      <c r="B1479" s="42"/>
      <c r="C1479" s="42"/>
      <c r="D1479" s="42"/>
      <c r="E1479" s="42"/>
      <c r="F1479" s="42"/>
      <c r="G1479" s="42"/>
      <c r="H1479" s="42"/>
      <c r="I1479" s="42"/>
      <c r="J1479" s="42"/>
      <c r="K1479" s="42"/>
      <c r="L1479" s="42"/>
      <c r="M1479" s="42"/>
    </row>
    <row r="1480" spans="1:13" x14ac:dyDescent="0.2">
      <c r="A1480" s="42"/>
      <c r="B1480" s="42"/>
      <c r="C1480" s="42"/>
      <c r="D1480" s="42"/>
      <c r="E1480" s="42"/>
      <c r="F1480" s="42"/>
      <c r="G1480" s="42"/>
      <c r="H1480" s="42"/>
      <c r="I1480" s="42"/>
      <c r="J1480" s="42"/>
      <c r="K1480" s="42"/>
      <c r="L1480" s="42"/>
      <c r="M1480" s="42"/>
    </row>
    <row r="1481" spans="1:13" x14ac:dyDescent="0.2">
      <c r="A1481" s="42"/>
      <c r="B1481" s="42"/>
      <c r="C1481" s="42"/>
      <c r="D1481" s="42"/>
      <c r="E1481" s="42"/>
      <c r="F1481" s="42"/>
      <c r="G1481" s="42"/>
      <c r="H1481" s="42"/>
      <c r="I1481" s="42"/>
      <c r="J1481" s="42"/>
      <c r="K1481" s="42"/>
      <c r="L1481" s="42"/>
      <c r="M1481" s="42"/>
    </row>
    <row r="1482" spans="1:13" x14ac:dyDescent="0.2">
      <c r="A1482" s="42"/>
      <c r="B1482" s="42"/>
      <c r="C1482" s="42"/>
      <c r="D1482" s="42"/>
      <c r="E1482" s="42"/>
      <c r="F1482" s="42"/>
      <c r="G1482" s="42"/>
      <c r="H1482" s="42"/>
      <c r="I1482" s="42"/>
      <c r="J1482" s="42"/>
      <c r="K1482" s="42"/>
      <c r="L1482" s="42"/>
      <c r="M1482" s="42"/>
    </row>
    <row r="1483" spans="1:13" x14ac:dyDescent="0.2">
      <c r="A1483" s="42"/>
      <c r="B1483" s="42"/>
      <c r="C1483" s="42"/>
      <c r="D1483" s="42"/>
      <c r="E1483" s="42"/>
      <c r="F1483" s="42"/>
      <c r="G1483" s="42"/>
      <c r="H1483" s="42"/>
      <c r="I1483" s="42"/>
      <c r="J1483" s="42"/>
      <c r="K1483" s="42"/>
      <c r="L1483" s="42"/>
      <c r="M1483" s="42"/>
    </row>
    <row r="1484" spans="1:13" x14ac:dyDescent="0.2">
      <c r="A1484" s="42"/>
      <c r="B1484" s="42"/>
      <c r="C1484" s="42"/>
      <c r="D1484" s="42"/>
      <c r="E1484" s="42"/>
      <c r="F1484" s="42"/>
      <c r="G1484" s="42"/>
      <c r="H1484" s="42"/>
      <c r="I1484" s="42"/>
      <c r="J1484" s="42"/>
      <c r="K1484" s="42"/>
      <c r="L1484" s="42"/>
      <c r="M1484" s="42"/>
    </row>
    <row r="1485" spans="1:13" x14ac:dyDescent="0.2">
      <c r="A1485" s="42"/>
      <c r="B1485" s="42"/>
      <c r="C1485" s="42"/>
      <c r="D1485" s="42"/>
      <c r="E1485" s="42"/>
      <c r="F1485" s="42"/>
      <c r="G1485" s="42"/>
      <c r="H1485" s="42"/>
      <c r="I1485" s="42"/>
      <c r="J1485" s="42"/>
      <c r="K1485" s="42"/>
      <c r="L1485" s="42"/>
      <c r="M1485" s="42"/>
    </row>
    <row r="1486" spans="1:13" x14ac:dyDescent="0.2">
      <c r="A1486" s="42"/>
      <c r="B1486" s="42"/>
      <c r="C1486" s="42"/>
      <c r="D1486" s="42"/>
      <c r="E1486" s="42"/>
      <c r="F1486" s="42"/>
      <c r="G1486" s="42"/>
      <c r="H1486" s="42"/>
      <c r="I1486" s="42"/>
      <c r="J1486" s="42"/>
      <c r="K1486" s="42"/>
      <c r="L1486" s="42"/>
      <c r="M1486" s="42"/>
    </row>
    <row r="1487" spans="1:13" x14ac:dyDescent="0.2">
      <c r="A1487" s="42"/>
      <c r="B1487" s="42"/>
      <c r="C1487" s="42"/>
      <c r="D1487" s="42"/>
      <c r="E1487" s="42"/>
      <c r="F1487" s="42"/>
      <c r="G1487" s="42"/>
      <c r="H1487" s="42"/>
      <c r="I1487" s="42"/>
      <c r="J1487" s="42"/>
      <c r="K1487" s="42"/>
      <c r="L1487" s="42"/>
      <c r="M1487" s="42"/>
    </row>
    <row r="1488" spans="1:13" x14ac:dyDescent="0.2">
      <c r="A1488" s="42"/>
      <c r="B1488" s="42"/>
      <c r="C1488" s="42"/>
      <c r="D1488" s="42"/>
      <c r="E1488" s="42"/>
      <c r="F1488" s="42"/>
      <c r="G1488" s="42"/>
      <c r="H1488" s="42"/>
      <c r="I1488" s="42"/>
      <c r="J1488" s="42"/>
      <c r="K1488" s="42"/>
      <c r="L1488" s="42"/>
      <c r="M1488" s="42"/>
    </row>
    <row r="1489" spans="1:13" x14ac:dyDescent="0.2">
      <c r="A1489" s="42"/>
      <c r="B1489" s="42"/>
      <c r="C1489" s="42"/>
      <c r="D1489" s="42"/>
      <c r="E1489" s="42"/>
      <c r="F1489" s="42"/>
      <c r="G1489" s="42"/>
      <c r="H1489" s="42"/>
      <c r="I1489" s="42"/>
      <c r="J1489" s="42"/>
      <c r="K1489" s="42"/>
      <c r="L1489" s="42"/>
      <c r="M1489" s="42"/>
    </row>
    <row r="1490" spans="1:13" x14ac:dyDescent="0.2">
      <c r="A1490" s="42"/>
      <c r="B1490" s="42"/>
      <c r="C1490" s="42"/>
      <c r="D1490" s="42"/>
      <c r="E1490" s="42"/>
      <c r="F1490" s="42"/>
      <c r="G1490" s="42"/>
      <c r="H1490" s="42"/>
      <c r="I1490" s="42"/>
      <c r="J1490" s="42"/>
      <c r="K1490" s="42"/>
      <c r="L1490" s="42"/>
      <c r="M1490" s="42"/>
    </row>
    <row r="1491" spans="1:13" x14ac:dyDescent="0.2">
      <c r="A1491" s="42"/>
      <c r="B1491" s="42"/>
      <c r="C1491" s="42"/>
      <c r="D1491" s="42"/>
      <c r="E1491" s="42"/>
      <c r="F1491" s="42"/>
      <c r="G1491" s="42"/>
      <c r="H1491" s="42"/>
      <c r="I1491" s="42"/>
      <c r="J1491" s="42"/>
      <c r="K1491" s="42"/>
      <c r="L1491" s="42"/>
      <c r="M1491" s="42"/>
    </row>
    <row r="1492" spans="1:13" x14ac:dyDescent="0.2">
      <c r="A1492" s="42"/>
      <c r="B1492" s="42"/>
      <c r="C1492" s="42"/>
      <c r="D1492" s="42"/>
      <c r="E1492" s="42"/>
      <c r="F1492" s="42"/>
      <c r="G1492" s="42"/>
      <c r="H1492" s="42"/>
      <c r="I1492" s="42"/>
      <c r="J1492" s="42"/>
      <c r="K1492" s="42"/>
      <c r="L1492" s="42"/>
      <c r="M1492" s="42"/>
    </row>
    <row r="1493" spans="1:13" x14ac:dyDescent="0.2">
      <c r="A1493" s="42"/>
      <c r="B1493" s="42"/>
      <c r="C1493" s="42"/>
      <c r="D1493" s="42"/>
      <c r="E1493" s="42"/>
      <c r="F1493" s="42"/>
      <c r="G1493" s="42"/>
      <c r="H1493" s="42"/>
      <c r="I1493" s="42"/>
      <c r="J1493" s="42"/>
      <c r="K1493" s="42"/>
      <c r="L1493" s="42"/>
      <c r="M1493" s="42"/>
    </row>
    <row r="1494" spans="1:13" x14ac:dyDescent="0.2">
      <c r="A1494" s="42"/>
      <c r="B1494" s="42"/>
      <c r="C1494" s="42"/>
      <c r="D1494" s="42"/>
      <c r="E1494" s="42"/>
      <c r="F1494" s="42"/>
      <c r="G1494" s="42"/>
      <c r="H1494" s="42"/>
      <c r="I1494" s="42"/>
      <c r="J1494" s="42"/>
      <c r="K1494" s="42"/>
      <c r="L1494" s="42"/>
      <c r="M1494" s="42"/>
    </row>
    <row r="1495" spans="1:13" x14ac:dyDescent="0.2">
      <c r="A1495" s="42"/>
      <c r="B1495" s="42"/>
      <c r="C1495" s="42"/>
      <c r="D1495" s="42"/>
      <c r="E1495" s="42"/>
      <c r="F1495" s="42"/>
      <c r="G1495" s="42"/>
      <c r="H1495" s="42"/>
      <c r="I1495" s="42"/>
      <c r="J1495" s="42"/>
      <c r="K1495" s="42"/>
      <c r="L1495" s="42"/>
      <c r="M1495" s="42"/>
    </row>
    <row r="1496" spans="1:13" x14ac:dyDescent="0.2">
      <c r="A1496" s="42"/>
      <c r="B1496" s="42"/>
      <c r="C1496" s="42"/>
      <c r="D1496" s="42"/>
      <c r="E1496" s="42"/>
      <c r="F1496" s="42"/>
      <c r="G1496" s="42"/>
      <c r="H1496" s="42"/>
      <c r="I1496" s="42"/>
      <c r="J1496" s="42"/>
      <c r="K1496" s="42"/>
      <c r="L1496" s="42"/>
      <c r="M1496" s="42"/>
    </row>
    <row r="1497" spans="1:13" x14ac:dyDescent="0.2">
      <c r="A1497" s="42"/>
      <c r="B1497" s="42"/>
      <c r="C1497" s="42"/>
      <c r="D1497" s="42"/>
      <c r="E1497" s="42"/>
      <c r="F1497" s="42"/>
      <c r="G1497" s="42"/>
      <c r="H1497" s="42"/>
      <c r="I1497" s="42"/>
      <c r="J1497" s="42"/>
      <c r="K1497" s="42"/>
      <c r="L1497" s="42"/>
      <c r="M1497" s="42"/>
    </row>
    <row r="1498" spans="1:13" x14ac:dyDescent="0.2">
      <c r="A1498" s="42"/>
      <c r="B1498" s="42"/>
      <c r="C1498" s="42"/>
      <c r="D1498" s="42"/>
      <c r="E1498" s="42"/>
      <c r="F1498" s="42"/>
      <c r="G1498" s="42"/>
      <c r="H1498" s="42"/>
      <c r="I1498" s="42"/>
      <c r="J1498" s="42"/>
      <c r="K1498" s="42"/>
      <c r="L1498" s="42"/>
      <c r="M1498" s="42"/>
    </row>
    <row r="1499" spans="1:13" x14ac:dyDescent="0.2">
      <c r="A1499" s="42"/>
      <c r="B1499" s="42"/>
      <c r="C1499" s="42"/>
      <c r="D1499" s="42"/>
      <c r="E1499" s="42"/>
      <c r="F1499" s="42"/>
      <c r="G1499" s="42"/>
      <c r="H1499" s="42"/>
      <c r="I1499" s="42"/>
      <c r="J1499" s="42"/>
      <c r="K1499" s="42"/>
      <c r="L1499" s="42"/>
      <c r="M1499" s="42"/>
    </row>
    <row r="1500" spans="1:13" x14ac:dyDescent="0.2">
      <c r="A1500" s="42"/>
      <c r="B1500" s="42"/>
      <c r="C1500" s="42"/>
      <c r="D1500" s="42"/>
      <c r="E1500" s="42"/>
      <c r="F1500" s="42"/>
      <c r="G1500" s="42"/>
      <c r="H1500" s="42"/>
      <c r="I1500" s="42"/>
      <c r="J1500" s="42"/>
      <c r="K1500" s="42"/>
      <c r="L1500" s="42"/>
      <c r="M1500" s="42"/>
    </row>
    <row r="1501" spans="1:13" x14ac:dyDescent="0.2">
      <c r="A1501" s="42"/>
      <c r="B1501" s="42"/>
      <c r="C1501" s="42"/>
      <c r="D1501" s="42"/>
      <c r="E1501" s="42"/>
      <c r="F1501" s="42"/>
      <c r="G1501" s="42"/>
      <c r="H1501" s="42"/>
      <c r="I1501" s="42"/>
      <c r="J1501" s="42"/>
      <c r="K1501" s="42"/>
      <c r="L1501" s="42"/>
      <c r="M1501" s="42"/>
    </row>
    <row r="1502" spans="1:13" x14ac:dyDescent="0.2">
      <c r="A1502" s="42"/>
      <c r="B1502" s="42"/>
      <c r="C1502" s="42"/>
      <c r="D1502" s="42"/>
      <c r="E1502" s="42"/>
      <c r="F1502" s="42"/>
      <c r="G1502" s="42"/>
      <c r="H1502" s="42"/>
      <c r="I1502" s="42"/>
      <c r="J1502" s="42"/>
      <c r="K1502" s="42"/>
      <c r="L1502" s="42"/>
      <c r="M1502" s="42"/>
    </row>
    <row r="1503" spans="1:13" x14ac:dyDescent="0.2">
      <c r="A1503" s="42"/>
      <c r="B1503" s="42"/>
      <c r="C1503" s="42"/>
      <c r="D1503" s="42"/>
      <c r="E1503" s="42"/>
      <c r="F1503" s="42"/>
      <c r="G1503" s="42"/>
      <c r="H1503" s="42"/>
      <c r="I1503" s="42"/>
      <c r="J1503" s="42"/>
      <c r="K1503" s="42"/>
      <c r="L1503" s="42"/>
      <c r="M1503" s="42"/>
    </row>
    <row r="1504" spans="1:13" x14ac:dyDescent="0.2">
      <c r="A1504" s="42"/>
      <c r="B1504" s="42"/>
      <c r="C1504" s="42"/>
      <c r="D1504" s="42"/>
      <c r="E1504" s="42"/>
      <c r="F1504" s="42"/>
      <c r="G1504" s="42"/>
      <c r="H1504" s="42"/>
      <c r="I1504" s="42"/>
      <c r="J1504" s="42"/>
      <c r="K1504" s="42"/>
      <c r="L1504" s="42"/>
      <c r="M1504" s="42"/>
    </row>
    <row r="1505" spans="1:13" x14ac:dyDescent="0.2">
      <c r="A1505" s="42"/>
      <c r="B1505" s="42"/>
      <c r="C1505" s="42"/>
      <c r="D1505" s="42"/>
      <c r="E1505" s="42"/>
      <c r="F1505" s="42"/>
      <c r="G1505" s="42"/>
      <c r="H1505" s="42"/>
      <c r="I1505" s="42"/>
      <c r="J1505" s="42"/>
      <c r="K1505" s="42"/>
      <c r="L1505" s="42"/>
      <c r="M1505" s="42"/>
    </row>
    <row r="1506" spans="1:13" x14ac:dyDescent="0.2">
      <c r="A1506" s="42"/>
      <c r="B1506" s="42"/>
      <c r="C1506" s="42"/>
      <c r="D1506" s="42"/>
      <c r="E1506" s="42"/>
      <c r="F1506" s="42"/>
      <c r="G1506" s="42"/>
      <c r="H1506" s="42"/>
      <c r="I1506" s="42"/>
      <c r="J1506" s="42"/>
      <c r="K1506" s="42"/>
      <c r="L1506" s="42"/>
      <c r="M1506" s="42"/>
    </row>
    <row r="1507" spans="1:13" x14ac:dyDescent="0.2">
      <c r="A1507" s="42"/>
      <c r="B1507" s="42"/>
      <c r="C1507" s="42"/>
      <c r="D1507" s="42"/>
      <c r="E1507" s="42"/>
      <c r="F1507" s="42"/>
      <c r="G1507" s="42"/>
      <c r="H1507" s="42"/>
      <c r="I1507" s="42"/>
      <c r="J1507" s="42"/>
      <c r="K1507" s="42"/>
      <c r="L1507" s="42"/>
      <c r="M1507" s="42"/>
    </row>
    <row r="1508" spans="1:13" x14ac:dyDescent="0.2">
      <c r="A1508" s="42"/>
      <c r="B1508" s="42"/>
      <c r="C1508" s="42"/>
      <c r="D1508" s="42"/>
      <c r="E1508" s="42"/>
      <c r="F1508" s="42"/>
      <c r="G1508" s="42"/>
      <c r="H1508" s="42"/>
      <c r="I1508" s="42"/>
      <c r="J1508" s="42"/>
      <c r="K1508" s="42"/>
      <c r="L1508" s="42"/>
      <c r="M1508" s="42"/>
    </row>
    <row r="1509" spans="1:13" x14ac:dyDescent="0.2">
      <c r="A1509" s="42"/>
      <c r="B1509" s="42"/>
      <c r="C1509" s="42"/>
      <c r="D1509" s="42"/>
      <c r="E1509" s="42"/>
      <c r="F1509" s="42"/>
      <c r="G1509" s="42"/>
      <c r="H1509" s="42"/>
      <c r="I1509" s="42"/>
      <c r="J1509" s="42"/>
      <c r="K1509" s="42"/>
      <c r="L1509" s="42"/>
      <c r="M1509" s="42"/>
    </row>
    <row r="1510" spans="1:13" x14ac:dyDescent="0.2">
      <c r="A1510" s="42"/>
      <c r="B1510" s="42"/>
      <c r="C1510" s="42"/>
      <c r="D1510" s="42"/>
      <c r="E1510" s="42"/>
      <c r="F1510" s="42"/>
      <c r="G1510" s="42"/>
      <c r="H1510" s="42"/>
      <c r="I1510" s="42"/>
      <c r="J1510" s="42"/>
      <c r="K1510" s="42"/>
      <c r="L1510" s="42"/>
      <c r="M1510" s="42"/>
    </row>
    <row r="1511" spans="1:13" x14ac:dyDescent="0.2">
      <c r="A1511" s="42"/>
      <c r="B1511" s="42"/>
      <c r="C1511" s="42"/>
      <c r="D1511" s="42"/>
      <c r="E1511" s="42"/>
      <c r="F1511" s="42"/>
      <c r="G1511" s="42"/>
      <c r="H1511" s="42"/>
      <c r="I1511" s="42"/>
      <c r="J1511" s="42"/>
      <c r="K1511" s="42"/>
      <c r="L1511" s="42"/>
      <c r="M1511" s="42"/>
    </row>
    <row r="1512" spans="1:13" x14ac:dyDescent="0.2">
      <c r="A1512" s="42"/>
      <c r="B1512" s="42"/>
      <c r="C1512" s="42"/>
      <c r="D1512" s="42"/>
      <c r="E1512" s="42"/>
      <c r="F1512" s="42"/>
      <c r="G1512" s="42"/>
      <c r="H1512" s="42"/>
      <c r="I1512" s="42"/>
      <c r="J1512" s="42"/>
      <c r="K1512" s="42"/>
      <c r="L1512" s="42"/>
      <c r="M1512" s="42"/>
    </row>
    <row r="1513" spans="1:13" x14ac:dyDescent="0.2">
      <c r="A1513" s="42"/>
      <c r="B1513" s="42"/>
      <c r="C1513" s="42"/>
      <c r="D1513" s="42"/>
      <c r="E1513" s="42"/>
      <c r="F1513" s="42"/>
      <c r="G1513" s="42"/>
      <c r="H1513" s="42"/>
      <c r="I1513" s="42"/>
      <c r="J1513" s="42"/>
      <c r="K1513" s="42"/>
      <c r="L1513" s="42"/>
      <c r="M1513" s="42"/>
    </row>
    <row r="1514" spans="1:13" x14ac:dyDescent="0.2">
      <c r="A1514" s="42"/>
      <c r="B1514" s="42"/>
      <c r="C1514" s="42"/>
      <c r="D1514" s="42"/>
      <c r="E1514" s="42"/>
      <c r="F1514" s="42"/>
      <c r="G1514" s="42"/>
      <c r="H1514" s="42"/>
      <c r="I1514" s="42"/>
      <c r="J1514" s="42"/>
      <c r="K1514" s="42"/>
      <c r="L1514" s="42"/>
      <c r="M1514" s="42"/>
    </row>
    <row r="1515" spans="1:13" x14ac:dyDescent="0.2">
      <c r="A1515" s="42"/>
      <c r="B1515" s="42"/>
      <c r="C1515" s="42"/>
      <c r="D1515" s="42"/>
      <c r="E1515" s="42"/>
      <c r="F1515" s="42"/>
      <c r="G1515" s="42"/>
      <c r="H1515" s="42"/>
      <c r="I1515" s="42"/>
      <c r="J1515" s="42"/>
      <c r="K1515" s="42"/>
      <c r="L1515" s="42"/>
      <c r="M1515" s="42"/>
    </row>
    <row r="1516" spans="1:13" x14ac:dyDescent="0.2">
      <c r="A1516" s="42"/>
      <c r="B1516" s="42"/>
      <c r="C1516" s="42"/>
      <c r="D1516" s="42"/>
      <c r="E1516" s="42"/>
      <c r="F1516" s="42"/>
      <c r="G1516" s="42"/>
      <c r="H1516" s="42"/>
      <c r="I1516" s="42"/>
      <c r="J1516" s="42"/>
      <c r="K1516" s="42"/>
      <c r="L1516" s="42"/>
      <c r="M1516" s="42"/>
    </row>
    <row r="1517" spans="1:13" x14ac:dyDescent="0.2">
      <c r="A1517" s="42"/>
      <c r="B1517" s="42"/>
      <c r="C1517" s="42"/>
      <c r="D1517" s="42"/>
      <c r="E1517" s="42"/>
      <c r="F1517" s="42"/>
      <c r="G1517" s="42"/>
      <c r="H1517" s="42"/>
      <c r="I1517" s="42"/>
      <c r="J1517" s="42"/>
      <c r="K1517" s="42"/>
      <c r="L1517" s="42"/>
      <c r="M1517" s="42"/>
    </row>
    <row r="1518" spans="1:13" x14ac:dyDescent="0.2">
      <c r="A1518" s="42"/>
      <c r="B1518" s="42"/>
      <c r="C1518" s="42"/>
      <c r="D1518" s="42"/>
      <c r="E1518" s="42"/>
      <c r="F1518" s="42"/>
      <c r="G1518" s="42"/>
      <c r="H1518" s="42"/>
      <c r="I1518" s="42"/>
      <c r="J1518" s="42"/>
      <c r="K1518" s="42"/>
      <c r="L1518" s="42"/>
      <c r="M1518" s="42"/>
    </row>
    <row r="1519" spans="1:13" x14ac:dyDescent="0.2">
      <c r="A1519" s="42"/>
      <c r="B1519" s="42"/>
      <c r="C1519" s="42"/>
      <c r="D1519" s="42"/>
      <c r="E1519" s="42"/>
      <c r="F1519" s="42"/>
      <c r="G1519" s="42"/>
      <c r="H1519" s="42"/>
      <c r="I1519" s="42"/>
      <c r="J1519" s="42"/>
      <c r="K1519" s="42"/>
      <c r="L1519" s="42"/>
      <c r="M1519" s="42"/>
    </row>
    <row r="1520" spans="1:13" x14ac:dyDescent="0.2">
      <c r="A1520" s="42"/>
      <c r="B1520" s="42"/>
      <c r="C1520" s="42"/>
      <c r="D1520" s="42"/>
      <c r="E1520" s="42"/>
      <c r="F1520" s="42"/>
      <c r="G1520" s="42"/>
      <c r="H1520" s="42"/>
      <c r="I1520" s="42"/>
      <c r="J1520" s="42"/>
      <c r="K1520" s="42"/>
      <c r="L1520" s="42"/>
      <c r="M1520" s="42"/>
    </row>
    <row r="1521" spans="1:13" x14ac:dyDescent="0.2">
      <c r="A1521" s="42"/>
      <c r="B1521" s="42"/>
      <c r="C1521" s="42"/>
      <c r="D1521" s="42"/>
      <c r="E1521" s="42"/>
      <c r="F1521" s="42"/>
      <c r="G1521" s="42"/>
      <c r="H1521" s="42"/>
      <c r="I1521" s="42"/>
      <c r="J1521" s="42"/>
      <c r="K1521" s="42"/>
      <c r="L1521" s="42"/>
      <c r="M1521" s="42"/>
    </row>
    <row r="1522" spans="1:13" x14ac:dyDescent="0.2">
      <c r="A1522" s="42"/>
      <c r="B1522" s="42"/>
      <c r="C1522" s="42"/>
      <c r="D1522" s="42"/>
      <c r="E1522" s="42"/>
      <c r="F1522" s="42"/>
      <c r="G1522" s="42"/>
      <c r="H1522" s="42"/>
      <c r="I1522" s="42"/>
      <c r="J1522" s="42"/>
      <c r="K1522" s="42"/>
      <c r="L1522" s="42"/>
      <c r="M1522" s="42"/>
    </row>
    <row r="1523" spans="1:13" x14ac:dyDescent="0.2">
      <c r="A1523" s="42"/>
      <c r="B1523" s="42"/>
      <c r="C1523" s="42"/>
      <c r="D1523" s="42"/>
      <c r="E1523" s="42"/>
      <c r="F1523" s="42"/>
      <c r="G1523" s="42"/>
      <c r="H1523" s="42"/>
      <c r="I1523" s="42"/>
      <c r="J1523" s="42"/>
      <c r="K1523" s="42"/>
      <c r="L1523" s="42"/>
      <c r="M1523" s="42"/>
    </row>
    <row r="1524" spans="1:13" x14ac:dyDescent="0.2">
      <c r="A1524" s="42"/>
      <c r="B1524" s="42"/>
      <c r="C1524" s="42"/>
      <c r="D1524" s="42"/>
      <c r="E1524" s="42"/>
      <c r="F1524" s="42"/>
      <c r="G1524" s="42"/>
      <c r="H1524" s="42"/>
      <c r="I1524" s="42"/>
      <c r="J1524" s="42"/>
      <c r="K1524" s="42"/>
      <c r="L1524" s="42"/>
      <c r="M1524" s="42"/>
    </row>
    <row r="1525" spans="1:13" x14ac:dyDescent="0.2">
      <c r="A1525" s="42"/>
      <c r="B1525" s="42"/>
      <c r="C1525" s="42"/>
      <c r="D1525" s="42"/>
      <c r="E1525" s="42"/>
      <c r="F1525" s="42"/>
      <c r="G1525" s="42"/>
      <c r="H1525" s="42"/>
      <c r="I1525" s="42"/>
      <c r="J1525" s="42"/>
      <c r="K1525" s="42"/>
      <c r="L1525" s="42"/>
      <c r="M1525" s="42"/>
    </row>
    <row r="1526" spans="1:13" x14ac:dyDescent="0.2">
      <c r="A1526" s="42"/>
      <c r="B1526" s="42"/>
      <c r="C1526" s="42"/>
      <c r="D1526" s="42"/>
      <c r="E1526" s="42"/>
      <c r="F1526" s="42"/>
      <c r="G1526" s="42"/>
      <c r="H1526" s="42"/>
      <c r="I1526" s="42"/>
      <c r="J1526" s="42"/>
      <c r="K1526" s="42"/>
      <c r="L1526" s="42"/>
      <c r="M1526" s="42"/>
    </row>
    <row r="1527" spans="1:13" x14ac:dyDescent="0.2">
      <c r="A1527" s="42"/>
      <c r="B1527" s="42"/>
      <c r="C1527" s="42"/>
      <c r="D1527" s="42"/>
      <c r="E1527" s="42"/>
      <c r="F1527" s="42"/>
      <c r="G1527" s="42"/>
      <c r="H1527" s="42"/>
      <c r="I1527" s="42"/>
      <c r="J1527" s="42"/>
      <c r="K1527" s="42"/>
      <c r="L1527" s="42"/>
      <c r="M1527" s="42"/>
    </row>
    <row r="1528" spans="1:13" x14ac:dyDescent="0.2">
      <c r="A1528" s="42"/>
      <c r="B1528" s="42"/>
      <c r="C1528" s="42"/>
      <c r="D1528" s="42"/>
      <c r="E1528" s="42"/>
      <c r="F1528" s="42"/>
      <c r="G1528" s="42"/>
      <c r="H1528" s="42"/>
      <c r="I1528" s="42"/>
      <c r="J1528" s="42"/>
      <c r="K1528" s="42"/>
      <c r="L1528" s="42"/>
      <c r="M1528" s="42"/>
    </row>
    <row r="1529" spans="1:13" x14ac:dyDescent="0.2">
      <c r="A1529" s="42"/>
      <c r="B1529" s="42"/>
      <c r="C1529" s="42"/>
      <c r="D1529" s="42"/>
      <c r="E1529" s="42"/>
      <c r="F1529" s="42"/>
      <c r="G1529" s="42"/>
      <c r="H1529" s="42"/>
      <c r="I1529" s="42"/>
      <c r="J1529" s="42"/>
      <c r="K1529" s="42"/>
      <c r="L1529" s="42"/>
      <c r="M1529" s="42"/>
    </row>
    <row r="1530" spans="1:13" x14ac:dyDescent="0.2">
      <c r="A1530" s="42"/>
      <c r="B1530" s="42"/>
      <c r="C1530" s="42"/>
      <c r="D1530" s="42"/>
      <c r="E1530" s="42"/>
      <c r="F1530" s="42"/>
      <c r="G1530" s="42"/>
      <c r="H1530" s="42"/>
      <c r="I1530" s="42"/>
      <c r="J1530" s="42"/>
      <c r="K1530" s="42"/>
      <c r="L1530" s="42"/>
      <c r="M1530" s="42"/>
    </row>
    <row r="1531" spans="1:13" x14ac:dyDescent="0.2">
      <c r="A1531" s="42"/>
      <c r="B1531" s="42"/>
      <c r="C1531" s="42"/>
      <c r="D1531" s="42"/>
      <c r="E1531" s="42"/>
      <c r="F1531" s="42"/>
      <c r="G1531" s="42"/>
      <c r="H1531" s="42"/>
      <c r="I1531" s="42"/>
      <c r="J1531" s="42"/>
      <c r="K1531" s="42"/>
      <c r="L1531" s="42"/>
      <c r="M1531" s="42"/>
    </row>
    <row r="1532" spans="1:13" x14ac:dyDescent="0.2">
      <c r="A1532" s="42"/>
      <c r="B1532" s="42"/>
      <c r="C1532" s="42"/>
      <c r="D1532" s="42"/>
      <c r="E1532" s="42"/>
      <c r="F1532" s="42"/>
      <c r="G1532" s="42"/>
      <c r="H1532" s="42"/>
      <c r="I1532" s="42"/>
      <c r="J1532" s="42"/>
      <c r="K1532" s="42"/>
      <c r="L1532" s="42"/>
      <c r="M1532" s="42"/>
    </row>
    <row r="1533" spans="1:13" x14ac:dyDescent="0.2">
      <c r="A1533" s="42"/>
      <c r="B1533" s="42"/>
      <c r="C1533" s="42"/>
      <c r="D1533" s="42"/>
      <c r="E1533" s="42"/>
      <c r="F1533" s="42"/>
      <c r="G1533" s="42"/>
      <c r="H1533" s="42"/>
      <c r="I1533" s="42"/>
      <c r="J1533" s="42"/>
      <c r="K1533" s="42"/>
      <c r="L1533" s="42"/>
      <c r="M1533" s="42"/>
    </row>
    <row r="1534" spans="1:13" x14ac:dyDescent="0.2">
      <c r="A1534" s="42"/>
      <c r="B1534" s="42"/>
      <c r="C1534" s="42"/>
      <c r="D1534" s="42"/>
      <c r="E1534" s="42"/>
      <c r="F1534" s="42"/>
      <c r="G1534" s="42"/>
      <c r="H1534" s="42"/>
      <c r="I1534" s="42"/>
      <c r="J1534" s="42"/>
      <c r="K1534" s="42"/>
      <c r="L1534" s="42"/>
      <c r="M1534" s="42"/>
    </row>
    <row r="1535" spans="1:13" x14ac:dyDescent="0.2">
      <c r="A1535" s="42"/>
      <c r="B1535" s="42"/>
      <c r="C1535" s="42"/>
      <c r="D1535" s="42"/>
      <c r="E1535" s="42"/>
      <c r="F1535" s="42"/>
      <c r="G1535" s="42"/>
      <c r="H1535" s="42"/>
      <c r="I1535" s="42"/>
      <c r="J1535" s="42"/>
      <c r="K1535" s="42"/>
      <c r="L1535" s="42"/>
      <c r="M1535" s="42"/>
    </row>
    <row r="1536" spans="1:13" x14ac:dyDescent="0.2">
      <c r="A1536" s="42"/>
      <c r="B1536" s="42"/>
      <c r="C1536" s="42"/>
      <c r="D1536" s="42"/>
      <c r="E1536" s="42"/>
      <c r="F1536" s="42"/>
      <c r="G1536" s="42"/>
      <c r="H1536" s="42"/>
      <c r="I1536" s="42"/>
      <c r="J1536" s="42"/>
      <c r="K1536" s="42"/>
      <c r="L1536" s="42"/>
      <c r="M1536" s="42"/>
    </row>
    <row r="1537" spans="1:13" x14ac:dyDescent="0.2">
      <c r="A1537" s="42"/>
      <c r="B1537" s="42"/>
      <c r="C1537" s="42"/>
      <c r="D1537" s="42"/>
      <c r="E1537" s="42"/>
      <c r="F1537" s="42"/>
      <c r="G1537" s="42"/>
      <c r="H1537" s="42"/>
      <c r="I1537" s="42"/>
      <c r="J1537" s="42"/>
      <c r="K1537" s="42"/>
      <c r="L1537" s="42"/>
      <c r="M1537" s="42"/>
    </row>
    <row r="1538" spans="1:13" x14ac:dyDescent="0.2">
      <c r="A1538" s="42"/>
      <c r="B1538" s="42"/>
      <c r="C1538" s="42"/>
      <c r="D1538" s="42"/>
      <c r="E1538" s="42"/>
      <c r="F1538" s="42"/>
      <c r="G1538" s="42"/>
      <c r="H1538" s="42"/>
      <c r="I1538" s="42"/>
      <c r="J1538" s="42"/>
      <c r="K1538" s="42"/>
      <c r="L1538" s="42"/>
      <c r="M1538" s="42"/>
    </row>
    <row r="1539" spans="1:13" x14ac:dyDescent="0.2">
      <c r="A1539" s="42"/>
      <c r="B1539" s="42"/>
      <c r="C1539" s="42"/>
      <c r="D1539" s="42"/>
      <c r="E1539" s="42"/>
      <c r="F1539" s="42"/>
      <c r="G1539" s="42"/>
      <c r="H1539" s="42"/>
      <c r="I1539" s="42"/>
      <c r="J1539" s="42"/>
      <c r="K1539" s="42"/>
      <c r="L1539" s="42"/>
      <c r="M1539" s="42"/>
    </row>
    <row r="1540" spans="1:13" x14ac:dyDescent="0.2">
      <c r="A1540" s="42"/>
      <c r="B1540" s="42"/>
      <c r="C1540" s="42"/>
      <c r="D1540" s="42"/>
      <c r="E1540" s="42"/>
      <c r="F1540" s="42"/>
      <c r="G1540" s="42"/>
      <c r="H1540" s="42"/>
      <c r="I1540" s="42"/>
      <c r="J1540" s="42"/>
      <c r="K1540" s="42"/>
      <c r="L1540" s="42"/>
      <c r="M1540" s="42"/>
    </row>
    <row r="1541" spans="1:13" x14ac:dyDescent="0.2">
      <c r="A1541" s="42"/>
      <c r="B1541" s="42"/>
      <c r="C1541" s="42"/>
      <c r="D1541" s="42"/>
      <c r="E1541" s="42"/>
      <c r="F1541" s="42"/>
      <c r="G1541" s="42"/>
      <c r="H1541" s="42"/>
      <c r="I1541" s="42"/>
      <c r="J1541" s="42"/>
      <c r="K1541" s="42"/>
      <c r="L1541" s="42"/>
      <c r="M1541" s="42"/>
    </row>
    <row r="1542" spans="1:13" x14ac:dyDescent="0.2">
      <c r="A1542" s="42"/>
      <c r="B1542" s="42"/>
      <c r="C1542" s="42"/>
      <c r="D1542" s="42"/>
      <c r="E1542" s="42"/>
      <c r="F1542" s="42"/>
      <c r="G1542" s="42"/>
      <c r="H1542" s="42"/>
      <c r="I1542" s="42"/>
      <c r="J1542" s="42"/>
      <c r="K1542" s="42"/>
      <c r="L1542" s="42"/>
      <c r="M1542" s="42"/>
    </row>
    <row r="1543" spans="1:13" x14ac:dyDescent="0.2">
      <c r="A1543" s="42"/>
      <c r="B1543" s="42"/>
      <c r="C1543" s="42"/>
      <c r="D1543" s="42"/>
      <c r="E1543" s="42"/>
      <c r="F1543" s="42"/>
      <c r="G1543" s="42"/>
      <c r="H1543" s="42"/>
      <c r="I1543" s="42"/>
      <c r="J1543" s="42"/>
      <c r="K1543" s="42"/>
      <c r="L1543" s="42"/>
      <c r="M1543" s="42"/>
    </row>
    <row r="1544" spans="1:13" x14ac:dyDescent="0.2">
      <c r="A1544" s="42"/>
      <c r="B1544" s="42"/>
      <c r="C1544" s="42"/>
      <c r="D1544" s="42"/>
      <c r="E1544" s="42"/>
      <c r="F1544" s="42"/>
      <c r="G1544" s="42"/>
      <c r="H1544" s="42"/>
      <c r="I1544" s="42"/>
      <c r="J1544" s="42"/>
      <c r="K1544" s="42"/>
      <c r="L1544" s="42"/>
      <c r="M1544" s="42"/>
    </row>
    <row r="1545" spans="1:13" x14ac:dyDescent="0.2">
      <c r="A1545" s="42"/>
      <c r="B1545" s="42"/>
      <c r="C1545" s="42"/>
      <c r="D1545" s="42"/>
      <c r="E1545" s="42"/>
      <c r="F1545" s="42"/>
      <c r="G1545" s="42"/>
      <c r="H1545" s="42"/>
      <c r="I1545" s="42"/>
      <c r="J1545" s="42"/>
      <c r="K1545" s="42"/>
      <c r="L1545" s="42"/>
      <c r="M1545" s="42"/>
    </row>
    <row r="1546" spans="1:13" x14ac:dyDescent="0.2">
      <c r="A1546" s="42"/>
      <c r="B1546" s="42"/>
      <c r="C1546" s="42"/>
      <c r="D1546" s="42"/>
      <c r="E1546" s="42"/>
      <c r="F1546" s="42"/>
      <c r="G1546" s="42"/>
      <c r="H1546" s="42"/>
      <c r="I1546" s="42"/>
      <c r="J1546" s="42"/>
      <c r="K1546" s="42"/>
      <c r="L1546" s="42"/>
      <c r="M1546" s="42"/>
    </row>
    <row r="1547" spans="1:13" x14ac:dyDescent="0.2">
      <c r="A1547" s="42"/>
      <c r="B1547" s="42"/>
      <c r="C1547" s="42"/>
      <c r="D1547" s="42"/>
      <c r="E1547" s="42"/>
      <c r="F1547" s="42"/>
      <c r="G1547" s="42"/>
      <c r="H1547" s="42"/>
      <c r="I1547" s="42"/>
      <c r="J1547" s="42"/>
      <c r="K1547" s="42"/>
      <c r="L1547" s="42"/>
      <c r="M1547" s="42"/>
    </row>
    <row r="1548" spans="1:13" x14ac:dyDescent="0.2">
      <c r="A1548" s="42"/>
      <c r="B1548" s="42"/>
      <c r="C1548" s="42"/>
      <c r="D1548" s="42"/>
      <c r="E1548" s="42"/>
      <c r="F1548" s="42"/>
      <c r="G1548" s="42"/>
      <c r="H1548" s="42"/>
      <c r="I1548" s="42"/>
      <c r="J1548" s="42"/>
      <c r="K1548" s="42"/>
      <c r="L1548" s="42"/>
      <c r="M1548" s="42"/>
    </row>
    <row r="1549" spans="1:13" x14ac:dyDescent="0.2">
      <c r="A1549" s="42"/>
      <c r="B1549" s="42"/>
      <c r="C1549" s="42"/>
      <c r="D1549" s="42"/>
      <c r="E1549" s="42"/>
      <c r="F1549" s="42"/>
      <c r="G1549" s="42"/>
      <c r="H1549" s="42"/>
      <c r="I1549" s="42"/>
      <c r="J1549" s="42"/>
      <c r="K1549" s="42"/>
      <c r="L1549" s="42"/>
      <c r="M1549" s="42"/>
    </row>
    <row r="1550" spans="1:13" x14ac:dyDescent="0.2">
      <c r="A1550" s="42"/>
      <c r="B1550" s="42"/>
      <c r="C1550" s="42"/>
      <c r="D1550" s="42"/>
      <c r="E1550" s="42"/>
      <c r="F1550" s="42"/>
      <c r="G1550" s="42"/>
      <c r="H1550" s="42"/>
      <c r="I1550" s="42"/>
      <c r="J1550" s="42"/>
      <c r="K1550" s="42"/>
      <c r="L1550" s="42"/>
      <c r="M1550" s="42"/>
    </row>
    <row r="1551" spans="1:13" x14ac:dyDescent="0.2">
      <c r="A1551" s="42"/>
      <c r="B1551" s="42"/>
      <c r="C1551" s="42"/>
      <c r="D1551" s="42"/>
      <c r="E1551" s="42"/>
      <c r="F1551" s="42"/>
      <c r="G1551" s="42"/>
      <c r="H1551" s="42"/>
      <c r="I1551" s="42"/>
      <c r="J1551" s="42"/>
      <c r="K1551" s="42"/>
      <c r="L1551" s="42"/>
      <c r="M1551" s="42"/>
    </row>
    <row r="1552" spans="1:13" x14ac:dyDescent="0.2">
      <c r="A1552" s="42"/>
      <c r="B1552" s="42"/>
      <c r="C1552" s="42"/>
      <c r="D1552" s="42"/>
      <c r="E1552" s="42"/>
      <c r="F1552" s="42"/>
      <c r="G1552" s="42"/>
      <c r="H1552" s="42"/>
      <c r="I1552" s="42"/>
      <c r="J1552" s="42"/>
      <c r="K1552" s="42"/>
      <c r="L1552" s="42"/>
      <c r="M1552" s="42"/>
    </row>
    <row r="1553" spans="1:13" x14ac:dyDescent="0.2">
      <c r="A1553" s="42"/>
      <c r="B1553" s="42"/>
      <c r="C1553" s="42"/>
      <c r="D1553" s="42"/>
      <c r="E1553" s="42"/>
      <c r="F1553" s="42"/>
      <c r="G1553" s="42"/>
      <c r="H1553" s="42"/>
      <c r="I1553" s="42"/>
      <c r="J1553" s="42"/>
      <c r="K1553" s="42"/>
      <c r="L1553" s="42"/>
      <c r="M1553" s="42"/>
    </row>
    <row r="1554" spans="1:13" x14ac:dyDescent="0.2">
      <c r="A1554" s="42"/>
      <c r="B1554" s="42"/>
      <c r="C1554" s="42"/>
      <c r="D1554" s="42"/>
      <c r="E1554" s="42"/>
      <c r="F1554" s="42"/>
      <c r="G1554" s="42"/>
      <c r="H1554" s="42"/>
      <c r="I1554" s="42"/>
      <c r="J1554" s="42"/>
      <c r="K1554" s="42"/>
      <c r="L1554" s="42"/>
      <c r="M1554" s="42"/>
    </row>
    <row r="1555" spans="1:13" x14ac:dyDescent="0.2">
      <c r="A1555" s="42"/>
      <c r="B1555" s="42"/>
      <c r="C1555" s="42"/>
      <c r="D1555" s="42"/>
      <c r="E1555" s="42"/>
      <c r="F1555" s="42"/>
      <c r="G1555" s="42"/>
      <c r="H1555" s="42"/>
      <c r="I1555" s="42"/>
      <c r="J1555" s="42"/>
      <c r="K1555" s="42"/>
      <c r="L1555" s="42"/>
      <c r="M1555" s="42"/>
    </row>
    <row r="1556" spans="1:13" x14ac:dyDescent="0.2">
      <c r="A1556" s="42"/>
      <c r="B1556" s="42"/>
      <c r="C1556" s="42"/>
      <c r="D1556" s="42"/>
      <c r="E1556" s="42"/>
      <c r="F1556" s="42"/>
      <c r="G1556" s="42"/>
      <c r="H1556" s="42"/>
      <c r="I1556" s="42"/>
      <c r="J1556" s="42"/>
      <c r="K1556" s="42"/>
      <c r="L1556" s="42"/>
      <c r="M1556" s="42"/>
    </row>
    <row r="1557" spans="1:13" x14ac:dyDescent="0.2">
      <c r="A1557" s="42"/>
      <c r="B1557" s="42"/>
      <c r="C1557" s="42"/>
      <c r="D1557" s="42"/>
      <c r="E1557" s="42"/>
      <c r="F1557" s="42"/>
      <c r="G1557" s="42"/>
      <c r="H1557" s="42"/>
      <c r="I1557" s="42"/>
      <c r="J1557" s="42"/>
      <c r="K1557" s="42"/>
      <c r="L1557" s="42"/>
      <c r="M1557" s="42"/>
    </row>
    <row r="1558" spans="1:13" x14ac:dyDescent="0.2">
      <c r="A1558" s="42"/>
      <c r="B1558" s="42"/>
      <c r="C1558" s="42"/>
      <c r="D1558" s="42"/>
      <c r="E1558" s="42"/>
      <c r="F1558" s="42"/>
      <c r="G1558" s="42"/>
      <c r="H1558" s="42"/>
      <c r="I1558" s="42"/>
      <c r="J1558" s="42"/>
      <c r="K1558" s="42"/>
      <c r="L1558" s="42"/>
      <c r="M1558" s="42"/>
    </row>
    <row r="1559" spans="1:13" x14ac:dyDescent="0.2">
      <c r="A1559" s="42"/>
      <c r="B1559" s="42"/>
      <c r="C1559" s="42"/>
      <c r="D1559" s="42"/>
      <c r="E1559" s="42"/>
      <c r="F1559" s="42"/>
      <c r="G1559" s="42"/>
      <c r="H1559" s="42"/>
      <c r="I1559" s="42"/>
      <c r="J1559" s="42"/>
      <c r="K1559" s="42"/>
      <c r="L1559" s="42"/>
      <c r="M1559" s="42"/>
    </row>
    <row r="1560" spans="1:13" x14ac:dyDescent="0.2">
      <c r="A1560" s="42"/>
      <c r="B1560" s="42"/>
      <c r="C1560" s="42"/>
      <c r="D1560" s="42"/>
      <c r="E1560" s="42"/>
      <c r="F1560" s="42"/>
      <c r="G1560" s="42"/>
      <c r="H1560" s="42"/>
      <c r="I1560" s="42"/>
      <c r="J1560" s="42"/>
      <c r="K1560" s="42"/>
      <c r="L1560" s="42"/>
      <c r="M1560" s="42"/>
    </row>
    <row r="1561" spans="1:13" x14ac:dyDescent="0.2">
      <c r="A1561" s="42"/>
      <c r="B1561" s="42"/>
      <c r="C1561" s="42"/>
      <c r="D1561" s="42"/>
      <c r="E1561" s="42"/>
      <c r="F1561" s="42"/>
      <c r="G1561" s="42"/>
      <c r="H1561" s="42"/>
      <c r="I1561" s="42"/>
      <c r="J1561" s="42"/>
      <c r="K1561" s="42"/>
      <c r="L1561" s="42"/>
      <c r="M1561" s="42"/>
    </row>
    <row r="1562" spans="1:13" x14ac:dyDescent="0.2">
      <c r="A1562" s="42"/>
      <c r="B1562" s="42"/>
      <c r="C1562" s="42"/>
      <c r="D1562" s="42"/>
      <c r="E1562" s="42"/>
      <c r="F1562" s="42"/>
      <c r="G1562" s="42"/>
      <c r="H1562" s="42"/>
      <c r="I1562" s="42"/>
      <c r="J1562" s="42"/>
      <c r="K1562" s="42"/>
      <c r="L1562" s="42"/>
      <c r="M1562" s="42"/>
    </row>
    <row r="1563" spans="1:13" x14ac:dyDescent="0.2">
      <c r="A1563" s="42"/>
      <c r="B1563" s="42"/>
      <c r="C1563" s="42"/>
      <c r="D1563" s="42"/>
      <c r="E1563" s="42"/>
      <c r="F1563" s="42"/>
      <c r="G1563" s="42"/>
      <c r="H1563" s="42"/>
      <c r="I1563" s="42"/>
      <c r="J1563" s="42"/>
      <c r="K1563" s="42"/>
      <c r="L1563" s="42"/>
      <c r="M1563" s="42"/>
    </row>
    <row r="1564" spans="1:13" x14ac:dyDescent="0.2">
      <c r="A1564" s="42"/>
      <c r="B1564" s="42"/>
      <c r="C1564" s="42"/>
      <c r="D1564" s="42"/>
      <c r="E1564" s="42"/>
      <c r="F1564" s="42"/>
      <c r="G1564" s="42"/>
      <c r="H1564" s="42"/>
      <c r="I1564" s="42"/>
      <c r="J1564" s="42"/>
      <c r="K1564" s="42"/>
      <c r="L1564" s="42"/>
      <c r="M1564" s="42"/>
    </row>
    <row r="1565" spans="1:13" x14ac:dyDescent="0.2">
      <c r="A1565" s="42"/>
      <c r="B1565" s="42"/>
      <c r="C1565" s="42"/>
      <c r="D1565" s="42"/>
      <c r="E1565" s="42"/>
      <c r="F1565" s="42"/>
      <c r="G1565" s="42"/>
      <c r="H1565" s="42"/>
      <c r="I1565" s="42"/>
      <c r="J1565" s="42"/>
      <c r="K1565" s="42"/>
      <c r="L1565" s="42"/>
      <c r="M1565" s="42"/>
    </row>
    <row r="1566" spans="1:13" x14ac:dyDescent="0.2">
      <c r="A1566" s="42"/>
      <c r="B1566" s="42"/>
      <c r="C1566" s="42"/>
      <c r="D1566" s="42"/>
      <c r="E1566" s="42"/>
      <c r="F1566" s="42"/>
      <c r="G1566" s="42"/>
      <c r="H1566" s="42"/>
      <c r="I1566" s="42"/>
      <c r="J1566" s="42"/>
      <c r="K1566" s="42"/>
      <c r="L1566" s="42"/>
      <c r="M1566" s="42"/>
    </row>
    <row r="1567" spans="1:13" x14ac:dyDescent="0.2">
      <c r="A1567" s="42"/>
      <c r="B1567" s="42"/>
      <c r="C1567" s="42"/>
      <c r="D1567" s="42"/>
      <c r="E1567" s="42"/>
      <c r="F1567" s="42"/>
      <c r="G1567" s="42"/>
      <c r="H1567" s="42"/>
      <c r="I1567" s="42"/>
      <c r="J1567" s="42"/>
      <c r="K1567" s="42"/>
      <c r="L1567" s="42"/>
      <c r="M1567" s="42"/>
    </row>
    <row r="1568" spans="1:13" x14ac:dyDescent="0.2">
      <c r="A1568" s="42"/>
      <c r="B1568" s="42"/>
      <c r="C1568" s="42"/>
      <c r="D1568" s="42"/>
      <c r="E1568" s="42"/>
      <c r="F1568" s="42"/>
      <c r="G1568" s="42"/>
      <c r="H1568" s="42"/>
      <c r="I1568" s="42"/>
      <c r="J1568" s="42"/>
      <c r="K1568" s="42"/>
      <c r="L1568" s="42"/>
      <c r="M1568" s="42"/>
    </row>
    <row r="1569" spans="1:13" x14ac:dyDescent="0.2">
      <c r="A1569" s="42"/>
      <c r="B1569" s="42"/>
      <c r="C1569" s="42"/>
      <c r="D1569" s="42"/>
      <c r="E1569" s="42"/>
      <c r="F1569" s="42"/>
      <c r="G1569" s="42"/>
      <c r="H1569" s="42"/>
      <c r="I1569" s="42"/>
      <c r="J1569" s="42"/>
      <c r="K1569" s="42"/>
      <c r="L1569" s="42"/>
      <c r="M1569" s="42"/>
    </row>
    <row r="1570" spans="1:13" x14ac:dyDescent="0.2">
      <c r="A1570" s="42"/>
      <c r="B1570" s="42"/>
      <c r="C1570" s="42"/>
      <c r="D1570" s="42"/>
      <c r="E1570" s="42"/>
      <c r="F1570" s="42"/>
      <c r="G1570" s="42"/>
      <c r="H1570" s="42"/>
      <c r="I1570" s="42"/>
      <c r="J1570" s="42"/>
      <c r="K1570" s="42"/>
      <c r="L1570" s="42"/>
      <c r="M1570" s="42"/>
    </row>
    <row r="1571" spans="1:13" x14ac:dyDescent="0.2">
      <c r="A1571" s="42"/>
      <c r="B1571" s="42"/>
      <c r="C1571" s="42"/>
      <c r="D1571" s="42"/>
      <c r="E1571" s="42"/>
      <c r="F1571" s="42"/>
      <c r="G1571" s="42"/>
      <c r="H1571" s="42"/>
      <c r="I1571" s="42"/>
      <c r="J1571" s="42"/>
      <c r="K1571" s="42"/>
      <c r="L1571" s="42"/>
      <c r="M1571" s="42"/>
    </row>
    <row r="1572" spans="1:13" x14ac:dyDescent="0.2">
      <c r="A1572" s="42"/>
      <c r="B1572" s="42"/>
      <c r="C1572" s="42"/>
      <c r="D1572" s="42"/>
      <c r="E1572" s="42"/>
      <c r="F1572" s="42"/>
      <c r="G1572" s="42"/>
      <c r="H1572" s="42"/>
      <c r="I1572" s="42"/>
      <c r="J1572" s="42"/>
      <c r="K1572" s="42"/>
      <c r="L1572" s="42"/>
      <c r="M1572" s="42"/>
    </row>
    <row r="1573" spans="1:13" x14ac:dyDescent="0.2">
      <c r="A1573" s="42"/>
      <c r="B1573" s="42"/>
      <c r="C1573" s="42"/>
      <c r="D1573" s="42"/>
      <c r="E1573" s="42"/>
      <c r="F1573" s="42"/>
      <c r="G1573" s="42"/>
      <c r="H1573" s="42"/>
      <c r="I1573" s="42"/>
      <c r="J1573" s="42"/>
      <c r="K1573" s="42"/>
      <c r="L1573" s="42"/>
      <c r="M1573" s="42"/>
    </row>
    <row r="1574" spans="1:13" x14ac:dyDescent="0.2">
      <c r="A1574" s="42"/>
      <c r="B1574" s="42"/>
      <c r="C1574" s="42"/>
      <c r="D1574" s="42"/>
      <c r="E1574" s="42"/>
      <c r="F1574" s="42"/>
      <c r="G1574" s="42"/>
      <c r="H1574" s="42"/>
      <c r="I1574" s="42"/>
      <c r="J1574" s="42"/>
      <c r="K1574" s="42"/>
      <c r="L1574" s="42"/>
      <c r="M1574" s="42"/>
    </row>
    <row r="1575" spans="1:13" x14ac:dyDescent="0.2">
      <c r="A1575" s="42"/>
      <c r="B1575" s="42"/>
      <c r="C1575" s="42"/>
      <c r="D1575" s="42"/>
      <c r="E1575" s="42"/>
      <c r="F1575" s="42"/>
      <c r="G1575" s="42"/>
      <c r="H1575" s="42"/>
      <c r="I1575" s="42"/>
      <c r="J1575" s="42"/>
      <c r="K1575" s="42"/>
      <c r="L1575" s="42"/>
      <c r="M1575" s="42"/>
    </row>
    <row r="1576" spans="1:13" x14ac:dyDescent="0.2">
      <c r="A1576" s="42"/>
      <c r="B1576" s="42"/>
      <c r="C1576" s="42"/>
      <c r="D1576" s="42"/>
      <c r="E1576" s="42"/>
      <c r="F1576" s="42"/>
      <c r="G1576" s="42"/>
      <c r="H1576" s="42"/>
      <c r="I1576" s="42"/>
      <c r="J1576" s="42"/>
      <c r="K1576" s="42"/>
      <c r="L1576" s="42"/>
      <c r="M1576" s="42"/>
    </row>
    <row r="1577" spans="1:13" x14ac:dyDescent="0.2">
      <c r="A1577" s="42"/>
      <c r="B1577" s="42"/>
      <c r="C1577" s="42"/>
      <c r="D1577" s="42"/>
      <c r="E1577" s="42"/>
      <c r="F1577" s="42"/>
      <c r="G1577" s="42"/>
      <c r="H1577" s="42"/>
      <c r="I1577" s="42"/>
      <c r="J1577" s="42"/>
      <c r="K1577" s="42"/>
      <c r="L1577" s="42"/>
      <c r="M1577" s="42"/>
    </row>
    <row r="1578" spans="1:13" x14ac:dyDescent="0.2">
      <c r="A1578" s="42"/>
      <c r="B1578" s="42"/>
      <c r="C1578" s="42"/>
      <c r="D1578" s="42"/>
      <c r="E1578" s="42"/>
      <c r="F1578" s="42"/>
      <c r="G1578" s="42"/>
      <c r="H1578" s="42"/>
      <c r="I1578" s="42"/>
      <c r="J1578" s="42"/>
      <c r="K1578" s="42"/>
      <c r="L1578" s="42"/>
      <c r="M1578" s="42"/>
    </row>
    <row r="1579" spans="1:13" x14ac:dyDescent="0.2">
      <c r="A1579" s="42"/>
      <c r="B1579" s="42"/>
      <c r="C1579" s="42"/>
      <c r="D1579" s="42"/>
      <c r="E1579" s="42"/>
      <c r="F1579" s="42"/>
      <c r="G1579" s="42"/>
      <c r="H1579" s="42"/>
      <c r="I1579" s="42"/>
      <c r="J1579" s="42"/>
      <c r="K1579" s="42"/>
      <c r="L1579" s="42"/>
      <c r="M1579" s="42"/>
    </row>
    <row r="1580" spans="1:13" x14ac:dyDescent="0.2">
      <c r="A1580" s="42"/>
      <c r="B1580" s="42"/>
      <c r="C1580" s="42"/>
      <c r="D1580" s="42"/>
      <c r="E1580" s="42"/>
      <c r="F1580" s="42"/>
      <c r="G1580" s="42"/>
      <c r="H1580" s="42"/>
      <c r="I1580" s="42"/>
      <c r="J1580" s="42"/>
      <c r="K1580" s="42"/>
      <c r="L1580" s="42"/>
      <c r="M1580" s="42"/>
    </row>
    <row r="1581" spans="1:13" x14ac:dyDescent="0.2">
      <c r="A1581" s="42"/>
      <c r="B1581" s="42"/>
      <c r="C1581" s="42"/>
      <c r="D1581" s="42"/>
      <c r="E1581" s="42"/>
      <c r="F1581" s="42"/>
      <c r="G1581" s="42"/>
      <c r="H1581" s="42"/>
      <c r="I1581" s="42"/>
      <c r="J1581" s="42"/>
      <c r="K1581" s="42"/>
      <c r="L1581" s="42"/>
      <c r="M1581" s="42"/>
    </row>
    <row r="1582" spans="1:13" x14ac:dyDescent="0.2">
      <c r="A1582" s="42"/>
      <c r="B1582" s="42"/>
      <c r="C1582" s="42"/>
      <c r="D1582" s="42"/>
      <c r="E1582" s="42"/>
      <c r="F1582" s="42"/>
      <c r="G1582" s="42"/>
      <c r="H1582" s="42"/>
      <c r="I1582" s="42"/>
      <c r="J1582" s="42"/>
      <c r="K1582" s="42"/>
      <c r="L1582" s="42"/>
      <c r="M1582" s="42"/>
    </row>
    <row r="1583" spans="1:13" x14ac:dyDescent="0.2">
      <c r="A1583" s="42"/>
      <c r="B1583" s="42"/>
      <c r="C1583" s="42"/>
      <c r="D1583" s="42"/>
      <c r="E1583" s="42"/>
      <c r="F1583" s="42"/>
      <c r="G1583" s="42"/>
      <c r="H1583" s="42"/>
      <c r="I1583" s="42"/>
      <c r="J1583" s="42"/>
      <c r="K1583" s="42"/>
      <c r="L1583" s="42"/>
      <c r="M1583" s="42"/>
    </row>
    <row r="1584" spans="1:13" x14ac:dyDescent="0.2">
      <c r="A1584" s="42"/>
      <c r="B1584" s="42"/>
      <c r="C1584" s="42"/>
      <c r="D1584" s="42"/>
      <c r="E1584" s="42"/>
      <c r="F1584" s="42"/>
      <c r="G1584" s="42"/>
      <c r="H1584" s="42"/>
      <c r="I1584" s="42"/>
      <c r="J1584" s="42"/>
      <c r="K1584" s="42"/>
      <c r="L1584" s="42"/>
      <c r="M1584" s="42"/>
    </row>
    <row r="1585" spans="1:13" x14ac:dyDescent="0.2">
      <c r="A1585" s="42"/>
      <c r="B1585" s="42"/>
      <c r="C1585" s="42"/>
      <c r="D1585" s="42"/>
      <c r="E1585" s="42"/>
      <c r="F1585" s="42"/>
      <c r="G1585" s="42"/>
      <c r="H1585" s="42"/>
      <c r="I1585" s="42"/>
      <c r="J1585" s="42"/>
      <c r="K1585" s="42"/>
      <c r="L1585" s="42"/>
      <c r="M1585" s="42"/>
    </row>
    <row r="1586" spans="1:13" x14ac:dyDescent="0.2">
      <c r="A1586" s="42"/>
      <c r="B1586" s="42"/>
      <c r="C1586" s="42"/>
      <c r="D1586" s="42"/>
      <c r="E1586" s="42"/>
      <c r="F1586" s="42"/>
      <c r="G1586" s="42"/>
      <c r="H1586" s="42"/>
      <c r="I1586" s="42"/>
      <c r="J1586" s="42"/>
      <c r="K1586" s="42"/>
      <c r="L1586" s="42"/>
      <c r="M1586" s="42"/>
    </row>
    <row r="1587" spans="1:13" x14ac:dyDescent="0.2">
      <c r="A1587" s="42"/>
      <c r="B1587" s="42"/>
      <c r="C1587" s="42"/>
      <c r="D1587" s="42"/>
      <c r="E1587" s="42"/>
      <c r="F1587" s="42"/>
      <c r="G1587" s="42"/>
      <c r="H1587" s="42"/>
      <c r="I1587" s="42"/>
      <c r="J1587" s="42"/>
      <c r="K1587" s="42"/>
      <c r="L1587" s="42"/>
      <c r="M1587" s="42"/>
    </row>
    <row r="1588" spans="1:13" x14ac:dyDescent="0.2">
      <c r="A1588" s="42"/>
      <c r="B1588" s="42"/>
      <c r="C1588" s="42"/>
      <c r="D1588" s="42"/>
      <c r="E1588" s="42"/>
      <c r="F1588" s="42"/>
      <c r="G1588" s="42"/>
      <c r="H1588" s="42"/>
      <c r="I1588" s="42"/>
      <c r="J1588" s="42"/>
      <c r="K1588" s="42"/>
      <c r="L1588" s="42"/>
      <c r="M1588" s="42"/>
    </row>
    <row r="1589" spans="1:13" x14ac:dyDescent="0.2">
      <c r="A1589" s="42"/>
      <c r="B1589" s="42"/>
      <c r="C1589" s="42"/>
      <c r="D1589" s="42"/>
      <c r="E1589" s="42"/>
      <c r="F1589" s="42"/>
      <c r="G1589" s="42"/>
      <c r="H1589" s="42"/>
      <c r="I1589" s="42"/>
      <c r="J1589" s="42"/>
      <c r="K1589" s="42"/>
      <c r="L1589" s="42"/>
      <c r="M1589" s="42"/>
    </row>
    <row r="1590" spans="1:13" x14ac:dyDescent="0.2">
      <c r="A1590" s="42"/>
      <c r="B1590" s="42"/>
      <c r="C1590" s="42"/>
      <c r="D1590" s="42"/>
      <c r="E1590" s="42"/>
      <c r="F1590" s="42"/>
      <c r="G1590" s="42"/>
      <c r="H1590" s="42"/>
      <c r="I1590" s="42"/>
      <c r="J1590" s="42"/>
      <c r="K1590" s="42"/>
      <c r="L1590" s="42"/>
      <c r="M1590" s="42"/>
    </row>
    <row r="1591" spans="1:13" x14ac:dyDescent="0.2">
      <c r="A1591" s="42"/>
      <c r="B1591" s="42"/>
      <c r="C1591" s="42"/>
      <c r="D1591" s="42"/>
      <c r="E1591" s="42"/>
      <c r="F1591" s="42"/>
      <c r="G1591" s="42"/>
      <c r="H1591" s="42"/>
      <c r="I1591" s="42"/>
      <c r="J1591" s="42"/>
      <c r="K1591" s="42"/>
      <c r="L1591" s="42"/>
      <c r="M1591" s="42"/>
    </row>
    <row r="1592" spans="1:13" x14ac:dyDescent="0.2">
      <c r="A1592" s="42"/>
      <c r="B1592" s="42"/>
      <c r="C1592" s="42"/>
      <c r="D1592" s="42"/>
      <c r="E1592" s="42"/>
      <c r="F1592" s="42"/>
      <c r="G1592" s="42"/>
      <c r="H1592" s="42"/>
      <c r="I1592" s="42"/>
      <c r="J1592" s="42"/>
      <c r="K1592" s="42"/>
      <c r="L1592" s="42"/>
      <c r="M1592" s="42"/>
    </row>
    <row r="1593" spans="1:13" x14ac:dyDescent="0.2">
      <c r="A1593" s="42"/>
      <c r="B1593" s="42"/>
      <c r="C1593" s="42"/>
      <c r="D1593" s="42"/>
      <c r="E1593" s="42"/>
      <c r="F1593" s="42"/>
      <c r="G1593" s="42"/>
      <c r="H1593" s="42"/>
      <c r="I1593" s="42"/>
      <c r="J1593" s="42"/>
      <c r="K1593" s="42"/>
      <c r="L1593" s="42"/>
      <c r="M1593" s="42"/>
    </row>
    <row r="1594" spans="1:13" x14ac:dyDescent="0.2">
      <c r="A1594" s="42"/>
      <c r="B1594" s="42"/>
      <c r="C1594" s="42"/>
      <c r="D1594" s="42"/>
      <c r="E1594" s="42"/>
      <c r="F1594" s="42"/>
      <c r="G1594" s="42"/>
      <c r="H1594" s="42"/>
      <c r="I1594" s="42"/>
      <c r="J1594" s="42"/>
      <c r="K1594" s="42"/>
      <c r="L1594" s="42"/>
      <c r="M1594" s="42"/>
    </row>
    <row r="1595" spans="1:13" x14ac:dyDescent="0.2">
      <c r="A1595" s="42"/>
      <c r="B1595" s="42"/>
      <c r="C1595" s="42"/>
      <c r="D1595" s="42"/>
      <c r="E1595" s="42"/>
      <c r="F1595" s="42"/>
      <c r="G1595" s="42"/>
      <c r="H1595" s="42"/>
      <c r="I1595" s="42"/>
      <c r="J1595" s="42"/>
      <c r="K1595" s="42"/>
      <c r="L1595" s="42"/>
      <c r="M1595" s="42"/>
    </row>
    <row r="1596" spans="1:13" x14ac:dyDescent="0.2">
      <c r="A1596" s="42"/>
      <c r="B1596" s="42"/>
      <c r="C1596" s="42"/>
      <c r="D1596" s="42"/>
      <c r="E1596" s="42"/>
      <c r="F1596" s="42"/>
      <c r="G1596" s="42"/>
      <c r="H1596" s="42"/>
      <c r="I1596" s="42"/>
      <c r="J1596" s="42"/>
      <c r="K1596" s="42"/>
      <c r="L1596" s="42"/>
      <c r="M1596" s="42"/>
    </row>
    <row r="1597" spans="1:13" x14ac:dyDescent="0.2">
      <c r="A1597" s="42"/>
      <c r="B1597" s="42"/>
      <c r="C1597" s="42"/>
      <c r="D1597" s="42"/>
      <c r="E1597" s="42"/>
      <c r="F1597" s="42"/>
      <c r="G1597" s="42"/>
      <c r="H1597" s="42"/>
      <c r="I1597" s="42"/>
      <c r="J1597" s="42"/>
      <c r="K1597" s="42"/>
      <c r="L1597" s="42"/>
      <c r="M1597" s="42"/>
    </row>
    <row r="1598" spans="1:13" x14ac:dyDescent="0.2">
      <c r="A1598" s="42"/>
      <c r="B1598" s="42"/>
      <c r="C1598" s="42"/>
      <c r="D1598" s="42"/>
      <c r="E1598" s="42"/>
      <c r="F1598" s="42"/>
      <c r="G1598" s="42"/>
      <c r="H1598" s="42"/>
      <c r="I1598" s="42"/>
      <c r="J1598" s="42"/>
      <c r="K1598" s="42"/>
      <c r="L1598" s="42"/>
      <c r="M1598" s="42"/>
    </row>
    <row r="1599" spans="1:13" x14ac:dyDescent="0.2">
      <c r="A1599" s="42"/>
      <c r="B1599" s="42"/>
      <c r="C1599" s="42"/>
      <c r="D1599" s="42"/>
      <c r="E1599" s="42"/>
      <c r="F1599" s="42"/>
      <c r="G1599" s="42"/>
      <c r="H1599" s="42"/>
      <c r="I1599" s="42"/>
      <c r="J1599" s="42"/>
      <c r="K1599" s="42"/>
      <c r="L1599" s="42"/>
      <c r="M1599" s="42"/>
    </row>
    <row r="1600" spans="1:13" x14ac:dyDescent="0.2">
      <c r="A1600" s="42"/>
      <c r="B1600" s="42"/>
      <c r="C1600" s="42"/>
      <c r="D1600" s="42"/>
      <c r="E1600" s="42"/>
      <c r="F1600" s="42"/>
      <c r="G1600" s="42"/>
      <c r="H1600" s="42"/>
      <c r="I1600" s="42"/>
      <c r="J1600" s="42"/>
      <c r="K1600" s="42"/>
      <c r="L1600" s="42"/>
      <c r="M1600" s="42"/>
    </row>
    <row r="1601" spans="1:13" x14ac:dyDescent="0.2">
      <c r="A1601" s="42"/>
      <c r="B1601" s="42"/>
      <c r="C1601" s="42"/>
      <c r="D1601" s="42"/>
      <c r="E1601" s="42"/>
      <c r="F1601" s="42"/>
      <c r="G1601" s="42"/>
      <c r="H1601" s="42"/>
      <c r="I1601" s="42"/>
      <c r="J1601" s="42"/>
      <c r="K1601" s="42"/>
      <c r="L1601" s="42"/>
      <c r="M1601" s="42"/>
    </row>
    <row r="1602" spans="1:13" x14ac:dyDescent="0.2">
      <c r="A1602" s="42"/>
      <c r="B1602" s="42"/>
      <c r="C1602" s="42"/>
      <c r="D1602" s="42"/>
      <c r="E1602" s="42"/>
      <c r="F1602" s="42"/>
      <c r="G1602" s="42"/>
      <c r="H1602" s="42"/>
      <c r="I1602" s="42"/>
      <c r="J1602" s="42"/>
      <c r="K1602" s="42"/>
      <c r="L1602" s="42"/>
      <c r="M1602" s="42"/>
    </row>
    <row r="1603" spans="1:13" x14ac:dyDescent="0.2">
      <c r="A1603" s="42"/>
      <c r="B1603" s="42"/>
      <c r="C1603" s="42"/>
      <c r="D1603" s="42"/>
      <c r="E1603" s="42"/>
      <c r="F1603" s="42"/>
      <c r="G1603" s="42"/>
      <c r="H1603" s="42"/>
      <c r="I1603" s="42"/>
      <c r="J1603" s="42"/>
      <c r="K1603" s="42"/>
      <c r="L1603" s="42"/>
      <c r="M1603" s="42"/>
    </row>
    <row r="1604" spans="1:13" x14ac:dyDescent="0.2">
      <c r="A1604" s="42"/>
      <c r="B1604" s="42"/>
      <c r="C1604" s="42"/>
      <c r="D1604" s="42"/>
      <c r="E1604" s="42"/>
      <c r="F1604" s="42"/>
      <c r="G1604" s="42"/>
      <c r="H1604" s="42"/>
      <c r="I1604" s="42"/>
      <c r="J1604" s="42"/>
      <c r="K1604" s="42"/>
      <c r="L1604" s="42"/>
      <c r="M1604" s="42"/>
    </row>
    <row r="1605" spans="1:13" x14ac:dyDescent="0.2">
      <c r="A1605" s="42"/>
      <c r="B1605" s="42"/>
      <c r="C1605" s="42"/>
      <c r="D1605" s="42"/>
      <c r="E1605" s="42"/>
      <c r="F1605" s="42"/>
      <c r="G1605" s="42"/>
      <c r="H1605" s="42"/>
      <c r="I1605" s="42"/>
      <c r="J1605" s="42"/>
      <c r="K1605" s="42"/>
      <c r="L1605" s="42"/>
      <c r="M1605" s="42"/>
    </row>
    <row r="1606" spans="1:13" x14ac:dyDescent="0.2">
      <c r="A1606" s="42"/>
      <c r="B1606" s="42"/>
      <c r="C1606" s="42"/>
      <c r="D1606" s="42"/>
      <c r="E1606" s="42"/>
      <c r="F1606" s="42"/>
      <c r="G1606" s="42"/>
      <c r="H1606" s="42"/>
      <c r="I1606" s="42"/>
      <c r="J1606" s="42"/>
      <c r="K1606" s="42"/>
      <c r="L1606" s="42"/>
      <c r="M1606" s="42"/>
    </row>
    <row r="1607" spans="1:13" x14ac:dyDescent="0.2">
      <c r="A1607" s="42"/>
      <c r="B1607" s="42"/>
      <c r="C1607" s="42"/>
      <c r="D1607" s="42"/>
      <c r="E1607" s="42"/>
      <c r="F1607" s="42"/>
      <c r="G1607" s="42"/>
      <c r="H1607" s="42"/>
      <c r="I1607" s="42"/>
      <c r="J1607" s="42"/>
      <c r="K1607" s="42"/>
      <c r="L1607" s="42"/>
      <c r="M1607" s="42"/>
    </row>
    <row r="1608" spans="1:13" x14ac:dyDescent="0.2">
      <c r="A1608" s="42"/>
      <c r="B1608" s="42"/>
      <c r="C1608" s="42"/>
      <c r="D1608" s="42"/>
      <c r="E1608" s="42"/>
      <c r="F1608" s="42"/>
      <c r="G1608" s="42"/>
      <c r="H1608" s="42"/>
      <c r="I1608" s="42"/>
      <c r="J1608" s="42"/>
      <c r="K1608" s="42"/>
      <c r="L1608" s="42"/>
      <c r="M1608" s="42"/>
    </row>
    <row r="1609" spans="1:13" x14ac:dyDescent="0.2">
      <c r="A1609" s="42"/>
      <c r="B1609" s="42"/>
      <c r="C1609" s="42"/>
      <c r="D1609" s="42"/>
      <c r="E1609" s="42"/>
      <c r="F1609" s="42"/>
      <c r="G1609" s="42"/>
      <c r="H1609" s="42"/>
      <c r="I1609" s="42"/>
      <c r="J1609" s="42"/>
      <c r="K1609" s="42"/>
      <c r="L1609" s="42"/>
      <c r="M1609" s="42"/>
    </row>
    <row r="1610" spans="1:13" x14ac:dyDescent="0.2">
      <c r="A1610" s="42"/>
      <c r="B1610" s="42"/>
      <c r="C1610" s="42"/>
      <c r="D1610" s="42"/>
      <c r="E1610" s="42"/>
      <c r="F1610" s="42"/>
      <c r="G1610" s="42"/>
      <c r="H1610" s="42"/>
      <c r="I1610" s="42"/>
      <c r="J1610" s="42"/>
      <c r="K1610" s="42"/>
      <c r="L1610" s="42"/>
      <c r="M1610" s="42"/>
    </row>
    <row r="1611" spans="1:13" x14ac:dyDescent="0.2">
      <c r="A1611" s="42"/>
      <c r="B1611" s="42"/>
      <c r="C1611" s="42"/>
      <c r="D1611" s="42"/>
      <c r="E1611" s="42"/>
      <c r="F1611" s="42"/>
      <c r="G1611" s="42"/>
      <c r="H1611" s="42"/>
      <c r="I1611" s="42"/>
      <c r="J1611" s="42"/>
      <c r="K1611" s="42"/>
      <c r="L1611" s="42"/>
      <c r="M1611" s="42"/>
    </row>
    <row r="1612" spans="1:13" x14ac:dyDescent="0.2">
      <c r="A1612" s="42"/>
      <c r="B1612" s="42"/>
      <c r="C1612" s="42"/>
      <c r="D1612" s="42"/>
      <c r="E1612" s="42"/>
      <c r="F1612" s="42"/>
      <c r="G1612" s="42"/>
      <c r="H1612" s="42"/>
      <c r="I1612" s="42"/>
      <c r="J1612" s="42"/>
      <c r="K1612" s="42"/>
      <c r="L1612" s="42"/>
      <c r="M1612" s="42"/>
    </row>
    <row r="1613" spans="1:13" x14ac:dyDescent="0.2">
      <c r="A1613" s="42"/>
      <c r="B1613" s="42"/>
      <c r="C1613" s="42"/>
      <c r="D1613" s="42"/>
      <c r="E1613" s="42"/>
      <c r="F1613" s="42"/>
      <c r="G1613" s="42"/>
      <c r="H1613" s="42"/>
      <c r="I1613" s="42"/>
      <c r="J1613" s="42"/>
      <c r="K1613" s="42"/>
      <c r="L1613" s="42"/>
      <c r="M1613" s="42"/>
    </row>
    <row r="1614" spans="1:13" x14ac:dyDescent="0.2">
      <c r="A1614" s="42"/>
      <c r="B1614" s="42"/>
      <c r="C1614" s="42"/>
      <c r="D1614" s="42"/>
      <c r="E1614" s="42"/>
      <c r="F1614" s="42"/>
      <c r="G1614" s="42"/>
      <c r="H1614" s="42"/>
      <c r="I1614" s="42"/>
      <c r="J1614" s="42"/>
      <c r="K1614" s="42"/>
      <c r="L1614" s="42"/>
      <c r="M1614" s="42"/>
    </row>
    <row r="1615" spans="1:13" x14ac:dyDescent="0.2">
      <c r="A1615" s="42"/>
      <c r="B1615" s="42"/>
      <c r="C1615" s="42"/>
      <c r="D1615" s="42"/>
      <c r="E1615" s="42"/>
      <c r="F1615" s="42"/>
      <c r="G1615" s="42"/>
      <c r="H1615" s="42"/>
      <c r="I1615" s="42"/>
      <c r="J1615" s="42"/>
      <c r="K1615" s="42"/>
      <c r="L1615" s="42"/>
      <c r="M1615" s="42"/>
    </row>
    <row r="1616" spans="1:13" x14ac:dyDescent="0.2">
      <c r="A1616" s="42"/>
      <c r="B1616" s="42"/>
      <c r="C1616" s="42"/>
      <c r="D1616" s="42"/>
      <c r="E1616" s="42"/>
      <c r="F1616" s="42"/>
      <c r="G1616" s="42"/>
      <c r="H1616" s="42"/>
      <c r="I1616" s="42"/>
      <c r="J1616" s="42"/>
      <c r="K1616" s="42"/>
      <c r="L1616" s="42"/>
      <c r="M1616" s="42"/>
    </row>
    <row r="1617" spans="1:13" x14ac:dyDescent="0.2">
      <c r="A1617" s="42"/>
      <c r="B1617" s="42"/>
      <c r="C1617" s="42"/>
      <c r="D1617" s="42"/>
      <c r="E1617" s="42"/>
      <c r="F1617" s="42"/>
      <c r="G1617" s="42"/>
      <c r="H1617" s="42"/>
      <c r="I1617" s="42"/>
      <c r="J1617" s="42"/>
      <c r="K1617" s="42"/>
      <c r="L1617" s="42"/>
      <c r="M1617" s="42"/>
    </row>
    <row r="1618" spans="1:13" x14ac:dyDescent="0.2">
      <c r="A1618" s="42"/>
      <c r="B1618" s="42"/>
      <c r="C1618" s="42"/>
      <c r="D1618" s="42"/>
      <c r="E1618" s="42"/>
      <c r="F1618" s="42"/>
      <c r="G1618" s="42"/>
      <c r="H1618" s="42"/>
      <c r="I1618" s="42"/>
      <c r="J1618" s="42"/>
      <c r="K1618" s="42"/>
      <c r="L1618" s="42"/>
      <c r="M1618" s="42"/>
    </row>
    <row r="1619" spans="1:13" x14ac:dyDescent="0.2">
      <c r="A1619" s="42"/>
      <c r="B1619" s="42"/>
      <c r="C1619" s="42"/>
      <c r="D1619" s="42"/>
      <c r="E1619" s="42"/>
      <c r="F1619" s="42"/>
      <c r="G1619" s="42"/>
      <c r="H1619" s="42"/>
      <c r="I1619" s="42"/>
      <c r="J1619" s="42"/>
      <c r="K1619" s="42"/>
      <c r="L1619" s="42"/>
      <c r="M1619" s="42"/>
    </row>
    <row r="1620" spans="1:13" x14ac:dyDescent="0.2">
      <c r="A1620" s="42"/>
      <c r="B1620" s="42"/>
      <c r="C1620" s="42"/>
      <c r="D1620" s="42"/>
      <c r="E1620" s="42"/>
      <c r="F1620" s="42"/>
      <c r="G1620" s="42"/>
      <c r="H1620" s="42"/>
      <c r="I1620" s="42"/>
      <c r="J1620" s="42"/>
      <c r="K1620" s="42"/>
      <c r="L1620" s="42"/>
      <c r="M1620" s="42"/>
    </row>
    <row r="1621" spans="1:13" x14ac:dyDescent="0.2">
      <c r="A1621" s="42"/>
      <c r="B1621" s="42"/>
      <c r="C1621" s="42"/>
      <c r="D1621" s="42"/>
      <c r="E1621" s="42"/>
      <c r="F1621" s="42"/>
      <c r="G1621" s="42"/>
      <c r="H1621" s="42"/>
      <c r="I1621" s="42"/>
      <c r="J1621" s="42"/>
      <c r="K1621" s="42"/>
      <c r="L1621" s="42"/>
      <c r="M1621" s="42"/>
    </row>
    <row r="1622" spans="1:13" x14ac:dyDescent="0.2">
      <c r="A1622" s="42"/>
      <c r="B1622" s="42"/>
      <c r="C1622" s="42"/>
      <c r="D1622" s="42"/>
      <c r="E1622" s="42"/>
      <c r="F1622" s="42"/>
      <c r="G1622" s="42"/>
      <c r="H1622" s="42"/>
      <c r="I1622" s="42"/>
      <c r="J1622" s="42"/>
      <c r="K1622" s="42"/>
      <c r="L1622" s="42"/>
      <c r="M1622" s="42"/>
    </row>
    <row r="1623" spans="1:13" x14ac:dyDescent="0.2">
      <c r="A1623" s="42"/>
      <c r="B1623" s="42"/>
      <c r="C1623" s="42"/>
      <c r="D1623" s="42"/>
      <c r="E1623" s="42"/>
      <c r="F1623" s="42"/>
      <c r="G1623" s="42"/>
      <c r="H1623" s="42"/>
      <c r="I1623" s="42"/>
      <c r="J1623" s="42"/>
      <c r="K1623" s="42"/>
      <c r="L1623" s="42"/>
      <c r="M1623" s="42"/>
    </row>
    <row r="1624" spans="1:13" x14ac:dyDescent="0.2">
      <c r="A1624" s="42"/>
      <c r="B1624" s="42"/>
      <c r="C1624" s="42"/>
      <c r="D1624" s="42"/>
      <c r="E1624" s="42"/>
      <c r="F1624" s="42"/>
      <c r="G1624" s="42"/>
      <c r="H1624" s="42"/>
      <c r="I1624" s="42"/>
      <c r="J1624" s="42"/>
      <c r="K1624" s="42"/>
      <c r="L1624" s="42"/>
      <c r="M1624" s="42"/>
    </row>
    <row r="1625" spans="1:13" x14ac:dyDescent="0.2">
      <c r="A1625" s="42"/>
      <c r="B1625" s="42"/>
      <c r="C1625" s="42"/>
      <c r="D1625" s="42"/>
      <c r="E1625" s="42"/>
      <c r="F1625" s="42"/>
      <c r="G1625" s="42"/>
      <c r="H1625" s="42"/>
      <c r="I1625" s="42"/>
      <c r="J1625" s="42"/>
      <c r="K1625" s="42"/>
      <c r="L1625" s="42"/>
      <c r="M1625" s="42"/>
    </row>
    <row r="1626" spans="1:13" x14ac:dyDescent="0.2">
      <c r="A1626" s="42"/>
      <c r="B1626" s="42"/>
      <c r="C1626" s="42"/>
      <c r="D1626" s="42"/>
      <c r="E1626" s="42"/>
      <c r="F1626" s="42"/>
      <c r="G1626" s="42"/>
      <c r="H1626" s="42"/>
      <c r="I1626" s="42"/>
      <c r="J1626" s="42"/>
      <c r="K1626" s="42"/>
      <c r="L1626" s="42"/>
      <c r="M1626" s="42"/>
    </row>
    <row r="1627" spans="1:13" x14ac:dyDescent="0.2">
      <c r="A1627" s="42"/>
      <c r="B1627" s="42"/>
      <c r="C1627" s="42"/>
      <c r="D1627" s="42"/>
      <c r="E1627" s="42"/>
      <c r="F1627" s="42"/>
      <c r="G1627" s="42"/>
      <c r="H1627" s="42"/>
      <c r="I1627" s="42"/>
      <c r="J1627" s="42"/>
      <c r="K1627" s="42"/>
      <c r="L1627" s="42"/>
      <c r="M1627" s="42"/>
    </row>
    <row r="1628" spans="1:13" x14ac:dyDescent="0.2">
      <c r="A1628" s="42"/>
      <c r="B1628" s="42"/>
      <c r="C1628" s="42"/>
      <c r="D1628" s="42"/>
      <c r="E1628" s="42"/>
      <c r="F1628" s="42"/>
      <c r="G1628" s="42"/>
      <c r="H1628" s="42"/>
      <c r="I1628" s="42"/>
      <c r="J1628" s="42"/>
      <c r="K1628" s="42"/>
      <c r="L1628" s="42"/>
      <c r="M1628" s="42"/>
    </row>
    <row r="1629" spans="1:13" x14ac:dyDescent="0.2">
      <c r="A1629" s="42"/>
      <c r="B1629" s="42"/>
      <c r="C1629" s="42"/>
      <c r="D1629" s="42"/>
      <c r="E1629" s="42"/>
      <c r="F1629" s="42"/>
      <c r="G1629" s="42"/>
      <c r="H1629" s="42"/>
      <c r="I1629" s="42"/>
      <c r="J1629" s="42"/>
      <c r="K1629" s="42"/>
      <c r="L1629" s="42"/>
      <c r="M1629" s="42"/>
    </row>
    <row r="1630" spans="1:13" x14ac:dyDescent="0.2">
      <c r="A1630" s="42"/>
      <c r="B1630" s="42"/>
      <c r="C1630" s="42"/>
      <c r="D1630" s="42"/>
      <c r="E1630" s="42"/>
      <c r="F1630" s="42"/>
      <c r="G1630" s="42"/>
      <c r="H1630" s="42"/>
      <c r="I1630" s="42"/>
      <c r="J1630" s="42"/>
      <c r="K1630" s="42"/>
      <c r="L1630" s="42"/>
      <c r="M1630" s="42"/>
    </row>
    <row r="1631" spans="1:13" x14ac:dyDescent="0.2">
      <c r="A1631" s="42"/>
      <c r="B1631" s="42"/>
      <c r="C1631" s="42"/>
      <c r="D1631" s="42"/>
      <c r="E1631" s="42"/>
      <c r="F1631" s="42"/>
      <c r="G1631" s="42"/>
      <c r="H1631" s="42"/>
      <c r="I1631" s="42"/>
      <c r="J1631" s="42"/>
      <c r="K1631" s="42"/>
      <c r="L1631" s="42"/>
      <c r="M1631" s="42"/>
    </row>
    <row r="1632" spans="1:13" x14ac:dyDescent="0.2">
      <c r="A1632" s="42"/>
      <c r="B1632" s="42"/>
      <c r="C1632" s="42"/>
      <c r="D1632" s="42"/>
      <c r="E1632" s="42"/>
      <c r="F1632" s="42"/>
      <c r="G1632" s="42"/>
      <c r="H1632" s="42"/>
      <c r="I1632" s="42"/>
      <c r="J1632" s="42"/>
      <c r="K1632" s="42"/>
      <c r="L1632" s="42"/>
      <c r="M1632" s="42"/>
    </row>
    <row r="1633" spans="1:13" x14ac:dyDescent="0.2">
      <c r="A1633" s="42"/>
      <c r="B1633" s="42"/>
      <c r="C1633" s="42"/>
      <c r="D1633" s="42"/>
      <c r="E1633" s="42"/>
      <c r="F1633" s="42"/>
      <c r="G1633" s="42"/>
      <c r="H1633" s="42"/>
      <c r="I1633" s="42"/>
      <c r="J1633" s="42"/>
      <c r="K1633" s="42"/>
      <c r="L1633" s="42"/>
      <c r="M1633" s="42"/>
    </row>
    <row r="1634" spans="1:13" x14ac:dyDescent="0.2">
      <c r="A1634" s="42"/>
      <c r="B1634" s="42"/>
      <c r="C1634" s="42"/>
      <c r="D1634" s="42"/>
      <c r="E1634" s="42"/>
      <c r="F1634" s="42"/>
      <c r="G1634" s="42"/>
      <c r="H1634" s="42"/>
      <c r="I1634" s="42"/>
      <c r="J1634" s="42"/>
      <c r="K1634" s="42"/>
      <c r="L1634" s="42"/>
      <c r="M1634" s="42"/>
    </row>
    <row r="1635" spans="1:13" x14ac:dyDescent="0.2">
      <c r="A1635" s="42"/>
      <c r="B1635" s="42"/>
      <c r="C1635" s="42"/>
      <c r="D1635" s="42"/>
      <c r="E1635" s="42"/>
      <c r="F1635" s="42"/>
      <c r="G1635" s="42"/>
      <c r="H1635" s="42"/>
      <c r="I1635" s="42"/>
      <c r="J1635" s="42"/>
      <c r="K1635" s="42"/>
      <c r="L1635" s="42"/>
      <c r="M1635" s="42"/>
    </row>
    <row r="1636" spans="1:13" x14ac:dyDescent="0.2">
      <c r="A1636" s="42"/>
      <c r="B1636" s="42"/>
      <c r="C1636" s="42"/>
      <c r="D1636" s="42"/>
      <c r="E1636" s="42"/>
      <c r="F1636" s="42"/>
      <c r="G1636" s="42"/>
      <c r="H1636" s="42"/>
      <c r="I1636" s="42"/>
      <c r="J1636" s="42"/>
      <c r="K1636" s="42"/>
      <c r="L1636" s="42"/>
      <c r="M1636" s="42"/>
    </row>
    <row r="1637" spans="1:13" x14ac:dyDescent="0.2">
      <c r="A1637" s="42"/>
      <c r="B1637" s="42"/>
      <c r="C1637" s="42"/>
      <c r="D1637" s="42"/>
      <c r="E1637" s="42"/>
      <c r="F1637" s="42"/>
      <c r="G1637" s="42"/>
      <c r="H1637" s="42"/>
      <c r="I1637" s="42"/>
      <c r="J1637" s="42"/>
      <c r="K1637" s="42"/>
      <c r="L1637" s="42"/>
      <c r="M1637" s="42"/>
    </row>
    <row r="1638" spans="1:13" x14ac:dyDescent="0.2">
      <c r="A1638" s="42"/>
      <c r="B1638" s="42"/>
      <c r="C1638" s="42"/>
      <c r="D1638" s="42"/>
      <c r="E1638" s="42"/>
      <c r="F1638" s="42"/>
      <c r="G1638" s="42"/>
      <c r="H1638" s="42"/>
      <c r="I1638" s="42"/>
      <c r="J1638" s="42"/>
      <c r="K1638" s="42"/>
      <c r="L1638" s="42"/>
      <c r="M1638" s="42"/>
    </row>
    <row r="1639" spans="1:13" x14ac:dyDescent="0.2">
      <c r="A1639" s="42"/>
      <c r="B1639" s="42"/>
      <c r="C1639" s="42"/>
      <c r="D1639" s="42"/>
      <c r="E1639" s="42"/>
      <c r="F1639" s="42"/>
      <c r="G1639" s="42"/>
      <c r="H1639" s="42"/>
      <c r="I1639" s="42"/>
      <c r="J1639" s="42"/>
      <c r="K1639" s="42"/>
      <c r="L1639" s="42"/>
      <c r="M1639" s="42"/>
    </row>
    <row r="1640" spans="1:13" x14ac:dyDescent="0.2">
      <c r="A1640" s="42"/>
      <c r="B1640" s="42"/>
      <c r="C1640" s="42"/>
      <c r="D1640" s="42"/>
      <c r="E1640" s="42"/>
      <c r="F1640" s="42"/>
      <c r="G1640" s="42"/>
      <c r="H1640" s="42"/>
      <c r="I1640" s="42"/>
      <c r="J1640" s="42"/>
      <c r="K1640" s="42"/>
      <c r="L1640" s="42"/>
      <c r="M1640" s="42"/>
    </row>
    <row r="1641" spans="1:13" x14ac:dyDescent="0.2">
      <c r="A1641" s="42"/>
      <c r="B1641" s="42"/>
      <c r="C1641" s="42"/>
      <c r="D1641" s="42"/>
      <c r="E1641" s="42"/>
      <c r="F1641" s="42"/>
      <c r="G1641" s="42"/>
      <c r="H1641" s="42"/>
      <c r="I1641" s="42"/>
      <c r="J1641" s="42"/>
      <c r="K1641" s="42"/>
      <c r="L1641" s="42"/>
      <c r="M1641" s="42"/>
    </row>
    <row r="1642" spans="1:13" x14ac:dyDescent="0.2">
      <c r="A1642" s="42"/>
      <c r="B1642" s="42"/>
      <c r="C1642" s="42"/>
      <c r="D1642" s="42"/>
      <c r="E1642" s="42"/>
      <c r="F1642" s="42"/>
      <c r="G1642" s="42"/>
      <c r="H1642" s="42"/>
      <c r="I1642" s="42"/>
      <c r="J1642" s="42"/>
      <c r="K1642" s="42"/>
      <c r="L1642" s="42"/>
      <c r="M1642" s="42"/>
    </row>
    <row r="1643" spans="1:13" x14ac:dyDescent="0.2">
      <c r="A1643" s="42"/>
      <c r="B1643" s="42"/>
      <c r="C1643" s="42"/>
      <c r="D1643" s="42"/>
      <c r="E1643" s="42"/>
      <c r="F1643" s="42"/>
      <c r="G1643" s="42"/>
      <c r="H1643" s="42"/>
      <c r="I1643" s="42"/>
      <c r="J1643" s="42"/>
      <c r="K1643" s="42"/>
      <c r="L1643" s="42"/>
      <c r="M1643" s="42"/>
    </row>
    <row r="1644" spans="1:13" x14ac:dyDescent="0.2">
      <c r="A1644" s="42"/>
      <c r="B1644" s="42"/>
      <c r="C1644" s="42"/>
      <c r="D1644" s="42"/>
      <c r="E1644" s="42"/>
      <c r="F1644" s="42"/>
      <c r="G1644" s="42"/>
      <c r="H1644" s="42"/>
      <c r="I1644" s="42"/>
      <c r="J1644" s="42"/>
      <c r="K1644" s="42"/>
      <c r="L1644" s="42"/>
      <c r="M1644" s="42"/>
    </row>
    <row r="1645" spans="1:13" x14ac:dyDescent="0.2">
      <c r="A1645" s="42"/>
      <c r="B1645" s="42"/>
      <c r="C1645" s="42"/>
      <c r="D1645" s="42"/>
      <c r="E1645" s="42"/>
      <c r="F1645" s="42"/>
      <c r="G1645" s="42"/>
      <c r="H1645" s="42"/>
      <c r="I1645" s="42"/>
      <c r="J1645" s="42"/>
      <c r="K1645" s="42"/>
      <c r="L1645" s="42"/>
      <c r="M1645" s="42"/>
    </row>
    <row r="1646" spans="1:13" x14ac:dyDescent="0.2">
      <c r="A1646" s="42"/>
      <c r="B1646" s="42"/>
      <c r="C1646" s="42"/>
      <c r="D1646" s="42"/>
      <c r="E1646" s="42"/>
      <c r="F1646" s="42"/>
      <c r="G1646" s="42"/>
      <c r="H1646" s="42"/>
      <c r="I1646" s="42"/>
      <c r="J1646" s="42"/>
      <c r="K1646" s="42"/>
      <c r="L1646" s="42"/>
      <c r="M1646" s="42"/>
    </row>
    <row r="1647" spans="1:13" x14ac:dyDescent="0.2">
      <c r="A1647" s="42"/>
      <c r="B1647" s="42"/>
      <c r="C1647" s="42"/>
      <c r="D1647" s="42"/>
      <c r="E1647" s="42"/>
      <c r="F1647" s="42"/>
      <c r="G1647" s="42"/>
      <c r="H1647" s="42"/>
      <c r="I1647" s="42"/>
      <c r="J1647" s="42"/>
      <c r="K1647" s="42"/>
      <c r="L1647" s="42"/>
      <c r="M1647" s="42"/>
    </row>
    <row r="1648" spans="1:13" x14ac:dyDescent="0.2">
      <c r="A1648" s="42"/>
      <c r="B1648" s="42"/>
      <c r="C1648" s="42"/>
      <c r="D1648" s="42"/>
      <c r="E1648" s="42"/>
      <c r="F1648" s="42"/>
      <c r="G1648" s="42"/>
      <c r="H1648" s="42"/>
      <c r="I1648" s="42"/>
      <c r="J1648" s="42"/>
      <c r="K1648" s="42"/>
      <c r="L1648" s="42"/>
      <c r="M1648" s="42"/>
    </row>
    <row r="1649" spans="1:13" x14ac:dyDescent="0.2">
      <c r="A1649" s="42"/>
      <c r="B1649" s="42"/>
      <c r="C1649" s="42"/>
      <c r="D1649" s="42"/>
      <c r="E1649" s="42"/>
      <c r="F1649" s="42"/>
      <c r="G1649" s="42"/>
      <c r="H1649" s="42"/>
      <c r="I1649" s="42"/>
      <c r="J1649" s="42"/>
      <c r="K1649" s="42"/>
      <c r="L1649" s="42"/>
      <c r="M1649" s="42"/>
    </row>
    <row r="1650" spans="1:13" x14ac:dyDescent="0.2">
      <c r="A1650" s="42"/>
      <c r="B1650" s="42"/>
      <c r="C1650" s="42"/>
      <c r="D1650" s="42"/>
      <c r="E1650" s="42"/>
      <c r="F1650" s="42"/>
      <c r="G1650" s="42"/>
      <c r="H1650" s="42"/>
      <c r="I1650" s="42"/>
      <c r="J1650" s="42"/>
      <c r="K1650" s="42"/>
      <c r="L1650" s="42"/>
      <c r="M1650" s="42"/>
    </row>
    <row r="1651" spans="1:13" x14ac:dyDescent="0.2">
      <c r="A1651" s="42"/>
      <c r="B1651" s="42"/>
      <c r="C1651" s="42"/>
      <c r="D1651" s="42"/>
      <c r="E1651" s="42"/>
      <c r="F1651" s="42"/>
      <c r="G1651" s="42"/>
      <c r="H1651" s="42"/>
      <c r="I1651" s="42"/>
      <c r="J1651" s="42"/>
      <c r="K1651" s="42"/>
      <c r="L1651" s="42"/>
      <c r="M1651" s="42"/>
    </row>
    <row r="1652" spans="1:13" x14ac:dyDescent="0.2">
      <c r="A1652" s="42"/>
      <c r="B1652" s="42"/>
      <c r="C1652" s="42"/>
      <c r="D1652" s="42"/>
      <c r="E1652" s="42"/>
      <c r="F1652" s="42"/>
      <c r="G1652" s="42"/>
      <c r="H1652" s="42"/>
      <c r="I1652" s="42"/>
      <c r="J1652" s="42"/>
      <c r="K1652" s="42"/>
      <c r="L1652" s="42"/>
      <c r="M1652" s="42"/>
    </row>
    <row r="1653" spans="1:13" x14ac:dyDescent="0.2">
      <c r="A1653" s="42"/>
      <c r="B1653" s="42"/>
      <c r="C1653" s="42"/>
      <c r="D1653" s="42"/>
      <c r="E1653" s="42"/>
      <c r="F1653" s="42"/>
      <c r="G1653" s="42"/>
      <c r="H1653" s="42"/>
      <c r="I1653" s="42"/>
      <c r="J1653" s="42"/>
      <c r="K1653" s="42"/>
      <c r="L1653" s="42"/>
      <c r="M1653" s="42"/>
    </row>
    <row r="1654" spans="1:13" x14ac:dyDescent="0.2">
      <c r="A1654" s="42"/>
      <c r="B1654" s="42"/>
      <c r="C1654" s="42"/>
      <c r="D1654" s="42"/>
      <c r="E1654" s="42"/>
      <c r="F1654" s="42"/>
      <c r="G1654" s="42"/>
      <c r="H1654" s="42"/>
      <c r="I1654" s="42"/>
      <c r="J1654" s="42"/>
      <c r="K1654" s="42"/>
      <c r="L1654" s="42"/>
      <c r="M1654" s="42"/>
    </row>
    <row r="1655" spans="1:13" x14ac:dyDescent="0.2">
      <c r="A1655" s="42"/>
      <c r="B1655" s="42"/>
      <c r="C1655" s="42"/>
      <c r="D1655" s="42"/>
      <c r="E1655" s="42"/>
      <c r="F1655" s="42"/>
      <c r="G1655" s="42"/>
      <c r="H1655" s="42"/>
      <c r="I1655" s="42"/>
      <c r="J1655" s="42"/>
      <c r="K1655" s="42"/>
      <c r="L1655" s="42"/>
      <c r="M1655" s="42"/>
    </row>
    <row r="1656" spans="1:13" x14ac:dyDescent="0.2">
      <c r="A1656" s="42"/>
      <c r="B1656" s="42"/>
      <c r="C1656" s="42"/>
      <c r="D1656" s="42"/>
      <c r="E1656" s="42"/>
      <c r="F1656" s="42"/>
      <c r="G1656" s="42"/>
      <c r="H1656" s="42"/>
      <c r="I1656" s="42"/>
      <c r="J1656" s="42"/>
      <c r="K1656" s="42"/>
      <c r="L1656" s="42"/>
      <c r="M1656" s="42"/>
    </row>
    <row r="1657" spans="1:13" x14ac:dyDescent="0.2">
      <c r="A1657" s="42"/>
      <c r="B1657" s="42"/>
      <c r="C1657" s="42"/>
      <c r="D1657" s="42"/>
      <c r="E1657" s="42"/>
      <c r="F1657" s="42"/>
      <c r="G1657" s="42"/>
      <c r="H1657" s="42"/>
      <c r="I1657" s="42"/>
      <c r="J1657" s="42"/>
      <c r="K1657" s="42"/>
      <c r="L1657" s="42"/>
      <c r="M1657" s="42"/>
    </row>
    <row r="1658" spans="1:13" x14ac:dyDescent="0.2">
      <c r="A1658" s="42"/>
      <c r="B1658" s="42"/>
      <c r="C1658" s="42"/>
      <c r="D1658" s="42"/>
      <c r="E1658" s="42"/>
      <c r="F1658" s="42"/>
      <c r="G1658" s="42"/>
      <c r="H1658" s="42"/>
      <c r="I1658" s="42"/>
      <c r="J1658" s="42"/>
      <c r="K1658" s="42"/>
      <c r="L1658" s="42"/>
      <c r="M1658" s="42"/>
    </row>
    <row r="1659" spans="1:13" x14ac:dyDescent="0.2">
      <c r="A1659" s="42"/>
      <c r="B1659" s="42"/>
      <c r="C1659" s="42"/>
      <c r="D1659" s="42"/>
      <c r="E1659" s="42"/>
      <c r="F1659" s="42"/>
      <c r="G1659" s="42"/>
      <c r="H1659" s="42"/>
      <c r="I1659" s="42"/>
      <c r="J1659" s="42"/>
      <c r="K1659" s="42"/>
      <c r="L1659" s="42"/>
      <c r="M1659" s="42"/>
    </row>
    <row r="1660" spans="1:13" x14ac:dyDescent="0.2">
      <c r="A1660" s="42"/>
      <c r="B1660" s="42"/>
      <c r="C1660" s="42"/>
      <c r="D1660" s="42"/>
      <c r="E1660" s="42"/>
      <c r="F1660" s="42"/>
      <c r="G1660" s="42"/>
      <c r="H1660" s="42"/>
      <c r="I1660" s="42"/>
      <c r="J1660" s="42"/>
      <c r="K1660" s="42"/>
      <c r="L1660" s="42"/>
      <c r="M1660" s="42"/>
    </row>
    <row r="1661" spans="1:13" x14ac:dyDescent="0.2">
      <c r="A1661" s="42"/>
      <c r="B1661" s="42"/>
      <c r="C1661" s="42"/>
      <c r="D1661" s="42"/>
      <c r="E1661" s="42"/>
      <c r="F1661" s="42"/>
      <c r="G1661" s="42"/>
      <c r="H1661" s="42"/>
      <c r="I1661" s="42"/>
      <c r="J1661" s="42"/>
      <c r="K1661" s="42"/>
      <c r="L1661" s="42"/>
      <c r="M1661" s="42"/>
    </row>
    <row r="1662" spans="1:13" x14ac:dyDescent="0.2">
      <c r="A1662" s="42"/>
      <c r="B1662" s="42"/>
      <c r="C1662" s="42"/>
      <c r="D1662" s="42"/>
      <c r="E1662" s="42"/>
      <c r="F1662" s="42"/>
      <c r="G1662" s="42"/>
      <c r="H1662" s="42"/>
      <c r="I1662" s="42"/>
      <c r="J1662" s="42"/>
      <c r="K1662" s="42"/>
      <c r="L1662" s="42"/>
      <c r="M1662" s="42"/>
    </row>
    <row r="1663" spans="1:13" x14ac:dyDescent="0.2">
      <c r="A1663" s="42"/>
      <c r="B1663" s="42"/>
      <c r="C1663" s="42"/>
      <c r="D1663" s="42"/>
      <c r="E1663" s="42"/>
      <c r="F1663" s="42"/>
      <c r="G1663" s="42"/>
      <c r="H1663" s="42"/>
      <c r="I1663" s="42"/>
      <c r="J1663" s="42"/>
      <c r="K1663" s="42"/>
      <c r="L1663" s="42"/>
      <c r="M1663" s="42"/>
    </row>
    <row r="1664" spans="1:13" x14ac:dyDescent="0.2">
      <c r="A1664" s="42"/>
      <c r="B1664" s="42"/>
      <c r="C1664" s="42"/>
      <c r="D1664" s="42"/>
      <c r="E1664" s="42"/>
      <c r="F1664" s="42"/>
      <c r="G1664" s="42"/>
      <c r="H1664" s="42"/>
      <c r="I1664" s="42"/>
      <c r="J1664" s="42"/>
      <c r="K1664" s="42"/>
      <c r="L1664" s="42"/>
      <c r="M1664" s="42"/>
    </row>
    <row r="1665" spans="1:13" x14ac:dyDescent="0.2">
      <c r="A1665" s="42"/>
      <c r="B1665" s="42"/>
      <c r="C1665" s="42"/>
      <c r="D1665" s="42"/>
      <c r="E1665" s="42"/>
      <c r="F1665" s="42"/>
      <c r="G1665" s="42"/>
      <c r="H1665" s="42"/>
      <c r="I1665" s="42"/>
      <c r="J1665" s="42"/>
      <c r="K1665" s="42"/>
      <c r="L1665" s="42"/>
      <c r="M1665" s="42"/>
    </row>
    <row r="1666" spans="1:13" x14ac:dyDescent="0.2">
      <c r="A1666" s="42"/>
      <c r="B1666" s="42"/>
      <c r="C1666" s="42"/>
      <c r="D1666" s="42"/>
      <c r="E1666" s="42"/>
      <c r="F1666" s="42"/>
      <c r="G1666" s="42"/>
      <c r="H1666" s="42"/>
      <c r="I1666" s="42"/>
      <c r="J1666" s="42"/>
      <c r="K1666" s="42"/>
      <c r="L1666" s="42"/>
      <c r="M1666" s="42"/>
    </row>
    <row r="1667" spans="1:13" x14ac:dyDescent="0.2">
      <c r="A1667" s="42"/>
      <c r="B1667" s="42"/>
      <c r="C1667" s="42"/>
      <c r="D1667" s="42"/>
      <c r="E1667" s="42"/>
      <c r="F1667" s="42"/>
      <c r="G1667" s="42"/>
      <c r="H1667" s="42"/>
      <c r="I1667" s="42"/>
      <c r="J1667" s="42"/>
      <c r="K1667" s="42"/>
      <c r="L1667" s="42"/>
      <c r="M1667" s="42"/>
    </row>
    <row r="1668" spans="1:13" x14ac:dyDescent="0.2">
      <c r="A1668" s="42"/>
      <c r="B1668" s="42"/>
      <c r="C1668" s="42"/>
      <c r="D1668" s="42"/>
      <c r="E1668" s="42"/>
      <c r="F1668" s="42"/>
      <c r="G1668" s="42"/>
      <c r="H1668" s="42"/>
      <c r="I1668" s="42"/>
      <c r="J1668" s="42"/>
      <c r="K1668" s="42"/>
      <c r="L1668" s="42"/>
      <c r="M1668" s="42"/>
    </row>
    <row r="1669" spans="1:13" x14ac:dyDescent="0.2">
      <c r="A1669" s="42"/>
      <c r="B1669" s="42"/>
      <c r="C1669" s="42"/>
      <c r="D1669" s="42"/>
      <c r="E1669" s="42"/>
      <c r="F1669" s="42"/>
      <c r="G1669" s="42"/>
      <c r="H1669" s="42"/>
      <c r="I1669" s="42"/>
      <c r="J1669" s="42"/>
      <c r="K1669" s="42"/>
      <c r="L1669" s="42"/>
      <c r="M1669" s="42"/>
    </row>
    <row r="1670" spans="1:13" x14ac:dyDescent="0.2">
      <c r="A1670" s="42"/>
      <c r="B1670" s="42"/>
      <c r="C1670" s="42"/>
      <c r="D1670" s="42"/>
      <c r="E1670" s="42"/>
      <c r="F1670" s="42"/>
      <c r="G1670" s="42"/>
      <c r="H1670" s="42"/>
      <c r="I1670" s="42"/>
      <c r="J1670" s="42"/>
      <c r="K1670" s="42"/>
      <c r="L1670" s="42"/>
      <c r="M1670" s="42"/>
    </row>
    <row r="1671" spans="1:13" x14ac:dyDescent="0.2">
      <c r="A1671" s="42"/>
      <c r="B1671" s="42"/>
      <c r="C1671" s="42"/>
      <c r="D1671" s="42"/>
      <c r="E1671" s="42"/>
      <c r="F1671" s="42"/>
      <c r="G1671" s="42"/>
      <c r="H1671" s="42"/>
      <c r="I1671" s="42"/>
      <c r="J1671" s="42"/>
      <c r="K1671" s="42"/>
      <c r="L1671" s="42"/>
      <c r="M1671" s="42"/>
    </row>
    <row r="1672" spans="1:13" x14ac:dyDescent="0.2">
      <c r="A1672" s="42"/>
      <c r="B1672" s="42"/>
      <c r="C1672" s="42"/>
      <c r="D1672" s="42"/>
      <c r="E1672" s="42"/>
      <c r="F1672" s="42"/>
      <c r="G1672" s="42"/>
      <c r="H1672" s="42"/>
      <c r="I1672" s="42"/>
      <c r="J1672" s="42"/>
      <c r="K1672" s="42"/>
      <c r="L1672" s="42"/>
      <c r="M1672" s="42"/>
    </row>
    <row r="1673" spans="1:13" x14ac:dyDescent="0.2">
      <c r="A1673" s="42"/>
      <c r="B1673" s="42"/>
      <c r="C1673" s="42"/>
      <c r="D1673" s="42"/>
      <c r="E1673" s="42"/>
      <c r="F1673" s="42"/>
      <c r="G1673" s="42"/>
      <c r="H1673" s="42"/>
      <c r="I1673" s="42"/>
      <c r="J1673" s="42"/>
      <c r="K1673" s="42"/>
      <c r="L1673" s="42"/>
      <c r="M1673" s="42"/>
    </row>
    <row r="1674" spans="1:13" x14ac:dyDescent="0.2">
      <c r="A1674" s="42"/>
      <c r="B1674" s="42"/>
      <c r="C1674" s="42"/>
      <c r="D1674" s="42"/>
      <c r="E1674" s="42"/>
      <c r="F1674" s="42"/>
      <c r="G1674" s="42"/>
      <c r="H1674" s="42"/>
      <c r="I1674" s="42"/>
      <c r="J1674" s="42"/>
      <c r="K1674" s="42"/>
      <c r="L1674" s="42"/>
      <c r="M1674" s="42"/>
    </row>
    <row r="1675" spans="1:13" x14ac:dyDescent="0.2">
      <c r="A1675" s="42"/>
      <c r="B1675" s="42"/>
      <c r="C1675" s="42"/>
      <c r="D1675" s="42"/>
      <c r="E1675" s="42"/>
      <c r="F1675" s="42"/>
      <c r="G1675" s="42"/>
      <c r="H1675" s="42"/>
      <c r="I1675" s="42"/>
      <c r="J1675" s="42"/>
      <c r="K1675" s="42"/>
      <c r="L1675" s="42"/>
      <c r="M1675" s="42"/>
    </row>
    <row r="1676" spans="1:13" x14ac:dyDescent="0.2">
      <c r="A1676" s="42"/>
      <c r="B1676" s="42"/>
      <c r="C1676" s="42"/>
      <c r="D1676" s="42"/>
      <c r="E1676" s="42"/>
      <c r="F1676" s="42"/>
      <c r="G1676" s="42"/>
      <c r="H1676" s="42"/>
      <c r="I1676" s="42"/>
      <c r="J1676" s="42"/>
      <c r="K1676" s="42"/>
      <c r="L1676" s="42"/>
      <c r="M1676" s="42"/>
    </row>
    <row r="1677" spans="1:13" x14ac:dyDescent="0.2">
      <c r="A1677" s="42"/>
      <c r="B1677" s="42"/>
      <c r="C1677" s="42"/>
      <c r="D1677" s="42"/>
      <c r="E1677" s="42"/>
      <c r="F1677" s="42"/>
      <c r="G1677" s="42"/>
      <c r="H1677" s="42"/>
      <c r="I1677" s="42"/>
      <c r="J1677" s="42"/>
      <c r="K1677" s="42"/>
      <c r="L1677" s="42"/>
      <c r="M1677" s="42"/>
    </row>
    <row r="1678" spans="1:13" x14ac:dyDescent="0.2">
      <c r="A1678" s="42"/>
      <c r="B1678" s="42"/>
      <c r="C1678" s="42"/>
      <c r="D1678" s="42"/>
      <c r="E1678" s="42"/>
      <c r="F1678" s="42"/>
      <c r="G1678" s="42"/>
      <c r="H1678" s="42"/>
      <c r="I1678" s="42"/>
      <c r="J1678" s="42"/>
      <c r="K1678" s="42"/>
      <c r="L1678" s="42"/>
      <c r="M1678" s="42"/>
    </row>
    <row r="1679" spans="1:13" x14ac:dyDescent="0.2">
      <c r="A1679" s="42"/>
      <c r="B1679" s="42"/>
      <c r="C1679" s="42"/>
      <c r="D1679" s="42"/>
      <c r="E1679" s="42"/>
      <c r="F1679" s="42"/>
      <c r="G1679" s="42"/>
      <c r="H1679" s="42"/>
      <c r="I1679" s="42"/>
      <c r="J1679" s="42"/>
      <c r="K1679" s="42"/>
      <c r="L1679" s="42"/>
      <c r="M1679" s="42"/>
    </row>
    <row r="1680" spans="1:13" x14ac:dyDescent="0.2">
      <c r="A1680" s="42"/>
      <c r="B1680" s="42"/>
      <c r="C1680" s="42"/>
      <c r="D1680" s="42"/>
      <c r="E1680" s="42"/>
      <c r="F1680" s="42"/>
      <c r="G1680" s="42"/>
      <c r="H1680" s="42"/>
      <c r="I1680" s="42"/>
      <c r="J1680" s="42"/>
      <c r="K1680" s="42"/>
      <c r="L1680" s="42"/>
      <c r="M1680" s="42"/>
    </row>
    <row r="1681" spans="1:13" x14ac:dyDescent="0.2">
      <c r="A1681" s="42"/>
      <c r="B1681" s="42"/>
      <c r="C1681" s="42"/>
      <c r="D1681" s="42"/>
      <c r="E1681" s="42"/>
      <c r="F1681" s="42"/>
      <c r="G1681" s="42"/>
      <c r="H1681" s="42"/>
      <c r="I1681" s="42"/>
      <c r="J1681" s="42"/>
      <c r="K1681" s="42"/>
      <c r="L1681" s="42"/>
      <c r="M1681" s="42"/>
    </row>
    <row r="1682" spans="1:13" x14ac:dyDescent="0.2">
      <c r="A1682" s="42"/>
      <c r="B1682" s="42"/>
      <c r="C1682" s="42"/>
      <c r="D1682" s="42"/>
      <c r="E1682" s="42"/>
      <c r="F1682" s="42"/>
      <c r="G1682" s="42"/>
      <c r="H1682" s="42"/>
      <c r="I1682" s="42"/>
      <c r="J1682" s="42"/>
      <c r="K1682" s="42"/>
      <c r="L1682" s="42"/>
      <c r="M1682" s="42"/>
    </row>
    <row r="1683" spans="1:13" x14ac:dyDescent="0.2">
      <c r="A1683" s="42"/>
      <c r="B1683" s="42"/>
      <c r="C1683" s="42"/>
      <c r="D1683" s="42"/>
      <c r="E1683" s="42"/>
      <c r="F1683" s="42"/>
      <c r="G1683" s="42"/>
      <c r="H1683" s="42"/>
      <c r="I1683" s="42"/>
      <c r="J1683" s="42"/>
      <c r="K1683" s="42"/>
      <c r="L1683" s="42"/>
      <c r="M1683" s="42"/>
    </row>
    <row r="1684" spans="1:13" x14ac:dyDescent="0.2">
      <c r="A1684" s="42"/>
      <c r="B1684" s="42"/>
      <c r="C1684" s="42"/>
      <c r="D1684" s="42"/>
      <c r="E1684" s="42"/>
      <c r="F1684" s="42"/>
      <c r="G1684" s="42"/>
      <c r="H1684" s="42"/>
      <c r="I1684" s="42"/>
      <c r="J1684" s="42"/>
      <c r="K1684" s="42"/>
      <c r="L1684" s="42"/>
      <c r="M1684" s="42"/>
    </row>
    <row r="1685" spans="1:13" x14ac:dyDescent="0.2">
      <c r="A1685" s="42"/>
      <c r="B1685" s="42"/>
      <c r="C1685" s="42"/>
      <c r="D1685" s="42"/>
      <c r="E1685" s="42"/>
      <c r="F1685" s="42"/>
      <c r="G1685" s="42"/>
      <c r="H1685" s="42"/>
      <c r="I1685" s="42"/>
      <c r="J1685" s="42"/>
      <c r="K1685" s="42"/>
      <c r="L1685" s="42"/>
      <c r="M1685" s="42"/>
    </row>
    <row r="1686" spans="1:13" x14ac:dyDescent="0.2">
      <c r="A1686" s="42"/>
      <c r="B1686" s="42"/>
      <c r="C1686" s="42"/>
      <c r="D1686" s="42"/>
      <c r="E1686" s="42"/>
      <c r="F1686" s="42"/>
      <c r="G1686" s="42"/>
      <c r="H1686" s="42"/>
      <c r="I1686" s="42"/>
      <c r="J1686" s="42"/>
      <c r="K1686" s="42"/>
      <c r="L1686" s="42"/>
      <c r="M1686" s="42"/>
    </row>
    <row r="1687" spans="1:13" x14ac:dyDescent="0.2">
      <c r="A1687" s="42"/>
      <c r="B1687" s="42"/>
      <c r="C1687" s="42"/>
      <c r="D1687" s="42"/>
      <c r="E1687" s="42"/>
      <c r="F1687" s="42"/>
      <c r="G1687" s="42"/>
      <c r="H1687" s="42"/>
      <c r="I1687" s="42"/>
      <c r="J1687" s="42"/>
      <c r="K1687" s="42"/>
      <c r="L1687" s="42"/>
      <c r="M1687" s="42"/>
    </row>
    <row r="1688" spans="1:13" x14ac:dyDescent="0.2">
      <c r="A1688" s="42"/>
      <c r="B1688" s="42"/>
      <c r="C1688" s="42"/>
      <c r="D1688" s="42"/>
      <c r="E1688" s="42"/>
      <c r="F1688" s="42"/>
      <c r="G1688" s="42"/>
      <c r="H1688" s="42"/>
      <c r="I1688" s="42"/>
      <c r="J1688" s="42"/>
      <c r="K1688" s="42"/>
      <c r="L1688" s="42"/>
      <c r="M1688" s="42"/>
    </row>
    <row r="1689" spans="1:13" x14ac:dyDescent="0.2">
      <c r="A1689" s="42"/>
      <c r="B1689" s="42"/>
      <c r="C1689" s="42"/>
      <c r="D1689" s="42"/>
      <c r="E1689" s="42"/>
      <c r="F1689" s="42"/>
      <c r="G1689" s="42"/>
      <c r="H1689" s="42"/>
      <c r="I1689" s="42"/>
      <c r="J1689" s="42"/>
      <c r="K1689" s="42"/>
      <c r="L1689" s="42"/>
      <c r="M1689" s="42"/>
    </row>
    <row r="1690" spans="1:13" x14ac:dyDescent="0.2">
      <c r="A1690" s="42"/>
      <c r="B1690" s="42"/>
      <c r="C1690" s="42"/>
      <c r="D1690" s="42"/>
      <c r="E1690" s="42"/>
      <c r="F1690" s="42"/>
      <c r="G1690" s="42"/>
      <c r="H1690" s="42"/>
      <c r="I1690" s="42"/>
      <c r="J1690" s="42"/>
      <c r="K1690" s="42"/>
      <c r="L1690" s="42"/>
      <c r="M1690" s="42"/>
    </row>
    <row r="1691" spans="1:13" x14ac:dyDescent="0.2">
      <c r="A1691" s="42"/>
      <c r="B1691" s="42"/>
      <c r="C1691" s="42"/>
      <c r="D1691" s="42"/>
      <c r="E1691" s="42"/>
      <c r="F1691" s="42"/>
      <c r="G1691" s="42"/>
      <c r="H1691" s="42"/>
      <c r="I1691" s="42"/>
      <c r="J1691" s="42"/>
      <c r="K1691" s="42"/>
      <c r="L1691" s="42"/>
      <c r="M1691" s="42"/>
    </row>
    <row r="1692" spans="1:13" x14ac:dyDescent="0.2">
      <c r="A1692" s="42"/>
      <c r="B1692" s="42"/>
      <c r="C1692" s="42"/>
      <c r="D1692" s="42"/>
      <c r="E1692" s="42"/>
      <c r="F1692" s="42"/>
      <c r="G1692" s="42"/>
      <c r="H1692" s="42"/>
      <c r="I1692" s="42"/>
      <c r="J1692" s="42"/>
      <c r="K1692" s="42"/>
      <c r="L1692" s="42"/>
      <c r="M1692" s="42"/>
    </row>
    <row r="1693" spans="1:13" x14ac:dyDescent="0.2">
      <c r="A1693" s="42"/>
      <c r="B1693" s="42"/>
      <c r="C1693" s="42"/>
      <c r="D1693" s="42"/>
      <c r="E1693" s="42"/>
      <c r="F1693" s="42"/>
      <c r="G1693" s="42"/>
      <c r="H1693" s="42"/>
      <c r="I1693" s="42"/>
      <c r="J1693" s="42"/>
      <c r="K1693" s="42"/>
      <c r="L1693" s="42"/>
      <c r="M1693" s="42"/>
    </row>
    <row r="1694" spans="1:13" x14ac:dyDescent="0.2">
      <c r="A1694" s="42"/>
      <c r="B1694" s="42"/>
      <c r="C1694" s="42"/>
      <c r="D1694" s="42"/>
      <c r="E1694" s="42"/>
      <c r="F1694" s="42"/>
      <c r="G1694" s="42"/>
      <c r="H1694" s="42"/>
      <c r="I1694" s="42"/>
      <c r="J1694" s="42"/>
      <c r="K1694" s="42"/>
      <c r="L1694" s="42"/>
      <c r="M1694" s="42"/>
    </row>
    <row r="1695" spans="1:13" x14ac:dyDescent="0.2">
      <c r="A1695" s="42"/>
      <c r="B1695" s="42"/>
      <c r="C1695" s="42"/>
      <c r="D1695" s="42"/>
      <c r="E1695" s="42"/>
      <c r="F1695" s="42"/>
      <c r="G1695" s="42"/>
      <c r="H1695" s="42"/>
      <c r="I1695" s="42"/>
      <c r="J1695" s="42"/>
      <c r="K1695" s="42"/>
      <c r="L1695" s="42"/>
      <c r="M1695" s="42"/>
    </row>
    <row r="1696" spans="1:13" x14ac:dyDescent="0.2">
      <c r="A1696" s="42"/>
      <c r="B1696" s="42"/>
      <c r="C1696" s="42"/>
      <c r="D1696" s="42"/>
      <c r="E1696" s="42"/>
      <c r="F1696" s="42"/>
      <c r="G1696" s="42"/>
      <c r="H1696" s="42"/>
      <c r="I1696" s="42"/>
      <c r="J1696" s="42"/>
      <c r="K1696" s="42"/>
      <c r="L1696" s="42"/>
      <c r="M1696" s="42"/>
    </row>
    <row r="1697" spans="1:13" x14ac:dyDescent="0.2">
      <c r="A1697" s="42"/>
      <c r="B1697" s="42"/>
      <c r="C1697" s="42"/>
      <c r="D1697" s="42"/>
      <c r="E1697" s="42"/>
      <c r="F1697" s="42"/>
      <c r="G1697" s="42"/>
      <c r="H1697" s="42"/>
      <c r="I1697" s="42"/>
      <c r="J1697" s="42"/>
      <c r="K1697" s="42"/>
      <c r="L1697" s="42"/>
      <c r="M1697" s="42"/>
    </row>
    <row r="1698" spans="1:13" x14ac:dyDescent="0.2">
      <c r="A1698" s="42"/>
      <c r="B1698" s="42"/>
      <c r="C1698" s="42"/>
      <c r="D1698" s="42"/>
      <c r="E1698" s="42"/>
      <c r="F1698" s="42"/>
      <c r="G1698" s="42"/>
      <c r="H1698" s="42"/>
      <c r="I1698" s="42"/>
      <c r="J1698" s="42"/>
      <c r="K1698" s="42"/>
      <c r="L1698" s="42"/>
      <c r="M1698" s="42"/>
    </row>
    <row r="1699" spans="1:13" x14ac:dyDescent="0.2">
      <c r="A1699" s="42"/>
      <c r="B1699" s="42"/>
      <c r="C1699" s="42"/>
      <c r="D1699" s="42"/>
      <c r="E1699" s="42"/>
      <c r="F1699" s="42"/>
      <c r="G1699" s="42"/>
      <c r="H1699" s="42"/>
      <c r="I1699" s="42"/>
      <c r="J1699" s="42"/>
      <c r="K1699" s="42"/>
      <c r="L1699" s="42"/>
      <c r="M1699" s="42"/>
    </row>
    <row r="1700" spans="1:13" x14ac:dyDescent="0.2">
      <c r="A1700" s="42"/>
      <c r="B1700" s="42"/>
      <c r="C1700" s="42"/>
      <c r="D1700" s="42"/>
      <c r="E1700" s="42"/>
      <c r="F1700" s="42"/>
      <c r="G1700" s="42"/>
      <c r="H1700" s="42"/>
      <c r="I1700" s="42"/>
      <c r="J1700" s="42"/>
      <c r="K1700" s="42"/>
      <c r="L1700" s="42"/>
      <c r="M1700" s="42"/>
    </row>
    <row r="1701" spans="1:13" x14ac:dyDescent="0.2">
      <c r="A1701" s="42"/>
      <c r="B1701" s="42"/>
      <c r="C1701" s="42"/>
      <c r="D1701" s="42"/>
      <c r="E1701" s="42"/>
      <c r="F1701" s="42"/>
      <c r="G1701" s="42"/>
      <c r="H1701" s="42"/>
      <c r="I1701" s="42"/>
      <c r="J1701" s="42"/>
      <c r="K1701" s="42"/>
      <c r="L1701" s="42"/>
      <c r="M1701" s="42"/>
    </row>
    <row r="1702" spans="1:13" x14ac:dyDescent="0.2">
      <c r="A1702" s="42"/>
      <c r="B1702" s="42"/>
      <c r="C1702" s="42"/>
      <c r="D1702" s="42"/>
      <c r="E1702" s="42"/>
      <c r="F1702" s="42"/>
      <c r="G1702" s="42"/>
      <c r="H1702" s="42"/>
      <c r="I1702" s="42"/>
      <c r="J1702" s="42"/>
      <c r="K1702" s="42"/>
      <c r="L1702" s="42"/>
      <c r="M1702" s="42"/>
    </row>
    <row r="1703" spans="1:13" x14ac:dyDescent="0.2">
      <c r="A1703" s="42"/>
      <c r="B1703" s="42"/>
      <c r="C1703" s="42"/>
      <c r="D1703" s="42"/>
      <c r="E1703" s="42"/>
      <c r="F1703" s="42"/>
      <c r="G1703" s="42"/>
      <c r="H1703" s="42"/>
      <c r="I1703" s="42"/>
      <c r="J1703" s="42"/>
      <c r="K1703" s="42"/>
      <c r="L1703" s="42"/>
      <c r="M1703" s="42"/>
    </row>
    <row r="1704" spans="1:13" x14ac:dyDescent="0.2">
      <c r="A1704" s="42"/>
      <c r="B1704" s="42"/>
      <c r="C1704" s="42"/>
      <c r="D1704" s="42"/>
      <c r="E1704" s="42"/>
      <c r="F1704" s="42"/>
      <c r="G1704" s="42"/>
      <c r="H1704" s="42"/>
      <c r="I1704" s="42"/>
      <c r="J1704" s="42"/>
      <c r="K1704" s="42"/>
      <c r="L1704" s="42"/>
      <c r="M1704" s="42"/>
    </row>
    <row r="1705" spans="1:13" x14ac:dyDescent="0.2">
      <c r="A1705" s="42"/>
      <c r="B1705" s="42"/>
      <c r="C1705" s="42"/>
      <c r="D1705" s="42"/>
      <c r="E1705" s="42"/>
      <c r="F1705" s="42"/>
      <c r="G1705" s="42"/>
      <c r="H1705" s="42"/>
      <c r="I1705" s="42"/>
      <c r="J1705" s="42"/>
      <c r="K1705" s="42"/>
      <c r="L1705" s="42"/>
      <c r="M1705" s="42"/>
    </row>
    <row r="1706" spans="1:13" x14ac:dyDescent="0.2">
      <c r="A1706" s="42"/>
      <c r="B1706" s="42"/>
      <c r="C1706" s="42"/>
      <c r="D1706" s="42"/>
      <c r="E1706" s="42"/>
      <c r="F1706" s="42"/>
      <c r="G1706" s="42"/>
      <c r="H1706" s="42"/>
      <c r="I1706" s="42"/>
      <c r="J1706" s="42"/>
      <c r="K1706" s="42"/>
      <c r="L1706" s="42"/>
      <c r="M1706" s="42"/>
    </row>
    <row r="1707" spans="1:13" x14ac:dyDescent="0.2">
      <c r="A1707" s="42"/>
      <c r="B1707" s="42"/>
      <c r="C1707" s="42"/>
      <c r="D1707" s="42"/>
      <c r="E1707" s="42"/>
      <c r="F1707" s="42"/>
      <c r="G1707" s="42"/>
      <c r="H1707" s="42"/>
      <c r="I1707" s="42"/>
      <c r="J1707" s="42"/>
      <c r="K1707" s="42"/>
      <c r="L1707" s="42"/>
      <c r="M1707" s="42"/>
    </row>
    <row r="1708" spans="1:13" x14ac:dyDescent="0.2">
      <c r="A1708" s="42"/>
      <c r="B1708" s="42"/>
      <c r="C1708" s="42"/>
      <c r="D1708" s="42"/>
      <c r="E1708" s="42"/>
      <c r="F1708" s="42"/>
      <c r="G1708" s="42"/>
      <c r="H1708" s="42"/>
      <c r="I1708" s="42"/>
      <c r="J1708" s="42"/>
      <c r="K1708" s="42"/>
      <c r="L1708" s="42"/>
      <c r="M1708" s="42"/>
    </row>
    <row r="1709" spans="1:13" x14ac:dyDescent="0.2">
      <c r="A1709" s="42"/>
      <c r="B1709" s="42"/>
      <c r="C1709" s="42"/>
      <c r="D1709" s="42"/>
      <c r="E1709" s="42"/>
      <c r="F1709" s="42"/>
      <c r="G1709" s="42"/>
      <c r="H1709" s="42"/>
      <c r="I1709" s="42"/>
      <c r="J1709" s="42"/>
      <c r="K1709" s="42"/>
      <c r="L1709" s="42"/>
      <c r="M1709" s="42"/>
    </row>
    <row r="1710" spans="1:13" x14ac:dyDescent="0.2">
      <c r="A1710" s="42"/>
      <c r="B1710" s="42"/>
      <c r="C1710" s="42"/>
      <c r="D1710" s="42"/>
      <c r="E1710" s="42"/>
      <c r="F1710" s="42"/>
      <c r="G1710" s="42"/>
      <c r="H1710" s="42"/>
      <c r="I1710" s="42"/>
      <c r="J1710" s="42"/>
      <c r="K1710" s="42"/>
      <c r="L1710" s="42"/>
      <c r="M1710" s="42"/>
    </row>
    <row r="1711" spans="1:13" x14ac:dyDescent="0.2">
      <c r="A1711" s="42"/>
      <c r="B1711" s="42"/>
      <c r="C1711" s="42"/>
      <c r="D1711" s="42"/>
      <c r="E1711" s="42"/>
      <c r="F1711" s="42"/>
      <c r="G1711" s="42"/>
      <c r="H1711" s="42"/>
      <c r="I1711" s="42"/>
      <c r="J1711" s="42"/>
      <c r="K1711" s="42"/>
      <c r="L1711" s="42"/>
      <c r="M1711" s="42"/>
    </row>
    <row r="1712" spans="1:13" x14ac:dyDescent="0.2">
      <c r="A1712" s="42"/>
      <c r="B1712" s="42"/>
      <c r="C1712" s="42"/>
      <c r="D1712" s="42"/>
      <c r="E1712" s="42"/>
      <c r="F1712" s="42"/>
      <c r="G1712" s="42"/>
      <c r="H1712" s="42"/>
      <c r="I1712" s="42"/>
      <c r="J1712" s="42"/>
      <c r="K1712" s="42"/>
      <c r="L1712" s="42"/>
      <c r="M1712" s="42"/>
    </row>
    <row r="1713" spans="1:13" x14ac:dyDescent="0.2">
      <c r="A1713" s="42"/>
      <c r="B1713" s="42"/>
      <c r="C1713" s="42"/>
      <c r="D1713" s="42"/>
      <c r="E1713" s="42"/>
      <c r="F1713" s="42"/>
      <c r="G1713" s="42"/>
      <c r="H1713" s="42"/>
      <c r="I1713" s="42"/>
      <c r="J1713" s="42"/>
      <c r="K1713" s="42"/>
      <c r="L1713" s="42"/>
      <c r="M1713" s="42"/>
    </row>
    <row r="1714" spans="1:13" x14ac:dyDescent="0.2">
      <c r="A1714" s="42"/>
      <c r="B1714" s="42"/>
      <c r="C1714" s="42"/>
      <c r="D1714" s="42"/>
      <c r="E1714" s="42"/>
      <c r="F1714" s="42"/>
      <c r="G1714" s="42"/>
      <c r="H1714" s="42"/>
      <c r="I1714" s="42"/>
      <c r="J1714" s="42"/>
      <c r="K1714" s="42"/>
      <c r="L1714" s="42"/>
      <c r="M1714" s="42"/>
    </row>
    <row r="1715" spans="1:13" x14ac:dyDescent="0.2">
      <c r="A1715" s="42"/>
      <c r="B1715" s="42"/>
      <c r="C1715" s="42"/>
      <c r="D1715" s="42"/>
      <c r="E1715" s="42"/>
      <c r="F1715" s="42"/>
      <c r="G1715" s="42"/>
      <c r="H1715" s="42"/>
      <c r="I1715" s="42"/>
      <c r="J1715" s="42"/>
      <c r="K1715" s="42"/>
      <c r="L1715" s="42"/>
      <c r="M1715" s="42"/>
    </row>
    <row r="1716" spans="1:13" x14ac:dyDescent="0.2">
      <c r="A1716" s="42"/>
      <c r="B1716" s="42"/>
      <c r="C1716" s="42"/>
      <c r="D1716" s="42"/>
      <c r="E1716" s="42"/>
      <c r="F1716" s="42"/>
      <c r="G1716" s="42"/>
      <c r="H1716" s="42"/>
      <c r="I1716" s="42"/>
      <c r="J1716" s="42"/>
      <c r="K1716" s="42"/>
      <c r="L1716" s="42"/>
      <c r="M1716" s="42"/>
    </row>
    <row r="1717" spans="1:13" x14ac:dyDescent="0.2">
      <c r="A1717" s="42"/>
      <c r="B1717" s="42"/>
      <c r="C1717" s="42"/>
      <c r="D1717" s="42"/>
      <c r="E1717" s="42"/>
      <c r="F1717" s="42"/>
      <c r="G1717" s="42"/>
      <c r="H1717" s="42"/>
      <c r="I1717" s="42"/>
      <c r="J1717" s="42"/>
      <c r="K1717" s="42"/>
      <c r="L1717" s="42"/>
      <c r="M1717" s="42"/>
    </row>
    <row r="1718" spans="1:13" x14ac:dyDescent="0.2">
      <c r="A1718" s="42"/>
      <c r="B1718" s="42"/>
      <c r="C1718" s="42"/>
      <c r="D1718" s="42"/>
      <c r="E1718" s="42"/>
      <c r="F1718" s="42"/>
      <c r="G1718" s="42"/>
      <c r="H1718" s="42"/>
      <c r="I1718" s="42"/>
      <c r="J1718" s="42"/>
      <c r="K1718" s="42"/>
      <c r="L1718" s="42"/>
      <c r="M1718" s="42"/>
    </row>
    <row r="1719" spans="1:13" x14ac:dyDescent="0.2">
      <c r="A1719" s="42"/>
      <c r="B1719" s="42"/>
      <c r="C1719" s="42"/>
      <c r="D1719" s="42"/>
      <c r="E1719" s="42"/>
      <c r="F1719" s="42"/>
      <c r="G1719" s="42"/>
      <c r="H1719" s="42"/>
      <c r="I1719" s="42"/>
      <c r="J1719" s="42"/>
      <c r="K1719" s="42"/>
      <c r="L1719" s="42"/>
      <c r="M1719" s="42"/>
    </row>
    <row r="1720" spans="1:13" x14ac:dyDescent="0.2">
      <c r="A1720" s="42"/>
      <c r="B1720" s="42"/>
      <c r="C1720" s="42"/>
      <c r="D1720" s="42"/>
      <c r="E1720" s="42"/>
      <c r="F1720" s="42"/>
      <c r="G1720" s="42"/>
      <c r="H1720" s="42"/>
      <c r="I1720" s="42"/>
      <c r="J1720" s="42"/>
      <c r="K1720" s="42"/>
      <c r="L1720" s="42"/>
      <c r="M1720" s="42"/>
    </row>
    <row r="1721" spans="1:13" x14ac:dyDescent="0.2">
      <c r="A1721" s="42"/>
      <c r="B1721" s="42"/>
      <c r="C1721" s="42"/>
      <c r="D1721" s="42"/>
      <c r="E1721" s="42"/>
      <c r="F1721" s="42"/>
      <c r="G1721" s="42"/>
      <c r="H1721" s="42"/>
      <c r="I1721" s="42"/>
      <c r="J1721" s="42"/>
      <c r="K1721" s="42"/>
      <c r="L1721" s="42"/>
      <c r="M1721" s="42"/>
    </row>
    <row r="1722" spans="1:13" x14ac:dyDescent="0.2">
      <c r="A1722" s="42"/>
      <c r="B1722" s="42"/>
      <c r="C1722" s="42"/>
      <c r="D1722" s="42"/>
      <c r="E1722" s="42"/>
      <c r="F1722" s="42"/>
      <c r="G1722" s="42"/>
      <c r="H1722" s="42"/>
      <c r="I1722" s="42"/>
      <c r="J1722" s="42"/>
      <c r="K1722" s="42"/>
      <c r="L1722" s="42"/>
      <c r="M1722" s="42"/>
    </row>
    <row r="1723" spans="1:13" x14ac:dyDescent="0.2">
      <c r="A1723" s="42"/>
      <c r="B1723" s="42"/>
      <c r="C1723" s="42"/>
      <c r="D1723" s="42"/>
      <c r="E1723" s="42"/>
      <c r="F1723" s="42"/>
      <c r="G1723" s="42"/>
      <c r="H1723" s="42"/>
      <c r="I1723" s="42"/>
      <c r="J1723" s="42"/>
      <c r="K1723" s="42"/>
      <c r="L1723" s="42"/>
      <c r="M1723" s="42"/>
    </row>
    <row r="1724" spans="1:13" x14ac:dyDescent="0.2">
      <c r="A1724" s="42"/>
      <c r="B1724" s="42"/>
      <c r="C1724" s="42"/>
      <c r="D1724" s="42"/>
      <c r="E1724" s="42"/>
      <c r="F1724" s="42"/>
      <c r="G1724" s="42"/>
      <c r="H1724" s="42"/>
      <c r="I1724" s="42"/>
      <c r="J1724" s="42"/>
      <c r="K1724" s="42"/>
      <c r="L1724" s="42"/>
      <c r="M1724" s="42"/>
    </row>
    <row r="1725" spans="1:13" x14ac:dyDescent="0.2">
      <c r="A1725" s="42"/>
      <c r="B1725" s="42"/>
      <c r="C1725" s="42"/>
      <c r="D1725" s="42"/>
      <c r="E1725" s="42"/>
      <c r="F1725" s="42"/>
      <c r="G1725" s="42"/>
      <c r="H1725" s="42"/>
      <c r="I1725" s="42"/>
      <c r="J1725" s="42"/>
      <c r="K1725" s="42"/>
      <c r="L1725" s="42"/>
      <c r="M1725" s="42"/>
    </row>
    <row r="1726" spans="1:13" x14ac:dyDescent="0.2">
      <c r="A1726" s="42"/>
      <c r="B1726" s="42"/>
      <c r="C1726" s="42"/>
      <c r="D1726" s="42"/>
      <c r="E1726" s="42"/>
      <c r="F1726" s="42"/>
      <c r="G1726" s="42"/>
      <c r="H1726" s="42"/>
      <c r="I1726" s="42"/>
      <c r="J1726" s="42"/>
      <c r="K1726" s="42"/>
      <c r="L1726" s="42"/>
      <c r="M1726" s="42"/>
    </row>
    <row r="1727" spans="1:13" x14ac:dyDescent="0.2">
      <c r="A1727" s="42"/>
      <c r="B1727" s="42"/>
      <c r="C1727" s="42"/>
      <c r="D1727" s="42"/>
      <c r="E1727" s="42"/>
      <c r="F1727" s="42"/>
      <c r="G1727" s="42"/>
      <c r="H1727" s="42"/>
      <c r="I1727" s="42"/>
      <c r="J1727" s="42"/>
      <c r="K1727" s="42"/>
      <c r="L1727" s="42"/>
      <c r="M1727" s="42"/>
    </row>
    <row r="1728" spans="1:13" x14ac:dyDescent="0.2">
      <c r="A1728" s="42"/>
      <c r="B1728" s="42"/>
      <c r="C1728" s="42"/>
      <c r="D1728" s="42"/>
      <c r="E1728" s="42"/>
      <c r="F1728" s="42"/>
      <c r="G1728" s="42"/>
      <c r="H1728" s="42"/>
      <c r="I1728" s="42"/>
      <c r="J1728" s="42"/>
      <c r="K1728" s="42"/>
      <c r="L1728" s="42"/>
      <c r="M1728" s="42"/>
    </row>
    <row r="1729" spans="1:13" x14ac:dyDescent="0.2">
      <c r="A1729" s="42"/>
      <c r="B1729" s="42"/>
      <c r="C1729" s="42"/>
      <c r="D1729" s="42"/>
      <c r="E1729" s="42"/>
      <c r="F1729" s="42"/>
      <c r="G1729" s="42"/>
      <c r="H1729" s="42"/>
      <c r="I1729" s="42"/>
      <c r="J1729" s="42"/>
      <c r="K1729" s="42"/>
      <c r="L1729" s="42"/>
      <c r="M1729" s="42"/>
    </row>
    <row r="1730" spans="1:13" x14ac:dyDescent="0.2">
      <c r="A1730" s="42"/>
      <c r="B1730" s="42"/>
      <c r="C1730" s="42"/>
      <c r="D1730" s="42"/>
      <c r="E1730" s="42"/>
      <c r="F1730" s="42"/>
      <c r="G1730" s="42"/>
      <c r="H1730" s="42"/>
      <c r="I1730" s="42"/>
      <c r="J1730" s="42"/>
      <c r="K1730" s="42"/>
      <c r="L1730" s="42"/>
      <c r="M1730" s="42"/>
    </row>
    <row r="1731" spans="1:13" x14ac:dyDescent="0.2">
      <c r="A1731" s="42"/>
      <c r="B1731" s="42"/>
      <c r="C1731" s="42"/>
      <c r="D1731" s="42"/>
      <c r="E1731" s="42"/>
      <c r="F1731" s="42"/>
      <c r="G1731" s="42"/>
      <c r="H1731" s="42"/>
      <c r="I1731" s="42"/>
      <c r="J1731" s="42"/>
      <c r="K1731" s="42"/>
      <c r="L1731" s="42"/>
      <c r="M1731" s="42"/>
    </row>
    <row r="1732" spans="1:13" x14ac:dyDescent="0.2">
      <c r="A1732" s="42"/>
      <c r="B1732" s="42"/>
      <c r="C1732" s="42"/>
      <c r="D1732" s="42"/>
      <c r="E1732" s="42"/>
      <c r="F1732" s="42"/>
      <c r="G1732" s="42"/>
      <c r="H1732" s="42"/>
      <c r="I1732" s="42"/>
      <c r="J1732" s="42"/>
      <c r="K1732" s="42"/>
      <c r="L1732" s="42"/>
      <c r="M1732" s="42"/>
    </row>
    <row r="1733" spans="1:13" x14ac:dyDescent="0.2">
      <c r="A1733" s="42"/>
      <c r="B1733" s="42"/>
      <c r="C1733" s="42"/>
      <c r="D1733" s="42"/>
      <c r="E1733" s="42"/>
      <c r="F1733" s="42"/>
      <c r="G1733" s="42"/>
      <c r="H1733" s="42"/>
      <c r="I1733" s="42"/>
      <c r="J1733" s="42"/>
      <c r="K1733" s="42"/>
      <c r="L1733" s="42"/>
      <c r="M1733" s="42"/>
    </row>
    <row r="1734" spans="1:13" x14ac:dyDescent="0.2">
      <c r="A1734" s="42"/>
      <c r="B1734" s="42"/>
      <c r="C1734" s="42"/>
      <c r="D1734" s="42"/>
      <c r="E1734" s="42"/>
      <c r="F1734" s="42"/>
      <c r="G1734" s="42"/>
      <c r="H1734" s="42"/>
      <c r="I1734" s="42"/>
      <c r="J1734" s="42"/>
      <c r="K1734" s="42"/>
      <c r="L1734" s="42"/>
      <c r="M1734" s="42"/>
    </row>
    <row r="1735" spans="1:13" x14ac:dyDescent="0.2">
      <c r="A1735" s="42"/>
      <c r="B1735" s="42"/>
      <c r="C1735" s="42"/>
      <c r="D1735" s="42"/>
      <c r="E1735" s="42"/>
      <c r="F1735" s="42"/>
      <c r="G1735" s="42"/>
      <c r="H1735" s="42"/>
      <c r="I1735" s="42"/>
      <c r="J1735" s="42"/>
      <c r="K1735" s="42"/>
      <c r="L1735" s="42"/>
      <c r="M1735" s="42"/>
    </row>
    <row r="1736" spans="1:13" x14ac:dyDescent="0.2">
      <c r="A1736" s="42"/>
      <c r="B1736" s="42"/>
      <c r="C1736" s="42"/>
      <c r="D1736" s="42"/>
      <c r="E1736" s="42"/>
      <c r="F1736" s="42"/>
      <c r="G1736" s="42"/>
      <c r="H1736" s="42"/>
      <c r="I1736" s="42"/>
      <c r="J1736" s="42"/>
      <c r="K1736" s="42"/>
      <c r="L1736" s="42"/>
      <c r="M1736" s="42"/>
    </row>
    <row r="1737" spans="1:13" x14ac:dyDescent="0.2">
      <c r="A1737" s="42"/>
      <c r="B1737" s="42"/>
      <c r="C1737" s="42"/>
      <c r="D1737" s="42"/>
      <c r="E1737" s="42"/>
      <c r="F1737" s="42"/>
      <c r="G1737" s="42"/>
      <c r="H1737" s="42"/>
      <c r="I1737" s="42"/>
      <c r="J1737" s="42"/>
      <c r="K1737" s="42"/>
      <c r="L1737" s="42"/>
      <c r="M1737" s="42"/>
    </row>
    <row r="1738" spans="1:13" x14ac:dyDescent="0.2">
      <c r="A1738" s="42"/>
      <c r="B1738" s="42"/>
      <c r="C1738" s="42"/>
      <c r="D1738" s="42"/>
      <c r="E1738" s="42"/>
      <c r="F1738" s="42"/>
      <c r="G1738" s="42"/>
      <c r="H1738" s="42"/>
      <c r="I1738" s="42"/>
      <c r="J1738" s="42"/>
      <c r="K1738" s="42"/>
      <c r="L1738" s="42"/>
      <c r="M1738" s="42"/>
    </row>
    <row r="1739" spans="1:13" x14ac:dyDescent="0.2">
      <c r="A1739" s="42"/>
      <c r="B1739" s="42"/>
      <c r="C1739" s="42"/>
      <c r="D1739" s="42"/>
      <c r="E1739" s="42"/>
      <c r="F1739" s="42"/>
      <c r="G1739" s="42"/>
      <c r="H1739" s="42"/>
      <c r="I1739" s="42"/>
      <c r="J1739" s="42"/>
      <c r="K1739" s="42"/>
      <c r="L1739" s="42"/>
      <c r="M1739" s="42"/>
    </row>
    <row r="1740" spans="1:13" x14ac:dyDescent="0.2">
      <c r="A1740" s="42"/>
      <c r="B1740" s="42"/>
      <c r="C1740" s="42"/>
      <c r="D1740" s="42"/>
      <c r="E1740" s="42"/>
      <c r="F1740" s="42"/>
      <c r="G1740" s="42"/>
      <c r="H1740" s="42"/>
      <c r="I1740" s="42"/>
      <c r="J1740" s="42"/>
      <c r="K1740" s="42"/>
      <c r="L1740" s="42"/>
      <c r="M1740" s="42"/>
    </row>
    <row r="1741" spans="1:13" x14ac:dyDescent="0.2">
      <c r="A1741" s="42"/>
      <c r="B1741" s="42"/>
      <c r="C1741" s="42"/>
      <c r="D1741" s="42"/>
      <c r="E1741" s="42"/>
      <c r="F1741" s="42"/>
      <c r="G1741" s="42"/>
      <c r="H1741" s="42"/>
      <c r="I1741" s="42"/>
      <c r="J1741" s="42"/>
      <c r="K1741" s="42"/>
      <c r="L1741" s="42"/>
      <c r="M1741" s="42"/>
    </row>
    <row r="1742" spans="1:13" x14ac:dyDescent="0.2">
      <c r="A1742" s="42"/>
      <c r="B1742" s="42"/>
      <c r="C1742" s="42"/>
      <c r="D1742" s="42"/>
      <c r="E1742" s="42"/>
      <c r="F1742" s="42"/>
      <c r="G1742" s="42"/>
      <c r="H1742" s="42"/>
      <c r="I1742" s="42"/>
      <c r="J1742" s="42"/>
      <c r="K1742" s="42"/>
      <c r="L1742" s="42"/>
      <c r="M1742" s="42"/>
    </row>
    <row r="1743" spans="1:13" x14ac:dyDescent="0.2">
      <c r="A1743" s="42"/>
      <c r="B1743" s="42"/>
      <c r="C1743" s="42"/>
      <c r="D1743" s="42"/>
      <c r="E1743" s="42"/>
      <c r="F1743" s="42"/>
      <c r="G1743" s="42"/>
      <c r="H1743" s="42"/>
      <c r="I1743" s="42"/>
      <c r="J1743" s="42"/>
      <c r="K1743" s="42"/>
      <c r="L1743" s="42"/>
      <c r="M1743" s="42"/>
    </row>
    <row r="1744" spans="1:13" x14ac:dyDescent="0.2">
      <c r="A1744" s="42"/>
      <c r="B1744" s="42"/>
      <c r="C1744" s="42"/>
      <c r="D1744" s="42"/>
      <c r="E1744" s="42"/>
      <c r="F1744" s="42"/>
      <c r="G1744" s="42"/>
      <c r="H1744" s="42"/>
      <c r="I1744" s="42"/>
      <c r="J1744" s="42"/>
      <c r="K1744" s="42"/>
      <c r="L1744" s="42"/>
      <c r="M1744" s="42"/>
    </row>
    <row r="1745" spans="1:13" x14ac:dyDescent="0.2">
      <c r="A1745" s="42"/>
      <c r="B1745" s="42"/>
      <c r="C1745" s="42"/>
      <c r="D1745" s="42"/>
      <c r="E1745" s="42"/>
      <c r="F1745" s="42"/>
      <c r="G1745" s="42"/>
      <c r="H1745" s="42"/>
      <c r="I1745" s="42"/>
      <c r="J1745" s="42"/>
      <c r="K1745" s="42"/>
      <c r="L1745" s="42"/>
      <c r="M1745" s="42"/>
    </row>
    <row r="1746" spans="1:13" x14ac:dyDescent="0.2">
      <c r="A1746" s="42"/>
      <c r="B1746" s="42"/>
      <c r="C1746" s="42"/>
      <c r="D1746" s="42"/>
      <c r="E1746" s="42"/>
      <c r="F1746" s="42"/>
      <c r="G1746" s="42"/>
      <c r="H1746" s="42"/>
      <c r="I1746" s="42"/>
      <c r="J1746" s="42"/>
      <c r="K1746" s="42"/>
      <c r="L1746" s="42"/>
      <c r="M1746" s="42"/>
    </row>
    <row r="1747" spans="1:13" x14ac:dyDescent="0.2">
      <c r="A1747" s="42"/>
      <c r="B1747" s="42"/>
      <c r="C1747" s="42"/>
      <c r="D1747" s="42"/>
      <c r="E1747" s="42"/>
      <c r="F1747" s="42"/>
      <c r="G1747" s="42"/>
      <c r="H1747" s="42"/>
      <c r="I1747" s="42"/>
      <c r="J1747" s="42"/>
      <c r="K1747" s="42"/>
      <c r="L1747" s="42"/>
      <c r="M1747" s="42"/>
    </row>
    <row r="1748" spans="1:13" x14ac:dyDescent="0.2">
      <c r="A1748" s="42"/>
      <c r="B1748" s="42"/>
      <c r="C1748" s="42"/>
      <c r="D1748" s="42"/>
      <c r="E1748" s="42"/>
      <c r="F1748" s="42"/>
      <c r="G1748" s="42"/>
      <c r="H1748" s="42"/>
      <c r="I1748" s="42"/>
      <c r="J1748" s="42"/>
      <c r="K1748" s="42"/>
      <c r="L1748" s="42"/>
      <c r="M1748" s="42"/>
    </row>
    <row r="1749" spans="1:13" x14ac:dyDescent="0.2">
      <c r="A1749" s="42"/>
      <c r="B1749" s="42"/>
      <c r="C1749" s="42"/>
      <c r="D1749" s="42"/>
      <c r="E1749" s="42"/>
      <c r="F1749" s="42"/>
      <c r="G1749" s="42"/>
      <c r="H1749" s="42"/>
      <c r="I1749" s="42"/>
      <c r="J1749" s="42"/>
      <c r="K1749" s="42"/>
      <c r="L1749" s="42"/>
      <c r="M1749" s="42"/>
    </row>
    <row r="1750" spans="1:13" x14ac:dyDescent="0.2">
      <c r="A1750" s="42"/>
      <c r="B1750" s="42"/>
      <c r="C1750" s="42"/>
      <c r="D1750" s="42"/>
      <c r="E1750" s="42"/>
      <c r="F1750" s="42"/>
      <c r="G1750" s="42"/>
      <c r="H1750" s="42"/>
      <c r="I1750" s="42"/>
      <c r="J1750" s="42"/>
      <c r="K1750" s="42"/>
      <c r="L1750" s="42"/>
      <c r="M1750" s="42"/>
    </row>
    <row r="1751" spans="1:13" x14ac:dyDescent="0.2">
      <c r="A1751" s="42"/>
      <c r="B1751" s="42"/>
      <c r="C1751" s="42"/>
      <c r="D1751" s="42"/>
      <c r="E1751" s="42"/>
      <c r="F1751" s="42"/>
      <c r="G1751" s="42"/>
      <c r="H1751" s="42"/>
      <c r="I1751" s="42"/>
      <c r="J1751" s="42"/>
      <c r="K1751" s="42"/>
      <c r="L1751" s="42"/>
      <c r="M1751" s="42"/>
    </row>
    <row r="1752" spans="1:13" x14ac:dyDescent="0.2">
      <c r="A1752" s="42"/>
      <c r="B1752" s="42"/>
      <c r="C1752" s="42"/>
      <c r="D1752" s="42"/>
      <c r="E1752" s="42"/>
      <c r="F1752" s="42"/>
      <c r="G1752" s="42"/>
      <c r="H1752" s="42"/>
      <c r="I1752" s="42"/>
      <c r="J1752" s="42"/>
      <c r="K1752" s="42"/>
      <c r="L1752" s="42"/>
      <c r="M1752" s="42"/>
    </row>
    <row r="1753" spans="1:13" x14ac:dyDescent="0.2">
      <c r="A1753" s="42"/>
      <c r="B1753" s="42"/>
      <c r="C1753" s="42"/>
      <c r="D1753" s="42"/>
      <c r="E1753" s="42"/>
      <c r="F1753" s="42"/>
      <c r="G1753" s="42"/>
      <c r="H1753" s="42"/>
      <c r="I1753" s="42"/>
      <c r="J1753" s="42"/>
      <c r="K1753" s="42"/>
      <c r="L1753" s="42"/>
      <c r="M1753" s="42"/>
    </row>
    <row r="1754" spans="1:13" x14ac:dyDescent="0.2">
      <c r="A1754" s="42"/>
      <c r="B1754" s="42"/>
      <c r="C1754" s="42"/>
      <c r="D1754" s="42"/>
      <c r="E1754" s="42"/>
      <c r="F1754" s="42"/>
      <c r="G1754" s="42"/>
      <c r="H1754" s="42"/>
      <c r="I1754" s="42"/>
      <c r="J1754" s="42"/>
      <c r="K1754" s="42"/>
      <c r="L1754" s="42"/>
      <c r="M1754" s="42"/>
    </row>
    <row r="1755" spans="1:13" x14ac:dyDescent="0.2">
      <c r="A1755" s="42"/>
      <c r="B1755" s="42"/>
      <c r="C1755" s="42"/>
      <c r="D1755" s="42"/>
      <c r="E1755" s="42"/>
      <c r="F1755" s="42"/>
      <c r="G1755" s="42"/>
      <c r="H1755" s="42"/>
      <c r="I1755" s="42"/>
      <c r="J1755" s="42"/>
      <c r="K1755" s="42"/>
      <c r="L1755" s="42"/>
      <c r="M1755" s="42"/>
    </row>
    <row r="1756" spans="1:13" x14ac:dyDescent="0.2">
      <c r="A1756" s="42"/>
      <c r="B1756" s="42"/>
      <c r="C1756" s="42"/>
      <c r="D1756" s="42"/>
      <c r="E1756" s="42"/>
      <c r="F1756" s="42"/>
      <c r="G1756" s="42"/>
      <c r="H1756" s="42"/>
      <c r="I1756" s="42"/>
      <c r="J1756" s="42"/>
      <c r="K1756" s="42"/>
      <c r="L1756" s="42"/>
      <c r="M1756" s="42"/>
    </row>
    <row r="1757" spans="1:13" x14ac:dyDescent="0.2">
      <c r="A1757" s="42"/>
      <c r="B1757" s="42"/>
      <c r="C1757" s="42"/>
      <c r="D1757" s="42"/>
      <c r="E1757" s="42"/>
      <c r="F1757" s="42"/>
      <c r="G1757" s="42"/>
      <c r="H1757" s="42"/>
      <c r="I1757" s="42"/>
      <c r="J1757" s="42"/>
      <c r="K1757" s="42"/>
      <c r="L1757" s="42"/>
      <c r="M1757" s="42"/>
    </row>
    <row r="1758" spans="1:13" x14ac:dyDescent="0.2">
      <c r="A1758" s="42"/>
      <c r="B1758" s="42"/>
      <c r="C1758" s="42"/>
      <c r="D1758" s="42"/>
      <c r="E1758" s="42"/>
      <c r="F1758" s="42"/>
      <c r="G1758" s="42"/>
      <c r="H1758" s="42"/>
      <c r="I1758" s="42"/>
      <c r="J1758" s="42"/>
      <c r="K1758" s="42"/>
      <c r="L1758" s="42"/>
      <c r="M1758" s="42"/>
    </row>
    <row r="1759" spans="1:13" x14ac:dyDescent="0.2">
      <c r="A1759" s="42"/>
      <c r="B1759" s="42"/>
      <c r="C1759" s="42"/>
      <c r="D1759" s="42"/>
      <c r="E1759" s="42"/>
      <c r="F1759" s="42"/>
      <c r="G1759" s="42"/>
      <c r="H1759" s="42"/>
      <c r="I1759" s="42"/>
      <c r="J1759" s="42"/>
      <c r="K1759" s="42"/>
      <c r="L1759" s="42"/>
      <c r="M1759" s="42"/>
    </row>
    <row r="1760" spans="1:13" x14ac:dyDescent="0.2">
      <c r="A1760" s="42"/>
      <c r="B1760" s="42"/>
      <c r="C1760" s="42"/>
      <c r="D1760" s="42"/>
      <c r="E1760" s="42"/>
      <c r="F1760" s="42"/>
      <c r="G1760" s="42"/>
      <c r="H1760" s="42"/>
      <c r="I1760" s="42"/>
      <c r="J1760" s="42"/>
      <c r="K1760" s="42"/>
      <c r="L1760" s="42"/>
      <c r="M1760" s="42"/>
    </row>
    <row r="1761" spans="1:13" x14ac:dyDescent="0.2">
      <c r="A1761" s="42"/>
      <c r="B1761" s="42"/>
      <c r="C1761" s="42"/>
      <c r="D1761" s="42"/>
      <c r="E1761" s="42"/>
      <c r="F1761" s="42"/>
      <c r="G1761" s="42"/>
      <c r="H1761" s="42"/>
      <c r="I1761" s="42"/>
      <c r="J1761" s="42"/>
      <c r="K1761" s="42"/>
      <c r="L1761" s="42"/>
      <c r="M1761" s="42"/>
    </row>
    <row r="1762" spans="1:13" x14ac:dyDescent="0.2">
      <c r="A1762" s="42"/>
      <c r="B1762" s="42"/>
      <c r="C1762" s="42"/>
      <c r="D1762" s="42"/>
      <c r="E1762" s="42"/>
      <c r="F1762" s="42"/>
      <c r="G1762" s="42"/>
      <c r="H1762" s="42"/>
      <c r="I1762" s="42"/>
      <c r="J1762" s="42"/>
      <c r="K1762" s="42"/>
      <c r="L1762" s="42"/>
      <c r="M1762" s="42"/>
    </row>
    <row r="1763" spans="1:13" x14ac:dyDescent="0.2">
      <c r="A1763" s="42"/>
      <c r="B1763" s="42"/>
      <c r="C1763" s="42"/>
      <c r="D1763" s="42"/>
      <c r="E1763" s="42"/>
      <c r="F1763" s="42"/>
      <c r="G1763" s="42"/>
      <c r="H1763" s="42"/>
      <c r="I1763" s="42"/>
      <c r="J1763" s="42"/>
      <c r="K1763" s="42"/>
      <c r="L1763" s="42"/>
      <c r="M1763" s="42"/>
    </row>
    <row r="1764" spans="1:13" x14ac:dyDescent="0.2">
      <c r="A1764" s="42"/>
      <c r="B1764" s="42"/>
      <c r="C1764" s="42"/>
      <c r="D1764" s="42"/>
      <c r="E1764" s="42"/>
      <c r="F1764" s="42"/>
      <c r="G1764" s="42"/>
      <c r="H1764" s="42"/>
      <c r="I1764" s="42"/>
      <c r="J1764" s="42"/>
      <c r="K1764" s="42"/>
      <c r="L1764" s="42"/>
      <c r="M1764" s="42"/>
    </row>
    <row r="1765" spans="1:13" x14ac:dyDescent="0.2">
      <c r="A1765" s="42"/>
      <c r="B1765" s="42"/>
      <c r="C1765" s="42"/>
      <c r="D1765" s="42"/>
      <c r="E1765" s="42"/>
      <c r="F1765" s="42"/>
      <c r="G1765" s="42"/>
      <c r="H1765" s="42"/>
      <c r="I1765" s="42"/>
      <c r="J1765" s="42"/>
      <c r="K1765" s="42"/>
      <c r="L1765" s="42"/>
      <c r="M1765" s="42"/>
    </row>
    <row r="1766" spans="1:13" x14ac:dyDescent="0.2">
      <c r="A1766" s="42"/>
      <c r="B1766" s="42"/>
      <c r="C1766" s="42"/>
      <c r="D1766" s="42"/>
      <c r="E1766" s="42"/>
      <c r="F1766" s="42"/>
      <c r="G1766" s="42"/>
      <c r="H1766" s="42"/>
      <c r="I1766" s="42"/>
      <c r="J1766" s="42"/>
      <c r="K1766" s="42"/>
      <c r="L1766" s="42"/>
      <c r="M1766" s="42"/>
    </row>
    <row r="1767" spans="1:13" x14ac:dyDescent="0.2">
      <c r="A1767" s="42"/>
      <c r="B1767" s="42"/>
      <c r="C1767" s="42"/>
      <c r="D1767" s="42"/>
      <c r="E1767" s="42"/>
      <c r="F1767" s="42"/>
      <c r="G1767" s="42"/>
      <c r="H1767" s="42"/>
      <c r="I1767" s="42"/>
      <c r="J1767" s="42"/>
      <c r="K1767" s="42"/>
      <c r="L1767" s="42"/>
      <c r="M1767" s="42"/>
    </row>
    <row r="1768" spans="1:13" x14ac:dyDescent="0.2">
      <c r="A1768" s="42"/>
      <c r="B1768" s="42"/>
      <c r="C1768" s="42"/>
      <c r="D1768" s="42"/>
      <c r="E1768" s="42"/>
      <c r="F1768" s="42"/>
      <c r="G1768" s="42"/>
      <c r="H1768" s="42"/>
      <c r="I1768" s="42"/>
      <c r="J1768" s="42"/>
      <c r="K1768" s="42"/>
      <c r="L1768" s="42"/>
      <c r="M1768" s="42"/>
    </row>
    <row r="1769" spans="1:13" x14ac:dyDescent="0.2">
      <c r="A1769" s="42"/>
      <c r="B1769" s="42"/>
      <c r="C1769" s="42"/>
      <c r="D1769" s="42"/>
      <c r="E1769" s="42"/>
      <c r="F1769" s="42"/>
      <c r="G1769" s="42"/>
      <c r="H1769" s="42"/>
      <c r="I1769" s="42"/>
      <c r="J1769" s="42"/>
      <c r="K1769" s="42"/>
      <c r="L1769" s="42"/>
      <c r="M1769" s="42"/>
    </row>
    <row r="1770" spans="1:13" x14ac:dyDescent="0.2">
      <c r="A1770" s="42"/>
      <c r="B1770" s="42"/>
      <c r="C1770" s="42"/>
      <c r="D1770" s="42"/>
      <c r="E1770" s="42"/>
      <c r="F1770" s="42"/>
      <c r="G1770" s="42"/>
      <c r="H1770" s="42"/>
      <c r="I1770" s="42"/>
      <c r="J1770" s="42"/>
      <c r="K1770" s="42"/>
      <c r="L1770" s="42"/>
      <c r="M1770" s="42"/>
    </row>
    <row r="1771" spans="1:13" x14ac:dyDescent="0.2">
      <c r="A1771" s="42"/>
      <c r="B1771" s="42"/>
      <c r="C1771" s="42"/>
      <c r="D1771" s="42"/>
      <c r="E1771" s="42"/>
      <c r="F1771" s="42"/>
      <c r="G1771" s="42"/>
      <c r="H1771" s="42"/>
      <c r="I1771" s="42"/>
      <c r="J1771" s="42"/>
      <c r="K1771" s="42"/>
      <c r="L1771" s="42"/>
      <c r="M1771" s="42"/>
    </row>
    <row r="1772" spans="1:13" x14ac:dyDescent="0.2">
      <c r="A1772" s="42"/>
      <c r="B1772" s="42"/>
      <c r="C1772" s="42"/>
      <c r="D1772" s="42"/>
      <c r="E1772" s="42"/>
      <c r="F1772" s="42"/>
      <c r="G1772" s="42"/>
      <c r="H1772" s="42"/>
      <c r="I1772" s="42"/>
      <c r="J1772" s="42"/>
      <c r="K1772" s="42"/>
      <c r="L1772" s="42"/>
      <c r="M1772" s="42"/>
    </row>
    <row r="1773" spans="1:13" x14ac:dyDescent="0.2">
      <c r="A1773" s="42"/>
      <c r="B1773" s="42"/>
      <c r="C1773" s="42"/>
      <c r="D1773" s="42"/>
      <c r="E1773" s="42"/>
      <c r="F1773" s="42"/>
      <c r="G1773" s="42"/>
      <c r="H1773" s="42"/>
      <c r="I1773" s="42"/>
      <c r="J1773" s="42"/>
      <c r="K1773" s="42"/>
      <c r="L1773" s="42"/>
      <c r="M1773" s="42"/>
    </row>
    <row r="1774" spans="1:13" x14ac:dyDescent="0.2">
      <c r="A1774" s="42"/>
      <c r="B1774" s="42"/>
      <c r="C1774" s="42"/>
      <c r="D1774" s="42"/>
      <c r="E1774" s="42"/>
      <c r="F1774" s="42"/>
      <c r="G1774" s="42"/>
      <c r="H1774" s="42"/>
      <c r="I1774" s="42"/>
      <c r="J1774" s="42"/>
      <c r="K1774" s="42"/>
      <c r="L1774" s="42"/>
      <c r="M1774" s="42"/>
    </row>
    <row r="1775" spans="1:13" x14ac:dyDescent="0.2">
      <c r="A1775" s="42"/>
      <c r="B1775" s="42"/>
      <c r="C1775" s="42"/>
      <c r="D1775" s="42"/>
      <c r="E1775" s="42"/>
      <c r="F1775" s="42"/>
      <c r="G1775" s="42"/>
      <c r="H1775" s="42"/>
      <c r="I1775" s="42"/>
      <c r="J1775" s="42"/>
      <c r="K1775" s="42"/>
      <c r="L1775" s="42"/>
      <c r="M1775" s="42"/>
    </row>
    <row r="1776" spans="1:13" x14ac:dyDescent="0.2">
      <c r="A1776" s="42"/>
      <c r="B1776" s="42"/>
      <c r="C1776" s="42"/>
      <c r="D1776" s="42"/>
      <c r="E1776" s="42"/>
      <c r="F1776" s="42"/>
      <c r="G1776" s="42"/>
      <c r="H1776" s="42"/>
      <c r="I1776" s="42"/>
      <c r="J1776" s="42"/>
      <c r="K1776" s="42"/>
      <c r="L1776" s="42"/>
      <c r="M1776" s="42"/>
    </row>
    <row r="1777" spans="1:13" x14ac:dyDescent="0.2">
      <c r="A1777" s="42"/>
      <c r="B1777" s="42"/>
      <c r="C1777" s="42"/>
      <c r="D1777" s="42"/>
      <c r="E1777" s="42"/>
      <c r="F1777" s="42"/>
      <c r="G1777" s="42"/>
      <c r="H1777" s="42"/>
      <c r="I1777" s="42"/>
      <c r="J1777" s="42"/>
      <c r="K1777" s="42"/>
      <c r="L1777" s="42"/>
      <c r="M1777" s="42"/>
    </row>
    <row r="1778" spans="1:13" x14ac:dyDescent="0.2">
      <c r="A1778" s="42"/>
      <c r="B1778" s="42"/>
      <c r="C1778" s="42"/>
      <c r="D1778" s="42"/>
      <c r="E1778" s="42"/>
      <c r="F1778" s="42"/>
      <c r="G1778" s="42"/>
      <c r="H1778" s="42"/>
      <c r="I1778" s="42"/>
      <c r="J1778" s="42"/>
      <c r="K1778" s="42"/>
      <c r="L1778" s="42"/>
      <c r="M1778" s="42"/>
    </row>
    <row r="1779" spans="1:13" x14ac:dyDescent="0.2">
      <c r="A1779" s="42"/>
      <c r="B1779" s="42"/>
      <c r="C1779" s="42"/>
      <c r="D1779" s="42"/>
      <c r="E1779" s="42"/>
      <c r="F1779" s="42"/>
      <c r="G1779" s="42"/>
      <c r="H1779" s="42"/>
      <c r="I1779" s="42"/>
      <c r="J1779" s="42"/>
      <c r="K1779" s="42"/>
      <c r="L1779" s="42"/>
      <c r="M1779" s="42"/>
    </row>
    <row r="1780" spans="1:13" x14ac:dyDescent="0.2">
      <c r="A1780" s="42"/>
      <c r="B1780" s="42"/>
      <c r="C1780" s="42"/>
      <c r="D1780" s="42"/>
      <c r="E1780" s="42"/>
      <c r="F1780" s="42"/>
      <c r="G1780" s="42"/>
      <c r="H1780" s="42"/>
      <c r="I1780" s="42"/>
      <c r="J1780" s="42"/>
      <c r="K1780" s="42"/>
      <c r="L1780" s="42"/>
      <c r="M1780" s="42"/>
    </row>
    <row r="1781" spans="1:13" x14ac:dyDescent="0.2">
      <c r="A1781" s="42"/>
      <c r="B1781" s="42"/>
      <c r="C1781" s="42"/>
      <c r="D1781" s="42"/>
      <c r="E1781" s="42"/>
      <c r="F1781" s="42"/>
      <c r="G1781" s="42"/>
      <c r="H1781" s="42"/>
      <c r="I1781" s="42"/>
      <c r="J1781" s="42"/>
      <c r="K1781" s="42"/>
      <c r="L1781" s="42"/>
      <c r="M1781" s="42"/>
    </row>
    <row r="1782" spans="1:13" x14ac:dyDescent="0.2">
      <c r="A1782" s="42"/>
      <c r="B1782" s="42"/>
      <c r="C1782" s="42"/>
      <c r="D1782" s="42"/>
      <c r="E1782" s="42"/>
      <c r="F1782" s="42"/>
      <c r="G1782" s="42"/>
      <c r="H1782" s="42"/>
      <c r="I1782" s="42"/>
      <c r="J1782" s="42"/>
      <c r="K1782" s="42"/>
      <c r="L1782" s="42"/>
      <c r="M1782" s="42"/>
    </row>
    <row r="1783" spans="1:13" x14ac:dyDescent="0.2">
      <c r="A1783" s="42"/>
      <c r="B1783" s="42"/>
      <c r="C1783" s="42"/>
      <c r="D1783" s="42"/>
      <c r="E1783" s="42"/>
      <c r="F1783" s="42"/>
      <c r="G1783" s="42"/>
      <c r="H1783" s="42"/>
      <c r="I1783" s="42"/>
      <c r="J1783" s="42"/>
      <c r="K1783" s="42"/>
      <c r="L1783" s="42"/>
      <c r="M1783" s="42"/>
    </row>
    <row r="1784" spans="1:13" x14ac:dyDescent="0.2">
      <c r="A1784" s="42"/>
      <c r="B1784" s="42"/>
      <c r="C1784" s="42"/>
      <c r="D1784" s="42"/>
      <c r="E1784" s="42"/>
      <c r="F1784" s="42"/>
      <c r="G1784" s="42"/>
      <c r="H1784" s="42"/>
      <c r="I1784" s="42"/>
      <c r="J1784" s="42"/>
      <c r="K1784" s="42"/>
      <c r="L1784" s="42"/>
      <c r="M1784" s="42"/>
    </row>
    <row r="1785" spans="1:13" x14ac:dyDescent="0.2">
      <c r="A1785" s="42"/>
      <c r="B1785" s="42"/>
      <c r="C1785" s="42"/>
      <c r="D1785" s="42"/>
      <c r="E1785" s="42"/>
      <c r="F1785" s="42"/>
      <c r="G1785" s="42"/>
      <c r="H1785" s="42"/>
      <c r="I1785" s="42"/>
      <c r="J1785" s="42"/>
      <c r="K1785" s="42"/>
      <c r="L1785" s="42"/>
      <c r="M1785" s="42"/>
    </row>
    <row r="1786" spans="1:13" x14ac:dyDescent="0.2">
      <c r="A1786" s="42"/>
      <c r="B1786" s="42"/>
      <c r="C1786" s="42"/>
      <c r="D1786" s="42"/>
      <c r="E1786" s="42"/>
      <c r="F1786" s="42"/>
      <c r="G1786" s="42"/>
      <c r="H1786" s="42"/>
      <c r="I1786" s="42"/>
      <c r="J1786" s="42"/>
      <c r="K1786" s="42"/>
      <c r="L1786" s="42"/>
      <c r="M1786" s="42"/>
    </row>
    <row r="1787" spans="1:13" x14ac:dyDescent="0.2">
      <c r="A1787" s="42"/>
      <c r="B1787" s="42"/>
      <c r="C1787" s="42"/>
      <c r="D1787" s="42"/>
      <c r="E1787" s="42"/>
      <c r="F1787" s="42"/>
      <c r="G1787" s="42"/>
      <c r="H1787" s="42"/>
      <c r="I1787" s="42"/>
      <c r="J1787" s="42"/>
      <c r="K1787" s="42"/>
      <c r="L1787" s="42"/>
      <c r="M1787" s="42"/>
    </row>
    <row r="1788" spans="1:13" x14ac:dyDescent="0.2">
      <c r="A1788" s="42"/>
      <c r="B1788" s="42"/>
      <c r="C1788" s="42"/>
      <c r="D1788" s="42"/>
      <c r="E1788" s="42"/>
      <c r="F1788" s="42"/>
      <c r="G1788" s="42"/>
      <c r="H1788" s="42"/>
      <c r="I1788" s="42"/>
      <c r="J1788" s="42"/>
      <c r="K1788" s="42"/>
      <c r="L1788" s="42"/>
      <c r="M1788" s="42"/>
    </row>
    <row r="1789" spans="1:13" x14ac:dyDescent="0.2">
      <c r="A1789" s="42"/>
      <c r="B1789" s="42"/>
      <c r="C1789" s="42"/>
      <c r="D1789" s="42"/>
      <c r="E1789" s="42"/>
      <c r="F1789" s="42"/>
      <c r="G1789" s="42"/>
      <c r="H1789" s="42"/>
      <c r="I1789" s="42"/>
      <c r="J1789" s="42"/>
      <c r="K1789" s="42"/>
      <c r="L1789" s="42"/>
      <c r="M1789" s="42"/>
    </row>
    <row r="1790" spans="1:13" x14ac:dyDescent="0.2">
      <c r="A1790" s="42"/>
      <c r="B1790" s="42"/>
      <c r="C1790" s="42"/>
      <c r="D1790" s="42"/>
      <c r="E1790" s="42"/>
      <c r="F1790" s="42"/>
      <c r="G1790" s="42"/>
      <c r="H1790" s="42"/>
      <c r="I1790" s="42"/>
      <c r="J1790" s="42"/>
      <c r="K1790" s="42"/>
      <c r="L1790" s="42"/>
      <c r="M1790" s="42"/>
    </row>
    <row r="1791" spans="1:13" x14ac:dyDescent="0.2">
      <c r="A1791" s="42"/>
      <c r="B1791" s="42"/>
      <c r="C1791" s="42"/>
      <c r="D1791" s="42"/>
      <c r="E1791" s="42"/>
      <c r="F1791" s="42"/>
      <c r="G1791" s="42"/>
      <c r="H1791" s="42"/>
      <c r="I1791" s="42"/>
      <c r="J1791" s="42"/>
      <c r="K1791" s="42"/>
      <c r="L1791" s="42"/>
      <c r="M1791" s="42"/>
    </row>
    <row r="1792" spans="1:13" x14ac:dyDescent="0.2">
      <c r="A1792" s="42"/>
      <c r="B1792" s="42"/>
      <c r="C1792" s="42"/>
      <c r="D1792" s="42"/>
      <c r="E1792" s="42"/>
      <c r="F1792" s="42"/>
      <c r="G1792" s="42"/>
      <c r="H1792" s="42"/>
      <c r="I1792" s="42"/>
      <c r="J1792" s="42"/>
      <c r="K1792" s="42"/>
      <c r="L1792" s="42"/>
      <c r="M1792" s="42"/>
    </row>
    <row r="1793" spans="1:13" x14ac:dyDescent="0.2">
      <c r="A1793" s="42"/>
      <c r="B1793" s="42"/>
      <c r="C1793" s="42"/>
      <c r="D1793" s="42"/>
      <c r="E1793" s="42"/>
      <c r="F1793" s="42"/>
      <c r="G1793" s="42"/>
      <c r="H1793" s="42"/>
      <c r="I1793" s="42"/>
      <c r="J1793" s="42"/>
      <c r="K1793" s="42"/>
      <c r="L1793" s="42"/>
      <c r="M1793" s="42"/>
    </row>
    <row r="1794" spans="1:13" x14ac:dyDescent="0.2">
      <c r="A1794" s="42"/>
      <c r="B1794" s="42"/>
      <c r="C1794" s="42"/>
      <c r="D1794" s="42"/>
      <c r="E1794" s="42"/>
      <c r="F1794" s="42"/>
      <c r="G1794" s="42"/>
      <c r="H1794" s="42"/>
      <c r="I1794" s="42"/>
      <c r="J1794" s="42"/>
      <c r="K1794" s="42"/>
      <c r="L1794" s="42"/>
      <c r="M1794" s="42"/>
    </row>
    <row r="1795" spans="1:13" x14ac:dyDescent="0.2">
      <c r="A1795" s="42"/>
      <c r="B1795" s="42"/>
      <c r="C1795" s="42"/>
      <c r="D1795" s="42"/>
      <c r="E1795" s="42"/>
      <c r="F1795" s="42"/>
      <c r="G1795" s="42"/>
      <c r="H1795" s="42"/>
      <c r="I1795" s="42"/>
      <c r="J1795" s="42"/>
      <c r="K1795" s="42"/>
      <c r="L1795" s="42"/>
      <c r="M1795" s="42"/>
    </row>
    <row r="1796" spans="1:13" x14ac:dyDescent="0.2">
      <c r="A1796" s="42"/>
      <c r="B1796" s="42"/>
      <c r="C1796" s="42"/>
      <c r="D1796" s="42"/>
      <c r="E1796" s="42"/>
      <c r="F1796" s="42"/>
      <c r="G1796" s="42"/>
      <c r="H1796" s="42"/>
      <c r="I1796" s="42"/>
      <c r="J1796" s="42"/>
      <c r="K1796" s="42"/>
      <c r="L1796" s="42"/>
      <c r="M1796" s="42"/>
    </row>
    <row r="1797" spans="1:13" x14ac:dyDescent="0.2">
      <c r="A1797" s="42"/>
      <c r="B1797" s="42"/>
      <c r="C1797" s="42"/>
      <c r="D1797" s="42"/>
      <c r="E1797" s="42"/>
      <c r="F1797" s="42"/>
      <c r="G1797" s="42"/>
      <c r="H1797" s="42"/>
      <c r="I1797" s="42"/>
      <c r="J1797" s="42"/>
      <c r="K1797" s="42"/>
      <c r="L1797" s="42"/>
      <c r="M1797" s="42"/>
    </row>
    <row r="1798" spans="1:13" x14ac:dyDescent="0.2">
      <c r="A1798" s="42"/>
      <c r="B1798" s="42"/>
      <c r="C1798" s="42"/>
      <c r="D1798" s="42"/>
      <c r="E1798" s="42"/>
      <c r="F1798" s="42"/>
      <c r="G1798" s="42"/>
      <c r="H1798" s="42"/>
      <c r="I1798" s="42"/>
      <c r="J1798" s="42"/>
      <c r="K1798" s="42"/>
      <c r="L1798" s="42"/>
      <c r="M1798" s="42"/>
    </row>
    <row r="1799" spans="1:13" x14ac:dyDescent="0.2">
      <c r="A1799" s="42"/>
      <c r="B1799" s="42"/>
      <c r="C1799" s="42"/>
      <c r="D1799" s="42"/>
      <c r="E1799" s="42"/>
      <c r="F1799" s="42"/>
      <c r="G1799" s="42"/>
      <c r="H1799" s="42"/>
      <c r="I1799" s="42"/>
      <c r="J1799" s="42"/>
      <c r="K1799" s="42"/>
      <c r="L1799" s="42"/>
      <c r="M1799" s="42"/>
    </row>
    <row r="1800" spans="1:13" x14ac:dyDescent="0.2">
      <c r="A1800" s="42"/>
      <c r="B1800" s="42"/>
      <c r="C1800" s="42"/>
      <c r="D1800" s="42"/>
      <c r="E1800" s="42"/>
      <c r="F1800" s="42"/>
      <c r="G1800" s="42"/>
      <c r="H1800" s="42"/>
      <c r="I1800" s="42"/>
      <c r="J1800" s="42"/>
      <c r="K1800" s="42"/>
      <c r="L1800" s="42"/>
      <c r="M1800" s="42"/>
    </row>
    <row r="1801" spans="1:13" x14ac:dyDescent="0.2">
      <c r="A1801" s="42"/>
      <c r="B1801" s="42"/>
      <c r="C1801" s="42"/>
      <c r="D1801" s="42"/>
      <c r="E1801" s="42"/>
      <c r="F1801" s="42"/>
      <c r="G1801" s="42"/>
      <c r="H1801" s="42"/>
      <c r="I1801" s="42"/>
      <c r="J1801" s="42"/>
      <c r="K1801" s="42"/>
      <c r="L1801" s="42"/>
      <c r="M1801" s="42"/>
    </row>
    <row r="1802" spans="1:13" x14ac:dyDescent="0.2">
      <c r="A1802" s="42"/>
      <c r="B1802" s="42"/>
      <c r="C1802" s="42"/>
      <c r="D1802" s="42"/>
      <c r="E1802" s="42"/>
      <c r="F1802" s="42"/>
      <c r="G1802" s="42"/>
      <c r="H1802" s="42"/>
      <c r="I1802" s="42"/>
      <c r="J1802" s="42"/>
      <c r="K1802" s="42"/>
      <c r="L1802" s="42"/>
      <c r="M1802" s="42"/>
    </row>
    <row r="1803" spans="1:13" x14ac:dyDescent="0.2">
      <c r="A1803" s="42"/>
      <c r="B1803" s="42"/>
      <c r="C1803" s="42"/>
      <c r="D1803" s="42"/>
      <c r="E1803" s="42"/>
      <c r="F1803" s="42"/>
      <c r="G1803" s="42"/>
      <c r="H1803" s="42"/>
      <c r="I1803" s="42"/>
      <c r="J1803" s="42"/>
      <c r="K1803" s="42"/>
      <c r="L1803" s="42"/>
      <c r="M1803" s="42"/>
    </row>
    <row r="1804" spans="1:13" x14ac:dyDescent="0.2">
      <c r="A1804" s="42"/>
      <c r="B1804" s="42"/>
      <c r="C1804" s="42"/>
      <c r="D1804" s="42"/>
      <c r="E1804" s="42"/>
      <c r="F1804" s="42"/>
      <c r="G1804" s="42"/>
      <c r="H1804" s="42"/>
      <c r="I1804" s="42"/>
      <c r="J1804" s="42"/>
      <c r="K1804" s="42"/>
      <c r="L1804" s="42"/>
      <c r="M1804" s="42"/>
    </row>
    <row r="1805" spans="1:13" x14ac:dyDescent="0.2">
      <c r="A1805" s="42"/>
      <c r="B1805" s="42"/>
      <c r="C1805" s="42"/>
      <c r="D1805" s="42"/>
      <c r="E1805" s="42"/>
      <c r="F1805" s="42"/>
      <c r="G1805" s="42"/>
      <c r="H1805" s="42"/>
      <c r="I1805" s="42"/>
      <c r="J1805" s="42"/>
      <c r="K1805" s="42"/>
      <c r="L1805" s="42"/>
      <c r="M1805" s="42"/>
    </row>
    <row r="1806" spans="1:13" x14ac:dyDescent="0.2">
      <c r="A1806" s="42"/>
      <c r="B1806" s="42"/>
      <c r="C1806" s="42"/>
      <c r="D1806" s="42"/>
      <c r="E1806" s="42"/>
      <c r="F1806" s="42"/>
      <c r="G1806" s="42"/>
      <c r="H1806" s="42"/>
      <c r="I1806" s="42"/>
      <c r="J1806" s="42"/>
      <c r="K1806" s="42"/>
      <c r="L1806" s="42"/>
      <c r="M1806" s="42"/>
    </row>
    <row r="1807" spans="1:13" x14ac:dyDescent="0.2">
      <c r="A1807" s="42"/>
      <c r="B1807" s="42"/>
      <c r="C1807" s="42"/>
      <c r="D1807" s="42"/>
      <c r="E1807" s="42"/>
      <c r="F1807" s="42"/>
      <c r="G1807" s="42"/>
      <c r="H1807" s="42"/>
      <c r="I1807" s="42"/>
      <c r="J1807" s="42"/>
      <c r="K1807" s="42"/>
      <c r="L1807" s="42"/>
      <c r="M1807" s="42"/>
    </row>
    <row r="1808" spans="1:13" x14ac:dyDescent="0.2">
      <c r="A1808" s="42"/>
      <c r="B1808" s="42"/>
      <c r="C1808" s="42"/>
      <c r="D1808" s="42"/>
      <c r="E1808" s="42"/>
      <c r="F1808" s="42"/>
      <c r="G1808" s="42"/>
      <c r="H1808" s="42"/>
      <c r="I1808" s="42"/>
      <c r="J1808" s="42"/>
      <c r="K1808" s="42"/>
      <c r="L1808" s="42"/>
      <c r="M1808" s="42"/>
    </row>
    <row r="1809" spans="1:13" x14ac:dyDescent="0.2">
      <c r="A1809" s="42"/>
      <c r="B1809" s="42"/>
      <c r="C1809" s="42"/>
      <c r="D1809" s="42"/>
      <c r="E1809" s="42"/>
      <c r="F1809" s="42"/>
      <c r="G1809" s="42"/>
      <c r="H1809" s="42"/>
      <c r="I1809" s="42"/>
      <c r="J1809" s="42"/>
      <c r="K1809" s="42"/>
      <c r="L1809" s="42"/>
      <c r="M1809" s="42"/>
    </row>
    <row r="1810" spans="1:13" x14ac:dyDescent="0.2">
      <c r="A1810" s="42"/>
      <c r="B1810" s="42"/>
      <c r="C1810" s="42"/>
      <c r="D1810" s="42"/>
      <c r="E1810" s="42"/>
      <c r="F1810" s="42"/>
      <c r="G1810" s="42"/>
      <c r="H1810" s="42"/>
      <c r="I1810" s="42"/>
      <c r="J1810" s="42"/>
      <c r="K1810" s="42"/>
      <c r="L1810" s="42"/>
      <c r="M1810" s="42"/>
    </row>
    <row r="1811" spans="1:13" x14ac:dyDescent="0.2">
      <c r="A1811" s="42"/>
      <c r="B1811" s="42"/>
      <c r="C1811" s="42"/>
      <c r="D1811" s="42"/>
      <c r="E1811" s="42"/>
      <c r="F1811" s="42"/>
      <c r="G1811" s="42"/>
      <c r="H1811" s="42"/>
      <c r="I1811" s="42"/>
      <c r="J1811" s="42"/>
      <c r="K1811" s="42"/>
      <c r="L1811" s="42"/>
      <c r="M1811" s="42"/>
    </row>
    <row r="1812" spans="1:13" x14ac:dyDescent="0.2">
      <c r="A1812" s="42"/>
      <c r="B1812" s="42"/>
      <c r="C1812" s="42"/>
      <c r="D1812" s="42"/>
      <c r="E1812" s="42"/>
      <c r="F1812" s="42"/>
      <c r="G1812" s="42"/>
      <c r="H1812" s="42"/>
      <c r="I1812" s="42"/>
      <c r="J1812" s="42"/>
      <c r="K1812" s="42"/>
      <c r="L1812" s="42"/>
      <c r="M1812" s="42"/>
    </row>
    <row r="1813" spans="1:13" x14ac:dyDescent="0.2">
      <c r="A1813" s="42"/>
      <c r="B1813" s="42"/>
      <c r="C1813" s="42"/>
      <c r="D1813" s="42"/>
      <c r="E1813" s="42"/>
      <c r="F1813" s="42"/>
      <c r="G1813" s="42"/>
      <c r="H1813" s="42"/>
      <c r="I1813" s="42"/>
      <c r="J1813" s="42"/>
      <c r="K1813" s="42"/>
      <c r="L1813" s="42"/>
      <c r="M1813" s="42"/>
    </row>
    <row r="1814" spans="1:13" x14ac:dyDescent="0.2">
      <c r="A1814" s="42"/>
      <c r="B1814" s="42"/>
      <c r="C1814" s="42"/>
      <c r="D1814" s="42"/>
      <c r="E1814" s="42"/>
      <c r="F1814" s="42"/>
      <c r="G1814" s="42"/>
      <c r="H1814" s="42"/>
      <c r="I1814" s="42"/>
      <c r="J1814" s="42"/>
      <c r="K1814" s="42"/>
      <c r="L1814" s="42"/>
      <c r="M1814" s="42"/>
    </row>
    <row r="1815" spans="1:13" x14ac:dyDescent="0.2">
      <c r="A1815" s="42"/>
      <c r="B1815" s="42"/>
      <c r="C1815" s="42"/>
      <c r="D1815" s="42"/>
      <c r="E1815" s="42"/>
      <c r="F1815" s="42"/>
      <c r="G1815" s="42"/>
      <c r="H1815" s="42"/>
      <c r="I1815" s="42"/>
      <c r="J1815" s="42"/>
      <c r="K1815" s="42"/>
      <c r="L1815" s="42"/>
      <c r="M1815" s="42"/>
    </row>
    <row r="1816" spans="1:13" x14ac:dyDescent="0.2">
      <c r="A1816" s="42"/>
      <c r="B1816" s="42"/>
      <c r="C1816" s="42"/>
      <c r="D1816" s="42"/>
      <c r="E1816" s="42"/>
      <c r="F1816" s="42"/>
      <c r="G1816" s="42"/>
      <c r="H1816" s="42"/>
      <c r="I1816" s="42"/>
      <c r="J1816" s="42"/>
      <c r="K1816" s="42"/>
      <c r="L1816" s="42"/>
      <c r="M1816" s="42"/>
    </row>
    <row r="1817" spans="1:13" x14ac:dyDescent="0.2">
      <c r="A1817" s="42"/>
      <c r="B1817" s="42"/>
      <c r="C1817" s="42"/>
      <c r="D1817" s="42"/>
      <c r="E1817" s="42"/>
      <c r="F1817" s="42"/>
      <c r="G1817" s="42"/>
      <c r="H1817" s="42"/>
      <c r="I1817" s="42"/>
      <c r="J1817" s="42"/>
      <c r="K1817" s="42"/>
      <c r="L1817" s="42"/>
      <c r="M1817" s="42"/>
    </row>
    <row r="1818" spans="1:13" x14ac:dyDescent="0.2">
      <c r="A1818" s="42"/>
      <c r="B1818" s="42"/>
      <c r="C1818" s="42"/>
      <c r="D1818" s="42"/>
      <c r="E1818" s="42"/>
      <c r="F1818" s="42"/>
      <c r="G1818" s="42"/>
      <c r="H1818" s="42"/>
      <c r="I1818" s="42"/>
      <c r="J1818" s="42"/>
      <c r="K1818" s="42"/>
      <c r="L1818" s="42"/>
      <c r="M1818" s="42"/>
    </row>
    <row r="1819" spans="1:13" x14ac:dyDescent="0.2">
      <c r="A1819" s="42"/>
      <c r="B1819" s="42"/>
      <c r="C1819" s="42"/>
      <c r="D1819" s="42"/>
      <c r="E1819" s="42"/>
      <c r="F1819" s="42"/>
      <c r="G1819" s="42"/>
      <c r="H1819" s="42"/>
      <c r="I1819" s="42"/>
      <c r="J1819" s="42"/>
      <c r="K1819" s="42"/>
      <c r="L1819" s="42"/>
      <c r="M1819" s="42"/>
    </row>
    <row r="1820" spans="1:13" x14ac:dyDescent="0.2">
      <c r="A1820" s="42"/>
      <c r="B1820" s="42"/>
      <c r="C1820" s="42"/>
      <c r="D1820" s="42"/>
      <c r="E1820" s="42"/>
      <c r="F1820" s="42"/>
      <c r="G1820" s="42"/>
      <c r="H1820" s="42"/>
      <c r="I1820" s="42"/>
      <c r="J1820" s="42"/>
      <c r="K1820" s="42"/>
      <c r="L1820" s="42"/>
      <c r="M1820" s="42"/>
    </row>
    <row r="1821" spans="1:13" x14ac:dyDescent="0.2">
      <c r="A1821" s="42"/>
      <c r="B1821" s="42"/>
      <c r="C1821" s="42"/>
      <c r="D1821" s="42"/>
      <c r="E1821" s="42"/>
      <c r="F1821" s="42"/>
      <c r="G1821" s="42"/>
      <c r="H1821" s="42"/>
      <c r="I1821" s="42"/>
      <c r="J1821" s="42"/>
      <c r="K1821" s="42"/>
      <c r="L1821" s="42"/>
      <c r="M1821" s="42"/>
    </row>
    <row r="1822" spans="1:13" x14ac:dyDescent="0.2">
      <c r="A1822" s="42"/>
      <c r="B1822" s="42"/>
      <c r="C1822" s="42"/>
      <c r="D1822" s="42"/>
      <c r="E1822" s="42"/>
      <c r="F1822" s="42"/>
      <c r="G1822" s="42"/>
      <c r="H1822" s="42"/>
      <c r="I1822" s="42"/>
      <c r="J1822" s="42"/>
      <c r="K1822" s="42"/>
      <c r="L1822" s="42"/>
      <c r="M1822" s="42"/>
    </row>
    <row r="1823" spans="1:13" x14ac:dyDescent="0.2">
      <c r="A1823" s="42"/>
      <c r="B1823" s="42"/>
      <c r="C1823" s="42"/>
      <c r="D1823" s="42"/>
      <c r="E1823" s="42"/>
      <c r="F1823" s="42"/>
      <c r="G1823" s="42"/>
      <c r="H1823" s="42"/>
      <c r="I1823" s="42"/>
      <c r="J1823" s="42"/>
      <c r="K1823" s="42"/>
      <c r="L1823" s="42"/>
      <c r="M1823" s="42"/>
    </row>
    <row r="1824" spans="1:13" x14ac:dyDescent="0.2">
      <c r="A1824" s="42"/>
      <c r="B1824" s="42"/>
      <c r="C1824" s="42"/>
      <c r="D1824" s="42"/>
      <c r="E1824" s="42"/>
      <c r="F1824" s="42"/>
      <c r="G1824" s="42"/>
      <c r="H1824" s="42"/>
      <c r="I1824" s="42"/>
      <c r="J1824" s="42"/>
      <c r="K1824" s="42"/>
      <c r="L1824" s="42"/>
      <c r="M1824" s="42"/>
    </row>
    <row r="1825" spans="1:13" x14ac:dyDescent="0.2">
      <c r="A1825" s="42"/>
      <c r="B1825" s="42"/>
      <c r="C1825" s="42"/>
      <c r="D1825" s="42"/>
      <c r="E1825" s="42"/>
      <c r="F1825" s="42"/>
      <c r="G1825" s="42"/>
      <c r="H1825" s="42"/>
      <c r="I1825" s="42"/>
      <c r="J1825" s="42"/>
      <c r="K1825" s="42"/>
      <c r="L1825" s="42"/>
      <c r="M1825" s="42"/>
    </row>
    <row r="1826" spans="1:13" x14ac:dyDescent="0.2">
      <c r="A1826" s="42"/>
      <c r="B1826" s="42"/>
      <c r="C1826" s="42"/>
      <c r="D1826" s="42"/>
      <c r="E1826" s="42"/>
      <c r="F1826" s="42"/>
      <c r="G1826" s="42"/>
      <c r="H1826" s="42"/>
      <c r="I1826" s="42"/>
      <c r="J1826" s="42"/>
      <c r="K1826" s="42"/>
      <c r="L1826" s="42"/>
      <c r="M1826" s="42"/>
    </row>
    <row r="1827" spans="1:13" x14ac:dyDescent="0.2">
      <c r="A1827" s="42"/>
      <c r="B1827" s="42"/>
      <c r="C1827" s="42"/>
      <c r="D1827" s="42"/>
      <c r="E1827" s="42"/>
      <c r="F1827" s="42"/>
      <c r="G1827" s="42"/>
      <c r="H1827" s="42"/>
      <c r="I1827" s="42"/>
      <c r="J1827" s="42"/>
      <c r="K1827" s="42"/>
      <c r="L1827" s="42"/>
      <c r="M1827" s="42"/>
    </row>
    <row r="1828" spans="1:13" x14ac:dyDescent="0.2">
      <c r="A1828" s="42"/>
      <c r="B1828" s="42"/>
      <c r="C1828" s="42"/>
      <c r="D1828" s="42"/>
      <c r="E1828" s="42"/>
      <c r="F1828" s="42"/>
      <c r="G1828" s="42"/>
      <c r="H1828" s="42"/>
      <c r="I1828" s="42"/>
      <c r="J1828" s="42"/>
      <c r="K1828" s="42"/>
      <c r="L1828" s="42"/>
      <c r="M1828" s="42"/>
    </row>
    <row r="1829" spans="1:13" x14ac:dyDescent="0.2">
      <c r="A1829" s="42"/>
      <c r="B1829" s="42"/>
      <c r="C1829" s="42"/>
      <c r="D1829" s="42"/>
      <c r="E1829" s="42"/>
      <c r="F1829" s="42"/>
      <c r="G1829" s="42"/>
      <c r="H1829" s="42"/>
      <c r="I1829" s="42"/>
      <c r="J1829" s="42"/>
      <c r="K1829" s="42"/>
      <c r="L1829" s="42"/>
      <c r="M1829" s="42"/>
    </row>
    <row r="1830" spans="1:13" x14ac:dyDescent="0.2">
      <c r="A1830" s="42"/>
      <c r="B1830" s="42"/>
      <c r="C1830" s="42"/>
      <c r="D1830" s="42"/>
      <c r="E1830" s="42"/>
      <c r="F1830" s="42"/>
      <c r="G1830" s="42"/>
      <c r="H1830" s="42"/>
      <c r="I1830" s="42"/>
      <c r="J1830" s="42"/>
      <c r="K1830" s="42"/>
      <c r="L1830" s="42"/>
      <c r="M1830" s="42"/>
    </row>
    <row r="1831" spans="1:13" x14ac:dyDescent="0.2">
      <c r="A1831" s="42"/>
      <c r="B1831" s="42"/>
      <c r="C1831" s="42"/>
      <c r="D1831" s="42"/>
      <c r="E1831" s="42"/>
      <c r="F1831" s="42"/>
      <c r="G1831" s="42"/>
      <c r="H1831" s="42"/>
      <c r="I1831" s="42"/>
      <c r="J1831" s="42"/>
      <c r="K1831" s="42"/>
      <c r="L1831" s="42"/>
      <c r="M1831" s="42"/>
    </row>
    <row r="1832" spans="1:13" x14ac:dyDescent="0.2">
      <c r="A1832" s="42"/>
      <c r="B1832" s="42"/>
      <c r="C1832" s="42"/>
      <c r="D1832" s="42"/>
      <c r="E1832" s="42"/>
      <c r="F1832" s="42"/>
      <c r="G1832" s="42"/>
      <c r="H1832" s="42"/>
      <c r="I1832" s="42"/>
      <c r="J1832" s="42"/>
      <c r="K1832" s="42"/>
      <c r="L1832" s="42"/>
      <c r="M1832" s="42"/>
    </row>
    <row r="1833" spans="1:13" x14ac:dyDescent="0.2">
      <c r="A1833" s="42"/>
      <c r="B1833" s="42"/>
      <c r="C1833" s="42"/>
      <c r="D1833" s="42"/>
      <c r="E1833" s="42"/>
      <c r="F1833" s="42"/>
      <c r="G1833" s="42"/>
      <c r="H1833" s="42"/>
      <c r="I1833" s="42"/>
      <c r="J1833" s="42"/>
      <c r="K1833" s="42"/>
      <c r="L1833" s="42"/>
      <c r="M1833" s="42"/>
    </row>
    <row r="1834" spans="1:13" x14ac:dyDescent="0.2">
      <c r="A1834" s="42"/>
      <c r="B1834" s="42"/>
      <c r="C1834" s="42"/>
      <c r="D1834" s="42"/>
      <c r="E1834" s="42"/>
      <c r="F1834" s="42"/>
      <c r="G1834" s="42"/>
      <c r="H1834" s="42"/>
      <c r="I1834" s="42"/>
      <c r="J1834" s="42"/>
      <c r="K1834" s="42"/>
      <c r="L1834" s="42"/>
      <c r="M1834" s="42"/>
    </row>
    <row r="1835" spans="1:13" x14ac:dyDescent="0.2">
      <c r="A1835" s="42"/>
      <c r="B1835" s="42"/>
      <c r="C1835" s="42"/>
      <c r="D1835" s="42"/>
      <c r="E1835" s="42"/>
      <c r="F1835" s="42"/>
      <c r="G1835" s="42"/>
      <c r="H1835" s="42"/>
      <c r="I1835" s="42"/>
      <c r="J1835" s="42"/>
      <c r="K1835" s="42"/>
      <c r="L1835" s="42"/>
      <c r="M1835" s="42"/>
    </row>
    <row r="1836" spans="1:13" x14ac:dyDescent="0.2">
      <c r="A1836" s="42"/>
      <c r="B1836" s="42"/>
      <c r="C1836" s="42"/>
      <c r="D1836" s="42"/>
      <c r="E1836" s="42"/>
      <c r="F1836" s="42"/>
      <c r="G1836" s="42"/>
      <c r="H1836" s="42"/>
      <c r="I1836" s="42"/>
      <c r="J1836" s="42"/>
      <c r="K1836" s="42"/>
      <c r="L1836" s="42"/>
      <c r="M1836" s="42"/>
    </row>
    <row r="1837" spans="1:13" x14ac:dyDescent="0.2">
      <c r="A1837" s="42"/>
      <c r="B1837" s="42"/>
      <c r="C1837" s="42"/>
      <c r="D1837" s="42"/>
      <c r="E1837" s="42"/>
      <c r="F1837" s="42"/>
      <c r="G1837" s="42"/>
      <c r="H1837" s="42"/>
      <c r="I1837" s="42"/>
      <c r="J1837" s="42"/>
      <c r="K1837" s="42"/>
      <c r="L1837" s="42"/>
      <c r="M1837" s="42"/>
    </row>
    <row r="1838" spans="1:13" x14ac:dyDescent="0.2">
      <c r="A1838" s="42"/>
      <c r="B1838" s="42"/>
      <c r="C1838" s="42"/>
      <c r="D1838" s="42"/>
      <c r="E1838" s="42"/>
      <c r="F1838" s="42"/>
      <c r="G1838" s="42"/>
      <c r="H1838" s="42"/>
      <c r="I1838" s="42"/>
      <c r="J1838" s="42"/>
      <c r="K1838" s="42"/>
      <c r="L1838" s="42"/>
      <c r="M1838" s="42"/>
    </row>
    <row r="1839" spans="1:13" x14ac:dyDescent="0.2">
      <c r="A1839" s="42"/>
      <c r="B1839" s="42"/>
      <c r="C1839" s="42"/>
      <c r="D1839" s="42"/>
      <c r="E1839" s="42"/>
      <c r="F1839" s="42"/>
      <c r="G1839" s="42"/>
      <c r="H1839" s="42"/>
      <c r="I1839" s="42"/>
      <c r="J1839" s="42"/>
      <c r="K1839" s="42"/>
      <c r="L1839" s="42"/>
      <c r="M1839" s="42"/>
    </row>
    <row r="1840" spans="1:13" x14ac:dyDescent="0.2">
      <c r="A1840" s="42"/>
      <c r="B1840" s="42"/>
      <c r="C1840" s="42"/>
      <c r="D1840" s="42"/>
      <c r="E1840" s="42"/>
      <c r="F1840" s="42"/>
      <c r="G1840" s="42"/>
      <c r="H1840" s="42"/>
      <c r="I1840" s="42"/>
      <c r="J1840" s="42"/>
      <c r="K1840" s="42"/>
      <c r="L1840" s="42"/>
      <c r="M1840" s="42"/>
    </row>
    <row r="1841" spans="1:13" x14ac:dyDescent="0.2">
      <c r="A1841" s="42"/>
      <c r="B1841" s="42"/>
      <c r="C1841" s="42"/>
      <c r="D1841" s="42"/>
      <c r="E1841" s="42"/>
      <c r="F1841" s="42"/>
      <c r="G1841" s="42"/>
      <c r="H1841" s="42"/>
      <c r="I1841" s="42"/>
      <c r="J1841" s="42"/>
      <c r="K1841" s="42"/>
      <c r="L1841" s="42"/>
      <c r="M1841" s="42"/>
    </row>
    <row r="1842" spans="1:13" x14ac:dyDescent="0.2">
      <c r="A1842" s="42"/>
      <c r="B1842" s="42"/>
      <c r="C1842" s="42"/>
      <c r="D1842" s="42"/>
      <c r="E1842" s="42"/>
      <c r="F1842" s="42"/>
      <c r="G1842" s="42"/>
      <c r="H1842" s="42"/>
      <c r="I1842" s="42"/>
      <c r="J1842" s="42"/>
      <c r="K1842" s="42"/>
      <c r="L1842" s="42"/>
      <c r="M1842" s="42"/>
    </row>
    <row r="1843" spans="1:13" x14ac:dyDescent="0.2">
      <c r="A1843" s="42"/>
      <c r="B1843" s="42"/>
      <c r="C1843" s="42"/>
      <c r="D1843" s="42"/>
      <c r="E1843" s="42"/>
      <c r="F1843" s="42"/>
      <c r="G1843" s="42"/>
      <c r="H1843" s="42"/>
      <c r="I1843" s="42"/>
      <c r="J1843" s="42"/>
      <c r="K1843" s="42"/>
      <c r="L1843" s="42"/>
      <c r="M1843" s="42"/>
    </row>
    <row r="1844" spans="1:13" x14ac:dyDescent="0.2">
      <c r="A1844" s="42"/>
      <c r="B1844" s="42"/>
      <c r="C1844" s="42"/>
      <c r="D1844" s="42"/>
      <c r="E1844" s="42"/>
      <c r="F1844" s="42"/>
      <c r="G1844" s="42"/>
      <c r="H1844" s="42"/>
      <c r="I1844" s="42"/>
      <c r="J1844" s="42"/>
      <c r="K1844" s="42"/>
      <c r="L1844" s="42"/>
      <c r="M1844" s="42"/>
    </row>
    <row r="1845" spans="1:13" x14ac:dyDescent="0.2">
      <c r="A1845" s="42"/>
      <c r="B1845" s="42"/>
      <c r="C1845" s="42"/>
      <c r="D1845" s="42"/>
      <c r="E1845" s="42"/>
      <c r="F1845" s="42"/>
      <c r="G1845" s="42"/>
      <c r="H1845" s="42"/>
      <c r="I1845" s="42"/>
      <c r="J1845" s="42"/>
      <c r="K1845" s="42"/>
      <c r="L1845" s="42"/>
      <c r="M1845" s="42"/>
    </row>
    <row r="1846" spans="1:13" x14ac:dyDescent="0.2">
      <c r="A1846" s="42"/>
      <c r="B1846" s="42"/>
      <c r="C1846" s="42"/>
      <c r="D1846" s="42"/>
      <c r="E1846" s="42"/>
      <c r="F1846" s="42"/>
      <c r="G1846" s="42"/>
      <c r="H1846" s="42"/>
      <c r="I1846" s="42"/>
      <c r="J1846" s="42"/>
      <c r="K1846" s="42"/>
      <c r="L1846" s="42"/>
      <c r="M1846" s="42"/>
    </row>
    <row r="1847" spans="1:13" x14ac:dyDescent="0.2">
      <c r="A1847" s="42"/>
      <c r="B1847" s="42"/>
      <c r="C1847" s="42"/>
      <c r="D1847" s="42"/>
      <c r="E1847" s="42"/>
      <c r="F1847" s="42"/>
      <c r="G1847" s="42"/>
      <c r="H1847" s="42"/>
      <c r="I1847" s="42"/>
      <c r="J1847" s="42"/>
      <c r="K1847" s="42"/>
      <c r="L1847" s="42"/>
      <c r="M1847" s="42"/>
    </row>
    <row r="1848" spans="1:13" x14ac:dyDescent="0.2">
      <c r="A1848" s="42"/>
      <c r="B1848" s="42"/>
      <c r="C1848" s="42"/>
      <c r="D1848" s="42"/>
      <c r="E1848" s="42"/>
      <c r="F1848" s="42"/>
      <c r="G1848" s="42"/>
      <c r="H1848" s="42"/>
      <c r="I1848" s="42"/>
      <c r="J1848" s="42"/>
      <c r="K1848" s="42"/>
      <c r="L1848" s="42"/>
      <c r="M1848" s="42"/>
    </row>
    <row r="1849" spans="1:13" x14ac:dyDescent="0.2">
      <c r="A1849" s="42"/>
      <c r="B1849" s="42"/>
      <c r="C1849" s="42"/>
      <c r="D1849" s="42"/>
      <c r="E1849" s="42"/>
      <c r="F1849" s="42"/>
      <c r="G1849" s="42"/>
      <c r="H1849" s="42"/>
      <c r="I1849" s="42"/>
      <c r="J1849" s="42"/>
      <c r="K1849" s="42"/>
      <c r="L1849" s="42"/>
      <c r="M1849" s="42"/>
    </row>
    <row r="1850" spans="1:13" x14ac:dyDescent="0.2">
      <c r="A1850" s="42"/>
      <c r="B1850" s="42"/>
      <c r="C1850" s="42"/>
      <c r="D1850" s="42"/>
      <c r="E1850" s="42"/>
      <c r="F1850" s="42"/>
      <c r="G1850" s="42"/>
      <c r="H1850" s="42"/>
      <c r="I1850" s="42"/>
      <c r="J1850" s="42"/>
      <c r="K1850" s="42"/>
      <c r="L1850" s="42"/>
      <c r="M1850" s="42"/>
    </row>
    <row r="1851" spans="1:13" x14ac:dyDescent="0.2">
      <c r="A1851" s="42"/>
      <c r="B1851" s="42"/>
      <c r="C1851" s="42"/>
      <c r="D1851" s="42"/>
      <c r="E1851" s="42"/>
      <c r="F1851" s="42"/>
      <c r="G1851" s="42"/>
      <c r="H1851" s="42"/>
      <c r="I1851" s="42"/>
      <c r="J1851" s="42"/>
      <c r="K1851" s="42"/>
      <c r="L1851" s="42"/>
      <c r="M1851" s="42"/>
    </row>
    <row r="1852" spans="1:13" x14ac:dyDescent="0.2">
      <c r="A1852" s="42"/>
      <c r="B1852" s="42"/>
      <c r="C1852" s="42"/>
      <c r="D1852" s="42"/>
      <c r="E1852" s="42"/>
      <c r="F1852" s="42"/>
      <c r="G1852" s="42"/>
      <c r="H1852" s="42"/>
      <c r="I1852" s="42"/>
      <c r="J1852" s="42"/>
      <c r="K1852" s="42"/>
      <c r="L1852" s="42"/>
      <c r="M1852" s="42"/>
    </row>
    <row r="1853" spans="1:13" x14ac:dyDescent="0.2">
      <c r="A1853" s="42"/>
      <c r="B1853" s="42"/>
      <c r="C1853" s="42"/>
      <c r="D1853" s="42"/>
      <c r="E1853" s="42"/>
      <c r="F1853" s="42"/>
      <c r="G1853" s="42"/>
      <c r="H1853" s="42"/>
      <c r="I1853" s="42"/>
      <c r="J1853" s="42"/>
      <c r="K1853" s="42"/>
      <c r="L1853" s="42"/>
      <c r="M1853" s="42"/>
    </row>
    <row r="1854" spans="1:13" x14ac:dyDescent="0.2">
      <c r="A1854" s="42"/>
      <c r="B1854" s="42"/>
      <c r="C1854" s="42"/>
      <c r="D1854" s="42"/>
      <c r="E1854" s="42"/>
      <c r="F1854" s="42"/>
      <c r="G1854" s="42"/>
      <c r="H1854" s="42"/>
      <c r="I1854" s="42"/>
      <c r="J1854" s="42"/>
      <c r="K1854" s="42"/>
      <c r="L1854" s="42"/>
      <c r="M1854" s="42"/>
    </row>
    <row r="1855" spans="1:13" x14ac:dyDescent="0.2">
      <c r="A1855" s="42"/>
      <c r="B1855" s="42"/>
      <c r="C1855" s="42"/>
      <c r="D1855" s="42"/>
      <c r="E1855" s="42"/>
      <c r="F1855" s="42"/>
      <c r="G1855" s="42"/>
      <c r="H1855" s="42"/>
      <c r="I1855" s="42"/>
      <c r="J1855" s="42"/>
      <c r="K1855" s="42"/>
      <c r="L1855" s="42"/>
      <c r="M1855" s="42"/>
    </row>
    <row r="1856" spans="1:13" x14ac:dyDescent="0.2">
      <c r="A1856" s="42"/>
      <c r="B1856" s="42"/>
      <c r="C1856" s="42"/>
      <c r="D1856" s="42"/>
      <c r="E1856" s="42"/>
      <c r="F1856" s="42"/>
      <c r="G1856" s="42"/>
      <c r="H1856" s="42"/>
      <c r="I1856" s="42"/>
      <c r="J1856" s="42"/>
      <c r="K1856" s="42"/>
      <c r="L1856" s="42"/>
      <c r="M1856" s="42"/>
    </row>
    <row r="1857" spans="1:13" x14ac:dyDescent="0.2">
      <c r="A1857" s="42"/>
      <c r="B1857" s="42"/>
      <c r="C1857" s="42"/>
      <c r="D1857" s="42"/>
      <c r="E1857" s="42"/>
      <c r="F1857" s="42"/>
      <c r="G1857" s="42"/>
      <c r="H1857" s="42"/>
      <c r="I1857" s="42"/>
      <c r="J1857" s="42"/>
      <c r="K1857" s="42"/>
      <c r="L1857" s="42"/>
      <c r="M1857" s="42"/>
    </row>
    <row r="1858" spans="1:13" x14ac:dyDescent="0.2">
      <c r="A1858" s="42"/>
      <c r="B1858" s="42"/>
      <c r="C1858" s="42"/>
      <c r="D1858" s="42"/>
      <c r="E1858" s="42"/>
      <c r="F1858" s="42"/>
      <c r="G1858" s="42"/>
      <c r="H1858" s="42"/>
      <c r="I1858" s="42"/>
      <c r="J1858" s="42"/>
      <c r="K1858" s="42"/>
      <c r="L1858" s="42"/>
      <c r="M1858" s="42"/>
    </row>
    <row r="1859" spans="1:13" x14ac:dyDescent="0.2">
      <c r="A1859" s="42"/>
      <c r="B1859" s="42"/>
      <c r="C1859" s="42"/>
      <c r="D1859" s="42"/>
      <c r="E1859" s="42"/>
      <c r="F1859" s="42"/>
      <c r="G1859" s="42"/>
      <c r="H1859" s="42"/>
      <c r="I1859" s="42"/>
      <c r="J1859" s="42"/>
      <c r="K1859" s="42"/>
      <c r="L1859" s="42"/>
      <c r="M1859" s="42"/>
    </row>
    <row r="1860" spans="1:13" x14ac:dyDescent="0.2">
      <c r="A1860" s="42"/>
      <c r="B1860" s="42"/>
      <c r="C1860" s="42"/>
      <c r="D1860" s="42"/>
      <c r="E1860" s="42"/>
      <c r="F1860" s="42"/>
      <c r="G1860" s="42"/>
      <c r="H1860" s="42"/>
      <c r="I1860" s="42"/>
      <c r="J1860" s="42"/>
      <c r="K1860" s="42"/>
      <c r="L1860" s="42"/>
      <c r="M1860" s="42"/>
    </row>
    <row r="1861" spans="1:13" x14ac:dyDescent="0.2">
      <c r="A1861" s="42"/>
      <c r="B1861" s="42"/>
      <c r="C1861" s="42"/>
      <c r="D1861" s="42"/>
      <c r="E1861" s="42"/>
      <c r="F1861" s="42"/>
      <c r="G1861" s="42"/>
      <c r="H1861" s="42"/>
      <c r="I1861" s="42"/>
      <c r="J1861" s="42"/>
      <c r="K1861" s="42"/>
      <c r="L1861" s="42"/>
      <c r="M1861" s="42"/>
    </row>
    <row r="1862" spans="1:13" x14ac:dyDescent="0.2">
      <c r="A1862" s="42"/>
      <c r="B1862" s="42"/>
      <c r="C1862" s="42"/>
      <c r="D1862" s="42"/>
      <c r="E1862" s="42"/>
      <c r="F1862" s="42"/>
      <c r="G1862" s="42"/>
      <c r="H1862" s="42"/>
      <c r="I1862" s="42"/>
      <c r="J1862" s="42"/>
      <c r="K1862" s="42"/>
      <c r="L1862" s="42"/>
      <c r="M1862" s="42"/>
    </row>
    <row r="1863" spans="1:13" x14ac:dyDescent="0.2">
      <c r="A1863" s="42"/>
      <c r="B1863" s="42"/>
      <c r="C1863" s="42"/>
      <c r="D1863" s="42"/>
      <c r="E1863" s="42"/>
      <c r="F1863" s="42"/>
      <c r="G1863" s="42"/>
      <c r="H1863" s="42"/>
      <c r="I1863" s="42"/>
      <c r="J1863" s="42"/>
      <c r="K1863" s="42"/>
      <c r="L1863" s="42"/>
      <c r="M1863" s="42"/>
    </row>
    <row r="1864" spans="1:13" x14ac:dyDescent="0.2">
      <c r="A1864" s="42"/>
      <c r="B1864" s="42"/>
      <c r="C1864" s="42"/>
      <c r="D1864" s="42"/>
      <c r="E1864" s="42"/>
      <c r="F1864" s="42"/>
      <c r="G1864" s="42"/>
      <c r="H1864" s="42"/>
      <c r="I1864" s="42"/>
      <c r="J1864" s="42"/>
      <c r="K1864" s="42"/>
      <c r="L1864" s="42"/>
      <c r="M1864" s="42"/>
    </row>
    <row r="1865" spans="1:13" x14ac:dyDescent="0.2">
      <c r="A1865" s="42"/>
      <c r="B1865" s="42"/>
      <c r="C1865" s="42"/>
      <c r="D1865" s="42"/>
      <c r="E1865" s="42"/>
      <c r="F1865" s="42"/>
      <c r="G1865" s="42"/>
      <c r="H1865" s="42"/>
      <c r="I1865" s="42"/>
      <c r="J1865" s="42"/>
      <c r="K1865" s="42"/>
      <c r="L1865" s="42"/>
      <c r="M1865" s="42"/>
    </row>
    <row r="1866" spans="1:13" x14ac:dyDescent="0.2">
      <c r="A1866" s="42"/>
      <c r="B1866" s="42"/>
      <c r="C1866" s="42"/>
      <c r="D1866" s="42"/>
      <c r="E1866" s="42"/>
      <c r="F1866" s="42"/>
      <c r="G1866" s="42"/>
      <c r="H1866" s="42"/>
      <c r="I1866" s="42"/>
      <c r="J1866" s="42"/>
      <c r="K1866" s="42"/>
      <c r="L1866" s="42"/>
      <c r="M1866" s="42"/>
    </row>
    <row r="1867" spans="1:13" x14ac:dyDescent="0.2">
      <c r="A1867" s="42"/>
      <c r="B1867" s="42"/>
      <c r="C1867" s="42"/>
      <c r="D1867" s="42"/>
      <c r="E1867" s="42"/>
      <c r="F1867" s="42"/>
      <c r="G1867" s="42"/>
      <c r="H1867" s="42"/>
      <c r="I1867" s="42"/>
      <c r="J1867" s="42"/>
      <c r="K1867" s="42"/>
      <c r="L1867" s="42"/>
      <c r="M1867" s="42"/>
    </row>
    <row r="1868" spans="1:13" x14ac:dyDescent="0.2">
      <c r="A1868" s="42"/>
      <c r="B1868" s="42"/>
      <c r="C1868" s="42"/>
      <c r="D1868" s="42"/>
      <c r="E1868" s="42"/>
      <c r="F1868" s="42"/>
      <c r="G1868" s="42"/>
      <c r="H1868" s="42"/>
      <c r="I1868" s="42"/>
      <c r="J1868" s="42"/>
      <c r="K1868" s="42"/>
      <c r="L1868" s="42"/>
      <c r="M1868" s="42"/>
    </row>
    <row r="1869" spans="1:13" x14ac:dyDescent="0.2">
      <c r="A1869" s="42"/>
      <c r="B1869" s="42"/>
      <c r="C1869" s="42"/>
      <c r="D1869" s="42"/>
      <c r="E1869" s="42"/>
      <c r="F1869" s="42"/>
      <c r="G1869" s="42"/>
      <c r="H1869" s="42"/>
      <c r="I1869" s="42"/>
      <c r="J1869" s="42"/>
      <c r="K1869" s="42"/>
      <c r="L1869" s="42"/>
      <c r="M1869" s="42"/>
    </row>
    <row r="1870" spans="1:13" x14ac:dyDescent="0.2">
      <c r="A1870" s="42"/>
      <c r="B1870" s="42"/>
      <c r="C1870" s="42"/>
      <c r="D1870" s="42"/>
      <c r="E1870" s="42"/>
      <c r="F1870" s="42"/>
      <c r="G1870" s="42"/>
      <c r="H1870" s="42"/>
      <c r="I1870" s="42"/>
      <c r="J1870" s="42"/>
      <c r="K1870" s="42"/>
      <c r="L1870" s="42"/>
      <c r="M1870" s="42"/>
    </row>
    <row r="1871" spans="1:13" x14ac:dyDescent="0.2">
      <c r="A1871" s="42"/>
      <c r="B1871" s="42"/>
      <c r="C1871" s="42"/>
      <c r="D1871" s="42"/>
      <c r="E1871" s="42"/>
      <c r="F1871" s="42"/>
      <c r="G1871" s="42"/>
      <c r="H1871" s="42"/>
      <c r="I1871" s="42"/>
      <c r="J1871" s="42"/>
      <c r="K1871" s="42"/>
      <c r="L1871" s="42"/>
      <c r="M1871" s="42"/>
    </row>
    <row r="1872" spans="1:13" x14ac:dyDescent="0.2">
      <c r="A1872" s="42"/>
      <c r="B1872" s="42"/>
      <c r="C1872" s="42"/>
      <c r="D1872" s="42"/>
      <c r="E1872" s="42"/>
      <c r="F1872" s="42"/>
      <c r="G1872" s="42"/>
      <c r="H1872" s="42"/>
      <c r="I1872" s="42"/>
      <c r="J1872" s="42"/>
      <c r="K1872" s="42"/>
      <c r="L1872" s="42"/>
      <c r="M1872" s="42"/>
    </row>
    <row r="1873" spans="1:13" x14ac:dyDescent="0.2">
      <c r="A1873" s="42"/>
      <c r="B1873" s="42"/>
      <c r="C1873" s="42"/>
      <c r="D1873" s="42"/>
      <c r="E1873" s="42"/>
      <c r="F1873" s="42"/>
      <c r="G1873" s="42"/>
      <c r="H1873" s="42"/>
      <c r="I1873" s="42"/>
      <c r="J1873" s="42"/>
      <c r="K1873" s="42"/>
      <c r="L1873" s="42"/>
      <c r="M1873" s="42"/>
    </row>
    <row r="1874" spans="1:13" x14ac:dyDescent="0.2">
      <c r="A1874" s="42"/>
      <c r="B1874" s="42"/>
      <c r="C1874" s="42"/>
      <c r="D1874" s="42"/>
      <c r="E1874" s="42"/>
      <c r="F1874" s="42"/>
      <c r="G1874" s="42"/>
      <c r="H1874" s="42"/>
      <c r="I1874" s="42"/>
      <c r="J1874" s="42"/>
      <c r="K1874" s="42"/>
      <c r="L1874" s="42"/>
      <c r="M1874" s="42"/>
    </row>
    <row r="1875" spans="1:13" x14ac:dyDescent="0.2">
      <c r="A1875" s="42"/>
      <c r="B1875" s="42"/>
      <c r="C1875" s="42"/>
      <c r="D1875" s="42"/>
      <c r="E1875" s="42"/>
      <c r="F1875" s="42"/>
      <c r="G1875" s="42"/>
      <c r="H1875" s="42"/>
      <c r="I1875" s="42"/>
      <c r="J1875" s="42"/>
      <c r="K1875" s="42"/>
      <c r="L1875" s="42"/>
      <c r="M1875" s="42"/>
    </row>
    <row r="1876" spans="1:13" x14ac:dyDescent="0.2">
      <c r="A1876" s="42"/>
      <c r="B1876" s="42"/>
      <c r="C1876" s="42"/>
      <c r="D1876" s="42"/>
      <c r="E1876" s="42"/>
      <c r="F1876" s="42"/>
      <c r="G1876" s="42"/>
      <c r="H1876" s="42"/>
      <c r="I1876" s="42"/>
      <c r="J1876" s="42"/>
      <c r="K1876" s="42"/>
      <c r="L1876" s="42"/>
      <c r="M1876" s="42"/>
    </row>
    <row r="1877" spans="1:13" x14ac:dyDescent="0.2">
      <c r="A1877" s="42"/>
      <c r="B1877" s="42"/>
      <c r="C1877" s="42"/>
      <c r="D1877" s="42"/>
      <c r="E1877" s="42"/>
      <c r="F1877" s="42"/>
      <c r="G1877" s="42"/>
      <c r="H1877" s="42"/>
      <c r="I1877" s="42"/>
      <c r="J1877" s="42"/>
      <c r="K1877" s="42"/>
      <c r="L1877" s="42"/>
      <c r="M1877" s="42"/>
    </row>
    <row r="1878" spans="1:13" x14ac:dyDescent="0.2">
      <c r="A1878" s="42"/>
      <c r="B1878" s="42"/>
      <c r="C1878" s="42"/>
      <c r="D1878" s="42"/>
      <c r="E1878" s="42"/>
      <c r="F1878" s="42"/>
      <c r="G1878" s="42"/>
      <c r="H1878" s="42"/>
      <c r="I1878" s="42"/>
      <c r="J1878" s="42"/>
      <c r="K1878" s="42"/>
      <c r="L1878" s="42"/>
      <c r="M1878" s="42"/>
    </row>
    <row r="1879" spans="1:13" x14ac:dyDescent="0.2">
      <c r="A1879" s="42"/>
      <c r="B1879" s="42"/>
      <c r="C1879" s="42"/>
      <c r="D1879" s="42"/>
      <c r="E1879" s="42"/>
      <c r="F1879" s="42"/>
      <c r="G1879" s="42"/>
      <c r="H1879" s="42"/>
      <c r="I1879" s="42"/>
      <c r="J1879" s="42"/>
      <c r="K1879" s="42"/>
      <c r="L1879" s="42"/>
      <c r="M1879" s="42"/>
    </row>
    <row r="1880" spans="1:13" x14ac:dyDescent="0.2">
      <c r="A1880" s="42"/>
      <c r="B1880" s="42"/>
      <c r="C1880" s="42"/>
      <c r="D1880" s="42"/>
      <c r="E1880" s="42"/>
      <c r="F1880" s="42"/>
      <c r="G1880" s="42"/>
      <c r="H1880" s="42"/>
      <c r="I1880" s="42"/>
      <c r="J1880" s="42"/>
      <c r="K1880" s="42"/>
      <c r="L1880" s="42"/>
      <c r="M1880" s="42"/>
    </row>
    <row r="1881" spans="1:13" x14ac:dyDescent="0.2">
      <c r="A1881" s="42"/>
      <c r="B1881" s="42"/>
      <c r="C1881" s="42"/>
      <c r="D1881" s="42"/>
      <c r="E1881" s="42"/>
      <c r="F1881" s="42"/>
      <c r="G1881" s="42"/>
      <c r="H1881" s="42"/>
      <c r="I1881" s="42"/>
      <c r="J1881" s="42"/>
      <c r="K1881" s="42"/>
      <c r="L1881" s="42"/>
      <c r="M1881" s="42"/>
    </row>
    <row r="1882" spans="1:13" x14ac:dyDescent="0.2">
      <c r="A1882" s="42"/>
      <c r="B1882" s="42"/>
      <c r="C1882" s="42"/>
      <c r="D1882" s="42"/>
      <c r="E1882" s="42"/>
      <c r="F1882" s="42"/>
      <c r="G1882" s="42"/>
      <c r="H1882" s="42"/>
      <c r="I1882" s="42"/>
      <c r="J1882" s="42"/>
      <c r="K1882" s="42"/>
      <c r="L1882" s="42"/>
      <c r="M1882" s="42"/>
    </row>
    <row r="1883" spans="1:13" x14ac:dyDescent="0.2">
      <c r="A1883" s="42"/>
      <c r="B1883" s="42"/>
      <c r="C1883" s="42"/>
      <c r="D1883" s="42"/>
      <c r="E1883" s="42"/>
      <c r="F1883" s="42"/>
      <c r="G1883" s="42"/>
      <c r="H1883" s="42"/>
      <c r="I1883" s="42"/>
      <c r="J1883" s="42"/>
      <c r="K1883" s="42"/>
      <c r="L1883" s="42"/>
      <c r="M1883" s="42"/>
    </row>
    <row r="1884" spans="1:13" x14ac:dyDescent="0.2">
      <c r="A1884" s="42"/>
      <c r="B1884" s="42"/>
      <c r="C1884" s="42"/>
      <c r="D1884" s="42"/>
      <c r="E1884" s="42"/>
      <c r="F1884" s="42"/>
      <c r="G1884" s="42"/>
      <c r="H1884" s="42"/>
      <c r="I1884" s="42"/>
      <c r="J1884" s="42"/>
      <c r="K1884" s="42"/>
      <c r="L1884" s="42"/>
      <c r="M1884" s="42"/>
    </row>
    <row r="1885" spans="1:13" x14ac:dyDescent="0.2">
      <c r="A1885" s="42"/>
      <c r="B1885" s="42"/>
      <c r="C1885" s="42"/>
      <c r="D1885" s="42"/>
      <c r="E1885" s="42"/>
      <c r="F1885" s="42"/>
      <c r="G1885" s="42"/>
      <c r="H1885" s="42"/>
      <c r="I1885" s="42"/>
      <c r="J1885" s="42"/>
      <c r="K1885" s="42"/>
      <c r="L1885" s="42"/>
      <c r="M1885" s="42"/>
    </row>
    <row r="1886" spans="1:13" x14ac:dyDescent="0.2">
      <c r="A1886" s="42"/>
      <c r="B1886" s="42"/>
      <c r="C1886" s="42"/>
      <c r="D1886" s="42"/>
      <c r="E1886" s="42"/>
      <c r="F1886" s="42"/>
      <c r="G1886" s="42"/>
      <c r="H1886" s="42"/>
      <c r="I1886" s="42"/>
      <c r="J1886" s="42"/>
      <c r="K1886" s="42"/>
      <c r="L1886" s="42"/>
      <c r="M1886" s="42"/>
    </row>
    <row r="1887" spans="1:13" x14ac:dyDescent="0.2">
      <c r="A1887" s="42"/>
      <c r="B1887" s="42"/>
      <c r="C1887" s="42"/>
      <c r="D1887" s="42"/>
      <c r="E1887" s="42"/>
      <c r="F1887" s="42"/>
      <c r="G1887" s="42"/>
      <c r="H1887" s="42"/>
      <c r="I1887" s="42"/>
      <c r="J1887" s="42"/>
      <c r="K1887" s="42"/>
      <c r="L1887" s="42"/>
      <c r="M1887" s="42"/>
    </row>
    <row r="1888" spans="1:13" x14ac:dyDescent="0.2">
      <c r="A1888" s="42"/>
      <c r="B1888" s="42"/>
      <c r="C1888" s="42"/>
      <c r="D1888" s="42"/>
      <c r="E1888" s="42"/>
      <c r="F1888" s="42"/>
      <c r="G1888" s="42"/>
      <c r="H1888" s="42"/>
      <c r="I1888" s="42"/>
      <c r="J1888" s="42"/>
      <c r="K1888" s="42"/>
      <c r="L1888" s="42"/>
      <c r="M1888" s="42"/>
    </row>
    <row r="1889" spans="1:13" x14ac:dyDescent="0.2">
      <c r="A1889" s="42"/>
      <c r="B1889" s="42"/>
      <c r="C1889" s="42"/>
      <c r="D1889" s="42"/>
      <c r="E1889" s="42"/>
      <c r="F1889" s="42"/>
      <c r="G1889" s="42"/>
      <c r="H1889" s="42"/>
      <c r="I1889" s="42"/>
      <c r="J1889" s="42"/>
      <c r="K1889" s="42"/>
      <c r="L1889" s="42"/>
      <c r="M1889" s="42"/>
    </row>
    <row r="1890" spans="1:13" x14ac:dyDescent="0.2">
      <c r="A1890" s="42"/>
      <c r="B1890" s="42"/>
      <c r="C1890" s="42"/>
      <c r="D1890" s="42"/>
      <c r="E1890" s="42"/>
      <c r="F1890" s="42"/>
      <c r="G1890" s="42"/>
      <c r="H1890" s="42"/>
      <c r="I1890" s="42"/>
      <c r="J1890" s="42"/>
      <c r="K1890" s="42"/>
      <c r="L1890" s="42"/>
      <c r="M1890" s="42"/>
    </row>
    <row r="1891" spans="1:13" x14ac:dyDescent="0.2">
      <c r="A1891" s="42"/>
      <c r="B1891" s="42"/>
      <c r="C1891" s="42"/>
      <c r="D1891" s="42"/>
      <c r="E1891" s="42"/>
      <c r="F1891" s="42"/>
      <c r="G1891" s="42"/>
      <c r="H1891" s="42"/>
      <c r="I1891" s="42"/>
      <c r="J1891" s="42"/>
      <c r="K1891" s="42"/>
      <c r="L1891" s="42"/>
      <c r="M1891" s="42"/>
    </row>
    <row r="1892" spans="1:13" x14ac:dyDescent="0.2">
      <c r="A1892" s="42"/>
      <c r="B1892" s="42"/>
      <c r="C1892" s="42"/>
      <c r="D1892" s="42"/>
      <c r="E1892" s="42"/>
      <c r="F1892" s="42"/>
      <c r="G1892" s="42"/>
      <c r="H1892" s="42"/>
      <c r="I1892" s="42"/>
      <c r="J1892" s="42"/>
      <c r="K1892" s="42"/>
      <c r="L1892" s="42"/>
      <c r="M1892" s="42"/>
    </row>
    <row r="1893" spans="1:13" x14ac:dyDescent="0.2">
      <c r="A1893" s="42"/>
      <c r="B1893" s="42"/>
      <c r="C1893" s="42"/>
      <c r="D1893" s="42"/>
      <c r="E1893" s="42"/>
      <c r="F1893" s="42"/>
      <c r="G1893" s="42"/>
      <c r="H1893" s="42"/>
      <c r="I1893" s="42"/>
      <c r="J1893" s="42"/>
      <c r="K1893" s="42"/>
      <c r="L1893" s="42"/>
      <c r="M1893" s="42"/>
    </row>
    <row r="1894" spans="1:13" x14ac:dyDescent="0.2">
      <c r="A1894" s="42"/>
      <c r="B1894" s="42"/>
      <c r="C1894" s="42"/>
      <c r="D1894" s="42"/>
      <c r="E1894" s="42"/>
      <c r="F1894" s="42"/>
      <c r="G1894" s="42"/>
      <c r="H1894" s="42"/>
      <c r="I1894" s="42"/>
      <c r="J1894" s="42"/>
      <c r="K1894" s="42"/>
      <c r="L1894" s="42"/>
      <c r="M1894" s="42"/>
    </row>
    <row r="1895" spans="1:13" x14ac:dyDescent="0.2">
      <c r="A1895" s="42"/>
      <c r="B1895" s="42"/>
      <c r="C1895" s="42"/>
      <c r="D1895" s="42"/>
      <c r="E1895" s="42"/>
      <c r="F1895" s="42"/>
      <c r="G1895" s="42"/>
      <c r="H1895" s="42"/>
      <c r="I1895" s="42"/>
      <c r="J1895" s="42"/>
      <c r="K1895" s="42"/>
      <c r="L1895" s="42"/>
      <c r="M1895" s="42"/>
    </row>
    <row r="1896" spans="1:13" x14ac:dyDescent="0.2">
      <c r="A1896" s="42"/>
      <c r="B1896" s="42"/>
      <c r="C1896" s="42"/>
      <c r="D1896" s="42"/>
      <c r="E1896" s="42"/>
      <c r="F1896" s="42"/>
      <c r="G1896" s="42"/>
      <c r="H1896" s="42"/>
      <c r="I1896" s="42"/>
      <c r="J1896" s="42"/>
      <c r="K1896" s="42"/>
      <c r="L1896" s="42"/>
      <c r="M1896" s="42"/>
    </row>
    <row r="1897" spans="1:13" x14ac:dyDescent="0.2">
      <c r="A1897" s="42"/>
      <c r="B1897" s="42"/>
      <c r="C1897" s="42"/>
      <c r="D1897" s="42"/>
      <c r="E1897" s="42"/>
      <c r="F1897" s="42"/>
      <c r="G1897" s="42"/>
      <c r="H1897" s="42"/>
      <c r="I1897" s="42"/>
      <c r="J1897" s="42"/>
      <c r="K1897" s="42"/>
      <c r="L1897" s="42"/>
      <c r="M1897" s="42"/>
    </row>
    <row r="1898" spans="1:13" x14ac:dyDescent="0.2">
      <c r="A1898" s="42"/>
      <c r="B1898" s="42"/>
      <c r="C1898" s="42"/>
      <c r="D1898" s="42"/>
      <c r="E1898" s="42"/>
      <c r="F1898" s="42"/>
      <c r="G1898" s="42"/>
      <c r="H1898" s="42"/>
      <c r="I1898" s="42"/>
      <c r="J1898" s="42"/>
      <c r="K1898" s="42"/>
      <c r="L1898" s="42"/>
      <c r="M1898" s="42"/>
    </row>
    <row r="1899" spans="1:13" x14ac:dyDescent="0.2">
      <c r="A1899" s="42"/>
      <c r="B1899" s="42"/>
      <c r="C1899" s="42"/>
      <c r="D1899" s="42"/>
      <c r="E1899" s="42"/>
      <c r="F1899" s="42"/>
      <c r="G1899" s="42"/>
      <c r="H1899" s="42"/>
      <c r="I1899" s="42"/>
      <c r="J1899" s="42"/>
      <c r="K1899" s="42"/>
      <c r="L1899" s="42"/>
      <c r="M1899" s="42"/>
    </row>
    <row r="1900" spans="1:13" x14ac:dyDescent="0.2">
      <c r="A1900" s="42"/>
      <c r="B1900" s="42"/>
      <c r="C1900" s="42"/>
      <c r="D1900" s="42"/>
      <c r="E1900" s="42"/>
      <c r="F1900" s="42"/>
      <c r="G1900" s="42"/>
      <c r="H1900" s="42"/>
      <c r="I1900" s="42"/>
      <c r="J1900" s="42"/>
      <c r="K1900" s="42"/>
      <c r="L1900" s="42"/>
      <c r="M1900" s="42"/>
    </row>
    <row r="1901" spans="1:13" x14ac:dyDescent="0.2">
      <c r="A1901" s="42"/>
      <c r="B1901" s="42"/>
      <c r="C1901" s="42"/>
      <c r="D1901" s="42"/>
      <c r="E1901" s="42"/>
      <c r="F1901" s="42"/>
      <c r="G1901" s="42"/>
      <c r="H1901" s="42"/>
      <c r="I1901" s="42"/>
      <c r="J1901" s="42"/>
      <c r="K1901" s="42"/>
      <c r="L1901" s="42"/>
      <c r="M1901" s="42"/>
    </row>
    <row r="1902" spans="1:13" x14ac:dyDescent="0.2">
      <c r="A1902" s="42"/>
      <c r="B1902" s="42"/>
      <c r="C1902" s="42"/>
      <c r="D1902" s="42"/>
      <c r="E1902" s="42"/>
      <c r="F1902" s="42"/>
      <c r="G1902" s="42"/>
      <c r="H1902" s="42"/>
      <c r="I1902" s="42"/>
      <c r="J1902" s="42"/>
      <c r="K1902" s="42"/>
      <c r="L1902" s="42"/>
      <c r="M1902" s="42"/>
    </row>
    <row r="1903" spans="1:13" x14ac:dyDescent="0.2">
      <c r="A1903" s="42"/>
      <c r="B1903" s="42"/>
      <c r="C1903" s="42"/>
      <c r="D1903" s="42"/>
      <c r="E1903" s="42"/>
      <c r="F1903" s="42"/>
      <c r="G1903" s="42"/>
      <c r="H1903" s="42"/>
      <c r="I1903" s="42"/>
      <c r="J1903" s="42"/>
      <c r="K1903" s="42"/>
      <c r="L1903" s="42"/>
      <c r="M1903" s="42"/>
    </row>
    <row r="1904" spans="1:13" x14ac:dyDescent="0.2">
      <c r="A1904" s="42"/>
      <c r="B1904" s="42"/>
      <c r="C1904" s="42"/>
      <c r="D1904" s="42"/>
      <c r="E1904" s="42"/>
      <c r="F1904" s="42"/>
      <c r="G1904" s="42"/>
      <c r="H1904" s="42"/>
      <c r="I1904" s="42"/>
      <c r="J1904" s="42"/>
      <c r="K1904" s="42"/>
      <c r="L1904" s="42"/>
      <c r="M1904" s="42"/>
    </row>
    <row r="1905" spans="1:13" x14ac:dyDescent="0.2">
      <c r="A1905" s="42"/>
      <c r="B1905" s="42"/>
      <c r="C1905" s="42"/>
      <c r="D1905" s="42"/>
      <c r="E1905" s="42"/>
      <c r="F1905" s="42"/>
      <c r="G1905" s="42"/>
      <c r="H1905" s="42"/>
      <c r="I1905" s="42"/>
      <c r="J1905" s="42"/>
      <c r="K1905" s="42"/>
      <c r="L1905" s="42"/>
      <c r="M1905" s="42"/>
    </row>
    <row r="1906" spans="1:13" x14ac:dyDescent="0.2">
      <c r="A1906" s="42"/>
      <c r="B1906" s="42"/>
      <c r="C1906" s="42"/>
      <c r="D1906" s="42"/>
      <c r="E1906" s="42"/>
      <c r="F1906" s="42"/>
      <c r="G1906" s="42"/>
      <c r="H1906" s="42"/>
      <c r="I1906" s="42"/>
      <c r="J1906" s="42"/>
      <c r="K1906" s="42"/>
      <c r="L1906" s="42"/>
      <c r="M1906" s="42"/>
    </row>
    <row r="1907" spans="1:13" x14ac:dyDescent="0.2">
      <c r="A1907" s="42"/>
      <c r="B1907" s="42"/>
      <c r="C1907" s="42"/>
      <c r="D1907" s="42"/>
      <c r="E1907" s="42"/>
      <c r="F1907" s="42"/>
      <c r="G1907" s="42"/>
      <c r="H1907" s="42"/>
      <c r="I1907" s="42"/>
      <c r="J1907" s="42"/>
      <c r="K1907" s="42"/>
      <c r="L1907" s="42"/>
      <c r="M1907" s="42"/>
    </row>
    <row r="1908" spans="1:13" x14ac:dyDescent="0.2">
      <c r="A1908" s="42"/>
      <c r="B1908" s="42"/>
      <c r="C1908" s="42"/>
      <c r="D1908" s="42"/>
      <c r="E1908" s="42"/>
      <c r="F1908" s="42"/>
      <c r="G1908" s="42"/>
      <c r="H1908" s="42"/>
      <c r="I1908" s="42"/>
      <c r="J1908" s="42"/>
      <c r="K1908" s="42"/>
      <c r="L1908" s="42"/>
      <c r="M1908" s="42"/>
    </row>
    <row r="1909" spans="1:13" x14ac:dyDescent="0.2">
      <c r="A1909" s="42"/>
      <c r="B1909" s="42"/>
      <c r="C1909" s="42"/>
      <c r="D1909" s="42"/>
      <c r="E1909" s="42"/>
      <c r="F1909" s="42"/>
      <c r="G1909" s="42"/>
      <c r="H1909" s="42"/>
      <c r="I1909" s="42"/>
      <c r="J1909" s="42"/>
      <c r="K1909" s="42"/>
      <c r="L1909" s="42"/>
      <c r="M1909" s="42"/>
    </row>
    <row r="1910" spans="1:13" x14ac:dyDescent="0.2">
      <c r="A1910" s="42"/>
      <c r="B1910" s="42"/>
      <c r="C1910" s="42"/>
      <c r="D1910" s="42"/>
      <c r="E1910" s="42"/>
      <c r="F1910" s="42"/>
      <c r="G1910" s="42"/>
      <c r="H1910" s="42"/>
      <c r="I1910" s="42"/>
      <c r="J1910" s="42"/>
      <c r="K1910" s="42"/>
      <c r="L1910" s="42"/>
      <c r="M1910" s="42"/>
    </row>
    <row r="1911" spans="1:13" x14ac:dyDescent="0.2">
      <c r="A1911" s="42"/>
      <c r="B1911" s="42"/>
      <c r="C1911" s="42"/>
      <c r="D1911" s="42"/>
      <c r="E1911" s="42"/>
      <c r="F1911" s="42"/>
      <c r="G1911" s="42"/>
      <c r="H1911" s="42"/>
      <c r="I1911" s="42"/>
      <c r="J1911" s="42"/>
      <c r="K1911" s="42"/>
      <c r="L1911" s="42"/>
      <c r="M1911" s="42"/>
    </row>
    <row r="1912" spans="1:13" x14ac:dyDescent="0.2">
      <c r="A1912" s="42"/>
      <c r="B1912" s="42"/>
      <c r="C1912" s="42"/>
      <c r="D1912" s="42"/>
      <c r="E1912" s="42"/>
      <c r="F1912" s="42"/>
      <c r="G1912" s="42"/>
      <c r="H1912" s="42"/>
      <c r="I1912" s="42"/>
      <c r="J1912" s="42"/>
      <c r="K1912" s="42"/>
      <c r="L1912" s="42"/>
      <c r="M1912" s="42"/>
    </row>
    <row r="1913" spans="1:13" x14ac:dyDescent="0.2">
      <c r="A1913" s="42"/>
      <c r="B1913" s="42"/>
      <c r="C1913" s="42"/>
      <c r="D1913" s="42"/>
      <c r="E1913" s="42"/>
      <c r="F1913" s="42"/>
      <c r="G1913" s="42"/>
      <c r="H1913" s="42"/>
      <c r="I1913" s="42"/>
      <c r="J1913" s="42"/>
      <c r="K1913" s="42"/>
      <c r="L1913" s="42"/>
      <c r="M1913" s="42"/>
    </row>
    <row r="1914" spans="1:13" x14ac:dyDescent="0.2">
      <c r="A1914" s="42"/>
      <c r="B1914" s="42"/>
      <c r="C1914" s="42"/>
      <c r="D1914" s="42"/>
      <c r="E1914" s="42"/>
      <c r="F1914" s="42"/>
      <c r="G1914" s="42"/>
      <c r="H1914" s="42"/>
      <c r="I1914" s="42"/>
      <c r="J1914" s="42"/>
      <c r="K1914" s="42"/>
      <c r="L1914" s="42"/>
      <c r="M1914" s="42"/>
    </row>
    <row r="1915" spans="1:13" x14ac:dyDescent="0.2">
      <c r="A1915" s="42"/>
      <c r="B1915" s="42"/>
      <c r="C1915" s="42"/>
      <c r="D1915" s="42"/>
      <c r="E1915" s="42"/>
      <c r="F1915" s="42"/>
      <c r="G1915" s="42"/>
      <c r="H1915" s="42"/>
      <c r="I1915" s="42"/>
      <c r="J1915" s="42"/>
      <c r="K1915" s="42"/>
      <c r="L1915" s="42"/>
      <c r="M1915" s="42"/>
    </row>
    <row r="1916" spans="1:13" x14ac:dyDescent="0.2">
      <c r="A1916" s="42"/>
      <c r="B1916" s="42"/>
      <c r="C1916" s="42"/>
      <c r="D1916" s="42"/>
      <c r="E1916" s="42"/>
      <c r="F1916" s="42"/>
      <c r="G1916" s="42"/>
      <c r="H1916" s="42"/>
      <c r="I1916" s="42"/>
      <c r="J1916" s="42"/>
      <c r="K1916" s="42"/>
      <c r="L1916" s="42"/>
      <c r="M1916" s="42"/>
    </row>
    <row r="1917" spans="1:13" x14ac:dyDescent="0.2">
      <c r="A1917" s="42"/>
      <c r="B1917" s="42"/>
      <c r="C1917" s="42"/>
      <c r="D1917" s="42"/>
      <c r="E1917" s="42"/>
      <c r="F1917" s="42"/>
      <c r="G1917" s="42"/>
      <c r="H1917" s="42"/>
      <c r="I1917" s="42"/>
      <c r="J1917" s="42"/>
      <c r="K1917" s="42"/>
      <c r="L1917" s="42"/>
      <c r="M1917" s="42"/>
    </row>
    <row r="1918" spans="1:13" x14ac:dyDescent="0.2">
      <c r="A1918" s="42"/>
      <c r="B1918" s="42"/>
      <c r="C1918" s="42"/>
      <c r="D1918" s="42"/>
      <c r="E1918" s="42"/>
      <c r="F1918" s="42"/>
      <c r="G1918" s="42"/>
      <c r="H1918" s="42"/>
      <c r="I1918" s="42"/>
      <c r="J1918" s="42"/>
      <c r="K1918" s="42"/>
      <c r="L1918" s="42"/>
      <c r="M1918" s="42"/>
    </row>
    <row r="1919" spans="1:13" x14ac:dyDescent="0.2">
      <c r="A1919" s="42"/>
      <c r="B1919" s="42"/>
      <c r="C1919" s="42"/>
      <c r="D1919" s="42"/>
      <c r="E1919" s="42"/>
      <c r="F1919" s="42"/>
      <c r="G1919" s="42"/>
      <c r="H1919" s="42"/>
      <c r="I1919" s="42"/>
      <c r="J1919" s="42"/>
      <c r="K1919" s="42"/>
      <c r="L1919" s="42"/>
      <c r="M1919" s="42"/>
    </row>
    <row r="1920" spans="1:13" x14ac:dyDescent="0.2">
      <c r="A1920" s="42"/>
      <c r="B1920" s="42"/>
      <c r="C1920" s="42"/>
      <c r="D1920" s="42"/>
      <c r="E1920" s="42"/>
      <c r="F1920" s="42"/>
      <c r="G1920" s="42"/>
      <c r="H1920" s="42"/>
      <c r="I1920" s="42"/>
      <c r="J1920" s="42"/>
      <c r="K1920" s="42"/>
      <c r="L1920" s="42"/>
      <c r="M1920" s="42"/>
    </row>
    <row r="1921" spans="1:13" x14ac:dyDescent="0.2">
      <c r="A1921" s="42"/>
      <c r="B1921" s="42"/>
      <c r="C1921" s="42"/>
      <c r="D1921" s="42"/>
      <c r="E1921" s="42"/>
      <c r="F1921" s="42"/>
      <c r="G1921" s="42"/>
      <c r="H1921" s="42"/>
      <c r="I1921" s="42"/>
      <c r="J1921" s="42"/>
      <c r="K1921" s="42"/>
      <c r="L1921" s="42"/>
      <c r="M1921" s="42"/>
    </row>
    <row r="1922" spans="1:13" x14ac:dyDescent="0.2">
      <c r="A1922" s="42"/>
      <c r="B1922" s="42"/>
      <c r="C1922" s="42"/>
      <c r="D1922" s="42"/>
      <c r="E1922" s="42"/>
      <c r="F1922" s="42"/>
      <c r="G1922" s="42"/>
      <c r="H1922" s="42"/>
      <c r="I1922" s="42"/>
      <c r="J1922" s="42"/>
      <c r="K1922" s="42"/>
      <c r="L1922" s="42"/>
      <c r="M1922" s="42"/>
    </row>
    <row r="1923" spans="1:13" x14ac:dyDescent="0.2">
      <c r="A1923" s="42"/>
      <c r="B1923" s="42"/>
      <c r="C1923" s="42"/>
      <c r="D1923" s="42"/>
      <c r="E1923" s="42"/>
      <c r="F1923" s="42"/>
      <c r="G1923" s="42"/>
      <c r="H1923" s="42"/>
      <c r="I1923" s="42"/>
      <c r="J1923" s="42"/>
      <c r="K1923" s="42"/>
      <c r="L1923" s="42"/>
      <c r="M1923" s="42"/>
    </row>
    <row r="1924" spans="1:13" x14ac:dyDescent="0.2">
      <c r="A1924" s="42"/>
      <c r="B1924" s="42"/>
      <c r="C1924" s="42"/>
      <c r="D1924" s="42"/>
      <c r="E1924" s="42"/>
      <c r="F1924" s="42"/>
      <c r="G1924" s="42"/>
      <c r="H1924" s="42"/>
      <c r="I1924" s="42"/>
      <c r="J1924" s="42"/>
      <c r="K1924" s="42"/>
      <c r="L1924" s="42"/>
      <c r="M1924" s="42"/>
    </row>
    <row r="1925" spans="1:13" x14ac:dyDescent="0.2">
      <c r="A1925" s="42"/>
      <c r="B1925" s="42"/>
      <c r="C1925" s="42"/>
      <c r="D1925" s="42"/>
      <c r="E1925" s="42"/>
      <c r="F1925" s="42"/>
      <c r="G1925" s="42"/>
      <c r="H1925" s="42"/>
      <c r="I1925" s="42"/>
      <c r="J1925" s="42"/>
      <c r="K1925" s="42"/>
      <c r="L1925" s="42"/>
      <c r="M1925" s="42"/>
    </row>
    <row r="1926" spans="1:13" x14ac:dyDescent="0.2">
      <c r="A1926" s="42"/>
      <c r="B1926" s="42"/>
      <c r="C1926" s="42"/>
      <c r="D1926" s="42"/>
      <c r="E1926" s="42"/>
      <c r="F1926" s="42"/>
      <c r="G1926" s="42"/>
      <c r="H1926" s="42"/>
      <c r="I1926" s="42"/>
      <c r="J1926" s="42"/>
      <c r="K1926" s="42"/>
      <c r="L1926" s="42"/>
      <c r="M1926" s="42"/>
    </row>
    <row r="1927" spans="1:13" x14ac:dyDescent="0.2">
      <c r="A1927" s="42"/>
      <c r="B1927" s="42"/>
      <c r="C1927" s="42"/>
      <c r="D1927" s="42"/>
      <c r="E1927" s="42"/>
      <c r="F1927" s="42"/>
      <c r="G1927" s="42"/>
      <c r="H1927" s="42"/>
      <c r="I1927" s="42"/>
      <c r="J1927" s="42"/>
      <c r="K1927" s="42"/>
      <c r="L1927" s="42"/>
      <c r="M1927" s="42"/>
    </row>
    <row r="1928" spans="1:13" x14ac:dyDescent="0.2">
      <c r="A1928" s="42"/>
      <c r="B1928" s="42"/>
      <c r="C1928" s="42"/>
      <c r="D1928" s="42"/>
      <c r="E1928" s="42"/>
      <c r="F1928" s="42"/>
      <c r="G1928" s="42"/>
      <c r="H1928" s="42"/>
      <c r="I1928" s="42"/>
      <c r="J1928" s="42"/>
      <c r="K1928" s="42"/>
      <c r="L1928" s="42"/>
      <c r="M1928" s="42"/>
    </row>
    <row r="1929" spans="1:13" x14ac:dyDescent="0.2">
      <c r="A1929" s="42"/>
      <c r="B1929" s="42"/>
      <c r="C1929" s="42"/>
      <c r="D1929" s="42"/>
      <c r="E1929" s="42"/>
      <c r="F1929" s="42"/>
      <c r="G1929" s="42"/>
      <c r="H1929" s="42"/>
      <c r="I1929" s="42"/>
      <c r="J1929" s="42"/>
      <c r="K1929" s="42"/>
      <c r="L1929" s="42"/>
      <c r="M1929" s="42"/>
    </row>
    <row r="1930" spans="1:13" x14ac:dyDescent="0.2">
      <c r="A1930" s="42"/>
      <c r="B1930" s="42"/>
      <c r="C1930" s="42"/>
      <c r="D1930" s="42"/>
      <c r="E1930" s="42"/>
      <c r="F1930" s="42"/>
      <c r="G1930" s="42"/>
      <c r="H1930" s="42"/>
      <c r="I1930" s="42"/>
      <c r="J1930" s="42"/>
      <c r="K1930" s="42"/>
      <c r="L1930" s="42"/>
      <c r="M1930" s="42"/>
    </row>
    <row r="1931" spans="1:13" x14ac:dyDescent="0.2">
      <c r="A1931" s="42"/>
      <c r="B1931" s="42"/>
      <c r="C1931" s="42"/>
      <c r="D1931" s="42"/>
      <c r="E1931" s="42"/>
      <c r="F1931" s="42"/>
      <c r="G1931" s="42"/>
      <c r="H1931" s="42"/>
      <c r="I1931" s="42"/>
      <c r="J1931" s="42"/>
      <c r="K1931" s="42"/>
      <c r="L1931" s="42"/>
      <c r="M1931" s="42"/>
    </row>
    <row r="1932" spans="1:13" x14ac:dyDescent="0.2">
      <c r="A1932" s="42"/>
      <c r="B1932" s="42"/>
      <c r="C1932" s="42"/>
      <c r="D1932" s="42"/>
      <c r="E1932" s="42"/>
      <c r="F1932" s="42"/>
      <c r="G1932" s="42"/>
      <c r="H1932" s="42"/>
      <c r="I1932" s="42"/>
      <c r="J1932" s="42"/>
      <c r="K1932" s="42"/>
      <c r="L1932" s="42"/>
      <c r="M1932" s="42"/>
    </row>
    <row r="1933" spans="1:13" x14ac:dyDescent="0.2">
      <c r="A1933" s="42"/>
      <c r="B1933" s="42"/>
      <c r="C1933" s="42"/>
      <c r="D1933" s="42"/>
      <c r="E1933" s="42"/>
      <c r="F1933" s="42"/>
      <c r="G1933" s="42"/>
      <c r="H1933" s="42"/>
      <c r="I1933" s="42"/>
      <c r="J1933" s="42"/>
      <c r="K1933" s="42"/>
      <c r="L1933" s="42"/>
      <c r="M1933" s="42"/>
    </row>
    <row r="1934" spans="1:13" x14ac:dyDescent="0.2">
      <c r="A1934" s="42"/>
      <c r="B1934" s="42"/>
      <c r="C1934" s="42"/>
      <c r="D1934" s="42"/>
      <c r="E1934" s="42"/>
      <c r="F1934" s="42"/>
      <c r="G1934" s="42"/>
      <c r="H1934" s="42"/>
      <c r="I1934" s="42"/>
      <c r="J1934" s="42"/>
      <c r="K1934" s="42"/>
      <c r="L1934" s="42"/>
      <c r="M1934" s="42"/>
    </row>
    <row r="1935" spans="1:13" x14ac:dyDescent="0.2">
      <c r="A1935" s="42"/>
      <c r="B1935" s="42"/>
      <c r="C1935" s="42"/>
      <c r="D1935" s="42"/>
      <c r="E1935" s="42"/>
      <c r="F1935" s="42"/>
      <c r="G1935" s="42"/>
      <c r="H1935" s="42"/>
      <c r="I1935" s="42"/>
      <c r="J1935" s="42"/>
      <c r="K1935" s="42"/>
      <c r="L1935" s="42"/>
      <c r="M1935" s="42"/>
    </row>
    <row r="1936" spans="1:13" x14ac:dyDescent="0.2">
      <c r="A1936" s="42"/>
      <c r="B1936" s="42"/>
      <c r="C1936" s="42"/>
      <c r="D1936" s="42"/>
      <c r="E1936" s="42"/>
      <c r="F1936" s="42"/>
      <c r="G1936" s="42"/>
      <c r="H1936" s="42"/>
      <c r="I1936" s="42"/>
      <c r="J1936" s="42"/>
      <c r="K1936" s="42"/>
      <c r="L1936" s="42"/>
      <c r="M1936" s="42"/>
    </row>
    <row r="1937" spans="1:13" x14ac:dyDescent="0.2">
      <c r="A1937" s="42"/>
      <c r="B1937" s="42"/>
      <c r="C1937" s="42"/>
      <c r="D1937" s="42"/>
      <c r="E1937" s="42"/>
      <c r="F1937" s="42"/>
      <c r="G1937" s="42"/>
      <c r="H1937" s="42"/>
      <c r="I1937" s="42"/>
      <c r="J1937" s="42"/>
      <c r="K1937" s="42"/>
      <c r="L1937" s="42"/>
      <c r="M1937" s="42"/>
    </row>
    <row r="1938" spans="1:13" x14ac:dyDescent="0.2">
      <c r="A1938" s="42"/>
      <c r="B1938" s="42"/>
      <c r="C1938" s="42"/>
      <c r="D1938" s="42"/>
      <c r="E1938" s="42"/>
      <c r="F1938" s="42"/>
      <c r="G1938" s="42"/>
      <c r="H1938" s="42"/>
      <c r="I1938" s="42"/>
      <c r="J1938" s="42"/>
      <c r="K1938" s="42"/>
      <c r="L1938" s="42"/>
      <c r="M1938" s="42"/>
    </row>
    <row r="1939" spans="1:13" x14ac:dyDescent="0.2">
      <c r="A1939" s="42"/>
      <c r="B1939" s="42"/>
      <c r="C1939" s="42"/>
      <c r="D1939" s="42"/>
      <c r="E1939" s="42"/>
      <c r="F1939" s="42"/>
      <c r="G1939" s="42"/>
      <c r="H1939" s="42"/>
      <c r="I1939" s="42"/>
      <c r="J1939" s="42"/>
      <c r="K1939" s="42"/>
      <c r="L1939" s="42"/>
      <c r="M1939" s="42"/>
    </row>
    <row r="1940" spans="1:13" x14ac:dyDescent="0.2">
      <c r="A1940" s="42"/>
      <c r="B1940" s="42"/>
      <c r="C1940" s="42"/>
      <c r="D1940" s="42"/>
      <c r="E1940" s="42"/>
      <c r="F1940" s="42"/>
      <c r="G1940" s="42"/>
      <c r="H1940" s="42"/>
      <c r="I1940" s="42"/>
      <c r="J1940" s="42"/>
      <c r="K1940" s="42"/>
      <c r="L1940" s="42"/>
      <c r="M1940" s="42"/>
    </row>
    <row r="1941" spans="1:13" x14ac:dyDescent="0.2">
      <c r="A1941" s="42"/>
      <c r="B1941" s="42"/>
      <c r="C1941" s="42"/>
      <c r="D1941" s="42"/>
      <c r="E1941" s="42"/>
      <c r="F1941" s="42"/>
      <c r="G1941" s="42"/>
      <c r="H1941" s="42"/>
      <c r="I1941" s="42"/>
      <c r="J1941" s="42"/>
      <c r="K1941" s="42"/>
      <c r="L1941" s="42"/>
      <c r="M1941" s="42"/>
    </row>
    <row r="1942" spans="1:13" x14ac:dyDescent="0.2">
      <c r="A1942" s="42"/>
      <c r="B1942" s="42"/>
      <c r="C1942" s="42"/>
      <c r="D1942" s="42"/>
      <c r="E1942" s="42"/>
      <c r="F1942" s="42"/>
      <c r="G1942" s="42"/>
      <c r="H1942" s="42"/>
      <c r="I1942" s="42"/>
      <c r="J1942" s="42"/>
      <c r="K1942" s="42"/>
      <c r="L1942" s="42"/>
      <c r="M1942" s="42"/>
    </row>
    <row r="1943" spans="1:13" x14ac:dyDescent="0.2">
      <c r="A1943" s="42"/>
      <c r="B1943" s="42"/>
      <c r="C1943" s="42"/>
      <c r="D1943" s="42"/>
      <c r="E1943" s="42"/>
      <c r="F1943" s="42"/>
      <c r="G1943" s="42"/>
      <c r="H1943" s="42"/>
      <c r="I1943" s="42"/>
      <c r="J1943" s="42"/>
      <c r="K1943" s="42"/>
      <c r="L1943" s="42"/>
      <c r="M1943" s="42"/>
    </row>
    <row r="1944" spans="1:13" x14ac:dyDescent="0.2">
      <c r="A1944" s="42"/>
      <c r="B1944" s="42"/>
      <c r="C1944" s="42"/>
      <c r="D1944" s="42"/>
      <c r="E1944" s="42"/>
      <c r="F1944" s="42"/>
      <c r="G1944" s="42"/>
      <c r="H1944" s="42"/>
      <c r="I1944" s="42"/>
      <c r="J1944" s="42"/>
      <c r="K1944" s="42"/>
      <c r="L1944" s="42"/>
      <c r="M1944" s="42"/>
    </row>
    <row r="1945" spans="1:13" x14ac:dyDescent="0.2">
      <c r="A1945" s="42"/>
      <c r="B1945" s="42"/>
      <c r="C1945" s="42"/>
      <c r="D1945" s="42"/>
      <c r="E1945" s="42"/>
      <c r="F1945" s="42"/>
      <c r="G1945" s="42"/>
      <c r="H1945" s="42"/>
      <c r="I1945" s="42"/>
      <c r="J1945" s="42"/>
      <c r="K1945" s="42"/>
      <c r="L1945" s="42"/>
      <c r="M1945" s="42"/>
    </row>
    <row r="1946" spans="1:13" x14ac:dyDescent="0.2">
      <c r="A1946" s="42"/>
      <c r="B1946" s="42"/>
      <c r="C1946" s="42"/>
      <c r="D1946" s="42"/>
      <c r="E1946" s="42"/>
      <c r="F1946" s="42"/>
      <c r="G1946" s="42"/>
      <c r="H1946" s="42"/>
      <c r="I1946" s="42"/>
      <c r="J1946" s="42"/>
      <c r="K1946" s="42"/>
      <c r="L1946" s="42"/>
      <c r="M1946" s="42"/>
    </row>
    <row r="1947" spans="1:13" x14ac:dyDescent="0.2">
      <c r="A1947" s="42"/>
      <c r="B1947" s="42"/>
      <c r="C1947" s="42"/>
      <c r="D1947" s="42"/>
      <c r="E1947" s="42"/>
      <c r="F1947" s="42"/>
      <c r="G1947" s="42"/>
      <c r="H1947" s="42"/>
      <c r="I1947" s="42"/>
      <c r="J1947" s="42"/>
      <c r="K1947" s="42"/>
      <c r="L1947" s="42"/>
      <c r="M1947" s="42"/>
    </row>
    <row r="1948" spans="1:13" x14ac:dyDescent="0.2">
      <c r="A1948" s="42"/>
      <c r="B1948" s="42"/>
      <c r="C1948" s="42"/>
      <c r="D1948" s="42"/>
      <c r="E1948" s="42"/>
      <c r="F1948" s="42"/>
      <c r="G1948" s="42"/>
      <c r="H1948" s="42"/>
      <c r="I1948" s="42"/>
      <c r="J1948" s="42"/>
      <c r="K1948" s="42"/>
      <c r="L1948" s="42"/>
      <c r="M1948" s="42"/>
    </row>
    <row r="1949" spans="1:13" x14ac:dyDescent="0.2">
      <c r="A1949" s="42"/>
      <c r="B1949" s="42"/>
      <c r="C1949" s="42"/>
      <c r="D1949" s="42"/>
      <c r="E1949" s="42"/>
      <c r="F1949" s="42"/>
      <c r="G1949" s="42"/>
      <c r="H1949" s="42"/>
      <c r="I1949" s="42"/>
      <c r="J1949" s="42"/>
      <c r="K1949" s="42"/>
      <c r="L1949" s="42"/>
      <c r="M1949" s="42"/>
    </row>
    <row r="1950" spans="1:13" x14ac:dyDescent="0.2">
      <c r="A1950" s="42"/>
      <c r="B1950" s="42"/>
      <c r="C1950" s="42"/>
      <c r="D1950" s="42"/>
      <c r="E1950" s="42"/>
      <c r="F1950" s="42"/>
      <c r="G1950" s="42"/>
      <c r="H1950" s="42"/>
      <c r="I1950" s="42"/>
      <c r="J1950" s="42"/>
      <c r="K1950" s="42"/>
      <c r="L1950" s="42"/>
      <c r="M1950" s="42"/>
    </row>
    <row r="1951" spans="1:13" x14ac:dyDescent="0.2">
      <c r="A1951" s="42"/>
      <c r="B1951" s="42"/>
      <c r="C1951" s="42"/>
      <c r="D1951" s="42"/>
      <c r="E1951" s="42"/>
      <c r="F1951" s="42"/>
      <c r="G1951" s="42"/>
      <c r="H1951" s="42"/>
      <c r="I1951" s="42"/>
      <c r="J1951" s="42"/>
      <c r="K1951" s="42"/>
      <c r="L1951" s="42"/>
      <c r="M1951" s="42"/>
    </row>
    <row r="1952" spans="1:13" x14ac:dyDescent="0.2">
      <c r="A1952" s="42"/>
      <c r="B1952" s="42"/>
      <c r="C1952" s="42"/>
      <c r="D1952" s="42"/>
      <c r="E1952" s="42"/>
      <c r="F1952" s="42"/>
      <c r="G1952" s="42"/>
      <c r="H1952" s="42"/>
      <c r="I1952" s="42"/>
      <c r="J1952" s="42"/>
      <c r="K1952" s="42"/>
      <c r="L1952" s="42"/>
      <c r="M1952" s="42"/>
    </row>
    <row r="1953" spans="1:13" x14ac:dyDescent="0.2">
      <c r="A1953" s="42"/>
      <c r="B1953" s="42"/>
      <c r="C1953" s="42"/>
      <c r="D1953" s="42"/>
      <c r="E1953" s="42"/>
      <c r="F1953" s="42"/>
      <c r="G1953" s="42"/>
      <c r="H1953" s="42"/>
      <c r="I1953" s="42"/>
      <c r="J1953" s="42"/>
      <c r="K1953" s="42"/>
      <c r="L1953" s="42"/>
      <c r="M1953" s="42"/>
    </row>
    <row r="1954" spans="1:13" x14ac:dyDescent="0.2">
      <c r="A1954" s="42"/>
      <c r="B1954" s="42"/>
      <c r="C1954" s="42"/>
      <c r="D1954" s="42"/>
      <c r="E1954" s="42"/>
      <c r="F1954" s="42"/>
      <c r="G1954" s="42"/>
      <c r="H1954" s="42"/>
      <c r="I1954" s="42"/>
      <c r="J1954" s="42"/>
      <c r="K1954" s="42"/>
      <c r="L1954" s="42"/>
      <c r="M1954" s="42"/>
    </row>
    <row r="1955" spans="1:13" x14ac:dyDescent="0.2">
      <c r="A1955" s="42"/>
      <c r="B1955" s="42"/>
      <c r="C1955" s="42"/>
      <c r="D1955" s="42"/>
      <c r="E1955" s="42"/>
      <c r="F1955" s="42"/>
      <c r="G1955" s="42"/>
      <c r="H1955" s="42"/>
      <c r="I1955" s="42"/>
      <c r="J1955" s="42"/>
      <c r="K1955" s="42"/>
      <c r="L1955" s="42"/>
      <c r="M1955" s="42"/>
    </row>
    <row r="1956" spans="1:13" x14ac:dyDescent="0.2">
      <c r="A1956" s="42"/>
      <c r="B1956" s="42"/>
      <c r="C1956" s="42"/>
      <c r="D1956" s="42"/>
      <c r="E1956" s="42"/>
      <c r="F1956" s="42"/>
      <c r="G1956" s="42"/>
      <c r="H1956" s="42"/>
      <c r="I1956" s="42"/>
      <c r="J1956" s="42"/>
      <c r="K1956" s="42"/>
      <c r="L1956" s="42"/>
      <c r="M1956" s="42"/>
    </row>
    <row r="1957" spans="1:13" x14ac:dyDescent="0.2">
      <c r="A1957" s="42"/>
      <c r="B1957" s="42"/>
      <c r="C1957" s="42"/>
      <c r="D1957" s="42"/>
      <c r="E1957" s="42"/>
      <c r="F1957" s="42"/>
      <c r="G1957" s="42"/>
      <c r="H1957" s="42"/>
      <c r="I1957" s="42"/>
      <c r="J1957" s="42"/>
      <c r="K1957" s="42"/>
      <c r="L1957" s="42"/>
      <c r="M1957" s="42"/>
    </row>
    <row r="1958" spans="1:13" x14ac:dyDescent="0.2">
      <c r="A1958" s="42"/>
      <c r="B1958" s="42"/>
      <c r="C1958" s="42"/>
      <c r="D1958" s="42"/>
      <c r="E1958" s="42"/>
      <c r="F1958" s="42"/>
      <c r="G1958" s="42"/>
      <c r="H1958" s="42"/>
      <c r="I1958" s="42"/>
      <c r="J1958" s="42"/>
      <c r="K1958" s="42"/>
      <c r="L1958" s="42"/>
      <c r="M1958" s="42"/>
    </row>
    <row r="1959" spans="1:13" x14ac:dyDescent="0.2">
      <c r="A1959" s="42"/>
      <c r="B1959" s="42"/>
      <c r="C1959" s="42"/>
      <c r="D1959" s="42"/>
      <c r="E1959" s="42"/>
      <c r="F1959" s="42"/>
      <c r="G1959" s="42"/>
      <c r="H1959" s="42"/>
      <c r="I1959" s="42"/>
      <c r="J1959" s="42"/>
      <c r="K1959" s="42"/>
      <c r="L1959" s="42"/>
      <c r="M1959" s="42"/>
    </row>
    <row r="1960" spans="1:13" x14ac:dyDescent="0.2">
      <c r="A1960" s="42"/>
      <c r="B1960" s="42"/>
      <c r="C1960" s="42"/>
      <c r="D1960" s="42"/>
      <c r="E1960" s="42"/>
      <c r="F1960" s="42"/>
      <c r="G1960" s="42"/>
      <c r="H1960" s="42"/>
      <c r="I1960" s="42"/>
      <c r="J1960" s="42"/>
      <c r="K1960" s="42"/>
      <c r="L1960" s="42"/>
      <c r="M1960" s="42"/>
    </row>
    <row r="1961" spans="1:13" x14ac:dyDescent="0.2">
      <c r="A1961" s="42"/>
      <c r="B1961" s="42"/>
      <c r="C1961" s="42"/>
      <c r="D1961" s="42"/>
      <c r="E1961" s="42"/>
      <c r="F1961" s="42"/>
      <c r="G1961" s="42"/>
      <c r="H1961" s="42"/>
      <c r="I1961" s="42"/>
      <c r="J1961" s="42"/>
      <c r="K1961" s="42"/>
      <c r="L1961" s="42"/>
      <c r="M1961" s="42"/>
    </row>
    <row r="1962" spans="1:13" x14ac:dyDescent="0.2">
      <c r="A1962" s="42"/>
      <c r="B1962" s="42"/>
      <c r="C1962" s="42"/>
      <c r="D1962" s="42"/>
      <c r="E1962" s="42"/>
      <c r="F1962" s="42"/>
      <c r="G1962" s="42"/>
      <c r="H1962" s="42"/>
      <c r="I1962" s="42"/>
      <c r="J1962" s="42"/>
      <c r="K1962" s="42"/>
      <c r="L1962" s="42"/>
      <c r="M1962" s="42"/>
    </row>
    <row r="1963" spans="1:13" x14ac:dyDescent="0.2">
      <c r="A1963" s="42"/>
      <c r="B1963" s="42"/>
      <c r="C1963" s="42"/>
      <c r="D1963" s="42"/>
      <c r="E1963" s="42"/>
      <c r="F1963" s="42"/>
      <c r="G1963" s="42"/>
      <c r="H1963" s="42"/>
      <c r="I1963" s="42"/>
      <c r="J1963" s="42"/>
      <c r="K1963" s="42"/>
      <c r="L1963" s="42"/>
      <c r="M1963" s="42"/>
    </row>
    <row r="1964" spans="1:13" x14ac:dyDescent="0.2">
      <c r="A1964" s="42"/>
      <c r="B1964" s="42"/>
      <c r="C1964" s="42"/>
      <c r="D1964" s="42"/>
      <c r="E1964" s="42"/>
      <c r="F1964" s="42"/>
      <c r="G1964" s="42"/>
      <c r="H1964" s="42"/>
      <c r="I1964" s="42"/>
      <c r="J1964" s="42"/>
      <c r="K1964" s="42"/>
      <c r="L1964" s="42"/>
      <c r="M1964" s="42"/>
    </row>
    <row r="1965" spans="1:13" x14ac:dyDescent="0.2">
      <c r="A1965" s="42"/>
      <c r="B1965" s="42"/>
      <c r="C1965" s="42"/>
      <c r="D1965" s="42"/>
      <c r="E1965" s="42"/>
      <c r="F1965" s="42"/>
      <c r="G1965" s="42"/>
      <c r="H1965" s="42"/>
      <c r="I1965" s="42"/>
      <c r="J1965" s="42"/>
      <c r="K1965" s="42"/>
      <c r="L1965" s="42"/>
      <c r="M1965" s="42"/>
    </row>
    <row r="1966" spans="1:13" x14ac:dyDescent="0.2">
      <c r="A1966" s="42"/>
      <c r="B1966" s="42"/>
      <c r="C1966" s="42"/>
      <c r="D1966" s="42"/>
      <c r="E1966" s="42"/>
      <c r="F1966" s="42"/>
      <c r="G1966" s="42"/>
      <c r="H1966" s="42"/>
      <c r="I1966" s="42"/>
      <c r="J1966" s="42"/>
      <c r="K1966" s="42"/>
      <c r="L1966" s="42"/>
      <c r="M1966" s="42"/>
    </row>
    <row r="1967" spans="1:13" x14ac:dyDescent="0.2">
      <c r="A1967" s="42"/>
      <c r="B1967" s="42"/>
      <c r="C1967" s="42"/>
      <c r="D1967" s="42"/>
      <c r="E1967" s="42"/>
      <c r="F1967" s="42"/>
      <c r="G1967" s="42"/>
      <c r="H1967" s="42"/>
      <c r="I1967" s="42"/>
      <c r="J1967" s="42"/>
      <c r="K1967" s="42"/>
      <c r="L1967" s="42"/>
      <c r="M1967" s="42"/>
    </row>
    <row r="1968" spans="1:13" x14ac:dyDescent="0.2">
      <c r="A1968" s="42"/>
      <c r="B1968" s="42"/>
      <c r="C1968" s="42"/>
      <c r="D1968" s="42"/>
      <c r="E1968" s="42"/>
      <c r="F1968" s="42"/>
      <c r="G1968" s="42"/>
      <c r="H1968" s="42"/>
      <c r="I1968" s="42"/>
      <c r="J1968" s="42"/>
      <c r="K1968" s="42"/>
      <c r="L1968" s="42"/>
      <c r="M1968" s="42"/>
    </row>
    <row r="1969" spans="1:13" x14ac:dyDescent="0.2">
      <c r="A1969" s="42"/>
      <c r="B1969" s="42"/>
      <c r="C1969" s="42"/>
      <c r="D1969" s="42"/>
      <c r="E1969" s="42"/>
      <c r="F1969" s="42"/>
      <c r="G1969" s="42"/>
      <c r="H1969" s="42"/>
      <c r="I1969" s="42"/>
      <c r="J1969" s="42"/>
      <c r="K1969" s="42"/>
      <c r="L1969" s="42"/>
      <c r="M1969" s="42"/>
    </row>
    <row r="1970" spans="1:13" x14ac:dyDescent="0.2">
      <c r="A1970" s="42"/>
      <c r="B1970" s="42"/>
      <c r="C1970" s="42"/>
      <c r="D1970" s="42"/>
      <c r="E1970" s="42"/>
      <c r="F1970" s="42"/>
      <c r="G1970" s="42"/>
      <c r="H1970" s="42"/>
      <c r="I1970" s="42"/>
      <c r="J1970" s="42"/>
      <c r="K1970" s="42"/>
      <c r="L1970" s="42"/>
      <c r="M1970" s="42"/>
    </row>
    <row r="1971" spans="1:13" x14ac:dyDescent="0.2">
      <c r="A1971" s="42"/>
      <c r="B1971" s="42"/>
      <c r="C1971" s="42"/>
      <c r="D1971" s="42"/>
      <c r="E1971" s="42"/>
      <c r="F1971" s="42"/>
      <c r="G1971" s="42"/>
      <c r="H1971" s="42"/>
      <c r="I1971" s="42"/>
      <c r="J1971" s="42"/>
      <c r="K1971" s="42"/>
      <c r="L1971" s="42"/>
      <c r="M1971" s="42"/>
    </row>
    <row r="1972" spans="1:13" x14ac:dyDescent="0.2">
      <c r="A1972" s="42"/>
      <c r="B1972" s="42"/>
      <c r="C1972" s="42"/>
      <c r="D1972" s="42"/>
      <c r="E1972" s="42"/>
      <c r="F1972" s="42"/>
      <c r="G1972" s="42"/>
      <c r="H1972" s="42"/>
      <c r="I1972" s="42"/>
      <c r="J1972" s="42"/>
      <c r="K1972" s="42"/>
      <c r="L1972" s="42"/>
      <c r="M1972" s="42"/>
    </row>
    <row r="1973" spans="1:13" x14ac:dyDescent="0.2">
      <c r="A1973" s="42"/>
      <c r="B1973" s="42"/>
      <c r="C1973" s="42"/>
      <c r="D1973" s="42"/>
      <c r="E1973" s="42"/>
      <c r="F1973" s="42"/>
      <c r="G1973" s="42"/>
      <c r="H1973" s="42"/>
      <c r="I1973" s="42"/>
      <c r="J1973" s="42"/>
      <c r="K1973" s="42"/>
      <c r="L1973" s="42"/>
      <c r="M1973" s="42"/>
    </row>
    <row r="1974" spans="1:13" x14ac:dyDescent="0.2">
      <c r="A1974" s="42"/>
      <c r="B1974" s="42"/>
      <c r="C1974" s="42"/>
      <c r="D1974" s="42"/>
      <c r="E1974" s="42"/>
      <c r="F1974" s="42"/>
      <c r="G1974" s="42"/>
      <c r="H1974" s="42"/>
      <c r="I1974" s="42"/>
      <c r="J1974" s="42"/>
      <c r="K1974" s="42"/>
      <c r="L1974" s="42"/>
      <c r="M1974" s="42"/>
    </row>
    <row r="1975" spans="1:13" x14ac:dyDescent="0.2">
      <c r="A1975" s="42"/>
      <c r="B1975" s="42"/>
      <c r="C1975" s="42"/>
      <c r="D1975" s="42"/>
      <c r="E1975" s="42"/>
      <c r="F1975" s="42"/>
      <c r="G1975" s="42"/>
      <c r="H1975" s="42"/>
      <c r="I1975" s="42"/>
      <c r="J1975" s="42"/>
      <c r="K1975" s="42"/>
      <c r="L1975" s="42"/>
      <c r="M1975" s="42"/>
    </row>
    <row r="1976" spans="1:13" x14ac:dyDescent="0.2">
      <c r="A1976" s="42"/>
      <c r="B1976" s="42"/>
      <c r="C1976" s="42"/>
      <c r="D1976" s="42"/>
      <c r="E1976" s="42"/>
      <c r="F1976" s="42"/>
      <c r="G1976" s="42"/>
      <c r="H1976" s="42"/>
      <c r="I1976" s="42"/>
      <c r="J1976" s="42"/>
      <c r="K1976" s="42"/>
      <c r="L1976" s="42"/>
      <c r="M1976" s="42"/>
    </row>
    <row r="1977" spans="1:13" x14ac:dyDescent="0.2">
      <c r="A1977" s="42"/>
      <c r="B1977" s="42"/>
      <c r="C1977" s="42"/>
      <c r="D1977" s="42"/>
      <c r="E1977" s="42"/>
      <c r="F1977" s="42"/>
      <c r="G1977" s="42"/>
      <c r="H1977" s="42"/>
      <c r="I1977" s="42"/>
      <c r="J1977" s="42"/>
      <c r="K1977" s="42"/>
      <c r="L1977" s="42"/>
      <c r="M1977" s="42"/>
    </row>
    <row r="1978" spans="1:13" x14ac:dyDescent="0.2">
      <c r="A1978" s="42"/>
      <c r="B1978" s="42"/>
      <c r="C1978" s="42"/>
      <c r="D1978" s="42"/>
      <c r="E1978" s="42"/>
      <c r="F1978" s="42"/>
      <c r="G1978" s="42"/>
      <c r="H1978" s="42"/>
      <c r="I1978" s="42"/>
      <c r="J1978" s="42"/>
      <c r="K1978" s="42"/>
      <c r="L1978" s="42"/>
      <c r="M1978" s="42"/>
    </row>
    <row r="1979" spans="1:13" x14ac:dyDescent="0.2">
      <c r="A1979" s="42"/>
      <c r="B1979" s="42"/>
      <c r="C1979" s="42"/>
      <c r="D1979" s="42"/>
      <c r="E1979" s="42"/>
      <c r="F1979" s="42"/>
      <c r="G1979" s="42"/>
      <c r="H1979" s="42"/>
      <c r="I1979" s="42"/>
      <c r="J1979" s="42"/>
      <c r="K1979" s="42"/>
      <c r="L1979" s="42"/>
      <c r="M1979" s="42"/>
    </row>
    <row r="1980" spans="1:13" x14ac:dyDescent="0.2">
      <c r="A1980" s="42"/>
      <c r="B1980" s="42"/>
      <c r="C1980" s="42"/>
      <c r="D1980" s="42"/>
      <c r="E1980" s="42"/>
      <c r="F1980" s="42"/>
      <c r="G1980" s="42"/>
      <c r="H1980" s="42"/>
      <c r="I1980" s="42"/>
      <c r="J1980" s="42"/>
      <c r="K1980" s="42"/>
      <c r="L1980" s="42"/>
      <c r="M1980" s="42"/>
    </row>
    <row r="1981" spans="1:13" x14ac:dyDescent="0.2">
      <c r="A1981" s="42"/>
      <c r="B1981" s="42"/>
      <c r="C1981" s="42"/>
      <c r="D1981" s="42"/>
      <c r="E1981" s="42"/>
      <c r="F1981" s="42"/>
      <c r="G1981" s="42"/>
      <c r="H1981" s="42"/>
      <c r="I1981" s="42"/>
      <c r="J1981" s="42"/>
      <c r="K1981" s="42"/>
      <c r="L1981" s="42"/>
      <c r="M1981" s="42"/>
    </row>
    <row r="1982" spans="1:13" x14ac:dyDescent="0.2">
      <c r="A1982" s="42"/>
      <c r="B1982" s="42"/>
      <c r="C1982" s="42"/>
      <c r="D1982" s="42"/>
      <c r="E1982" s="42"/>
      <c r="F1982" s="42"/>
      <c r="G1982" s="42"/>
      <c r="H1982" s="42"/>
      <c r="I1982" s="42"/>
      <c r="J1982" s="42"/>
      <c r="K1982" s="42"/>
      <c r="L1982" s="42"/>
      <c r="M1982" s="42"/>
    </row>
    <row r="1983" spans="1:13" x14ac:dyDescent="0.2">
      <c r="A1983" s="42"/>
      <c r="B1983" s="42"/>
      <c r="C1983" s="42"/>
      <c r="D1983" s="42"/>
      <c r="E1983" s="42"/>
      <c r="F1983" s="42"/>
      <c r="G1983" s="42"/>
      <c r="H1983" s="42"/>
      <c r="I1983" s="42"/>
      <c r="J1983" s="42"/>
      <c r="K1983" s="42"/>
      <c r="L1983" s="42"/>
      <c r="M1983" s="42"/>
    </row>
    <row r="1984" spans="1:13" x14ac:dyDescent="0.2">
      <c r="A1984" s="42"/>
      <c r="B1984" s="42"/>
      <c r="C1984" s="42"/>
      <c r="D1984" s="42"/>
      <c r="E1984" s="42"/>
      <c r="F1984" s="42"/>
      <c r="G1984" s="42"/>
      <c r="H1984" s="42"/>
      <c r="I1984" s="42"/>
      <c r="J1984" s="42"/>
      <c r="K1984" s="42"/>
      <c r="L1984" s="42"/>
      <c r="M1984" s="42"/>
    </row>
    <row r="1985" spans="1:13" x14ac:dyDescent="0.2">
      <c r="A1985" s="42"/>
      <c r="B1985" s="42"/>
      <c r="C1985" s="42"/>
      <c r="D1985" s="42"/>
      <c r="E1985" s="42"/>
      <c r="F1985" s="42"/>
      <c r="G1985" s="42"/>
      <c r="H1985" s="42"/>
      <c r="I1985" s="42"/>
      <c r="J1985" s="42"/>
      <c r="K1985" s="42"/>
      <c r="L1985" s="42"/>
      <c r="M1985" s="42"/>
    </row>
    <row r="1986" spans="1:13" x14ac:dyDescent="0.2">
      <c r="A1986" s="42"/>
      <c r="B1986" s="42"/>
      <c r="C1986" s="42"/>
      <c r="D1986" s="42"/>
      <c r="E1986" s="42"/>
      <c r="F1986" s="42"/>
      <c r="G1986" s="42"/>
      <c r="H1986" s="42"/>
      <c r="I1986" s="42"/>
      <c r="J1986" s="42"/>
      <c r="K1986" s="42"/>
      <c r="L1986" s="42"/>
      <c r="M1986" s="42"/>
    </row>
    <row r="1987" spans="1:13" x14ac:dyDescent="0.2">
      <c r="A1987" s="42"/>
      <c r="B1987" s="42"/>
      <c r="C1987" s="42"/>
      <c r="D1987" s="42"/>
      <c r="E1987" s="42"/>
      <c r="F1987" s="42"/>
      <c r="G1987" s="42"/>
      <c r="H1987" s="42"/>
      <c r="I1987" s="42"/>
      <c r="J1987" s="42"/>
      <c r="K1987" s="42"/>
      <c r="L1987" s="42"/>
      <c r="M1987" s="42"/>
    </row>
    <row r="1988" spans="1:13" x14ac:dyDescent="0.2">
      <c r="A1988" s="42"/>
      <c r="B1988" s="42"/>
      <c r="C1988" s="42"/>
      <c r="D1988" s="42"/>
      <c r="E1988" s="42"/>
      <c r="F1988" s="42"/>
      <c r="G1988" s="42"/>
      <c r="H1988" s="42"/>
      <c r="I1988" s="42"/>
      <c r="J1988" s="42"/>
      <c r="K1988" s="42"/>
      <c r="L1988" s="42"/>
      <c r="M1988" s="42"/>
    </row>
    <row r="1989" spans="1:13" x14ac:dyDescent="0.2">
      <c r="A1989" s="42"/>
      <c r="B1989" s="42"/>
      <c r="C1989" s="42"/>
      <c r="D1989" s="42"/>
      <c r="E1989" s="42"/>
      <c r="F1989" s="42"/>
      <c r="G1989" s="42"/>
      <c r="H1989" s="42"/>
      <c r="I1989" s="42"/>
      <c r="J1989" s="42"/>
      <c r="K1989" s="42"/>
      <c r="L1989" s="42"/>
      <c r="M1989" s="42"/>
    </row>
    <row r="1990" spans="1:13" x14ac:dyDescent="0.2">
      <c r="A1990" s="42"/>
      <c r="B1990" s="42"/>
      <c r="C1990" s="42"/>
      <c r="D1990" s="42"/>
      <c r="E1990" s="42"/>
      <c r="F1990" s="42"/>
      <c r="G1990" s="42"/>
      <c r="H1990" s="42"/>
      <c r="I1990" s="42"/>
      <c r="J1990" s="42"/>
      <c r="K1990" s="42"/>
      <c r="L1990" s="42"/>
      <c r="M1990" s="42"/>
    </row>
    <row r="1991" spans="1:13" x14ac:dyDescent="0.2">
      <c r="A1991" s="42"/>
      <c r="B1991" s="42"/>
      <c r="C1991" s="42"/>
      <c r="D1991" s="42"/>
      <c r="E1991" s="42"/>
      <c r="F1991" s="42"/>
      <c r="G1991" s="42"/>
      <c r="H1991" s="42"/>
      <c r="I1991" s="42"/>
      <c r="J1991" s="42"/>
      <c r="K1991" s="42"/>
      <c r="L1991" s="42"/>
      <c r="M1991" s="42"/>
    </row>
    <row r="1992" spans="1:13" x14ac:dyDescent="0.2">
      <c r="A1992" s="42"/>
      <c r="B1992" s="42"/>
      <c r="C1992" s="42"/>
      <c r="D1992" s="42"/>
      <c r="E1992" s="42"/>
      <c r="F1992" s="42"/>
      <c r="G1992" s="42"/>
      <c r="H1992" s="42"/>
      <c r="I1992" s="42"/>
      <c r="J1992" s="42"/>
      <c r="K1992" s="42"/>
      <c r="L1992" s="42"/>
      <c r="M1992" s="42"/>
    </row>
    <row r="1993" spans="1:13" x14ac:dyDescent="0.2">
      <c r="A1993" s="42"/>
      <c r="B1993" s="42"/>
      <c r="C1993" s="42"/>
      <c r="D1993" s="42"/>
      <c r="E1993" s="42"/>
      <c r="F1993" s="42"/>
      <c r="G1993" s="42"/>
      <c r="H1993" s="42"/>
      <c r="I1993" s="42"/>
      <c r="J1993" s="42"/>
      <c r="K1993" s="42"/>
      <c r="L1993" s="42"/>
      <c r="M1993" s="42"/>
    </row>
    <row r="1994" spans="1:13" x14ac:dyDescent="0.2">
      <c r="A1994" s="42"/>
      <c r="B1994" s="42"/>
      <c r="C1994" s="42"/>
      <c r="D1994" s="42"/>
      <c r="E1994" s="42"/>
      <c r="F1994" s="42"/>
      <c r="G1994" s="42"/>
      <c r="H1994" s="42"/>
      <c r="I1994" s="42"/>
      <c r="J1994" s="42"/>
      <c r="K1994" s="42"/>
      <c r="L1994" s="42"/>
      <c r="M1994" s="42"/>
    </row>
    <row r="1995" spans="1:13" x14ac:dyDescent="0.2">
      <c r="A1995" s="42"/>
      <c r="B1995" s="42"/>
      <c r="C1995" s="42"/>
      <c r="D1995" s="42"/>
      <c r="E1995" s="42"/>
      <c r="F1995" s="42"/>
      <c r="G1995" s="42"/>
      <c r="H1995" s="42"/>
      <c r="I1995" s="42"/>
      <c r="J1995" s="42"/>
      <c r="K1995" s="42"/>
      <c r="L1995" s="42"/>
      <c r="M1995" s="42"/>
    </row>
    <row r="1996" spans="1:13" x14ac:dyDescent="0.2">
      <c r="A1996" s="42"/>
      <c r="B1996" s="42"/>
      <c r="C1996" s="42"/>
      <c r="D1996" s="42"/>
      <c r="E1996" s="42"/>
      <c r="F1996" s="42"/>
      <c r="G1996" s="42"/>
      <c r="H1996" s="42"/>
      <c r="I1996" s="42"/>
      <c r="J1996" s="42"/>
      <c r="K1996" s="42"/>
      <c r="L1996" s="42"/>
      <c r="M1996" s="42"/>
    </row>
    <row r="1997" spans="1:13" x14ac:dyDescent="0.2">
      <c r="A1997" s="42"/>
      <c r="B1997" s="42"/>
      <c r="C1997" s="42"/>
      <c r="D1997" s="42"/>
      <c r="E1997" s="42"/>
      <c r="F1997" s="42"/>
      <c r="G1997" s="42"/>
      <c r="H1997" s="42"/>
      <c r="I1997" s="42"/>
      <c r="J1997" s="42"/>
      <c r="K1997" s="42"/>
      <c r="L1997" s="42"/>
      <c r="M1997" s="42"/>
    </row>
    <row r="1998" spans="1:13" x14ac:dyDescent="0.2">
      <c r="A1998" s="42"/>
      <c r="B1998" s="42"/>
      <c r="C1998" s="42"/>
      <c r="D1998" s="42"/>
      <c r="E1998" s="42"/>
      <c r="F1998" s="42"/>
      <c r="G1998" s="42"/>
      <c r="H1998" s="42"/>
      <c r="I1998" s="42"/>
      <c r="J1998" s="42"/>
      <c r="K1998" s="42"/>
      <c r="L1998" s="42"/>
      <c r="M1998" s="42"/>
    </row>
    <row r="1999" spans="1:13" x14ac:dyDescent="0.2">
      <c r="A1999" s="42"/>
      <c r="B1999" s="42"/>
      <c r="C1999" s="42"/>
      <c r="D1999" s="42"/>
      <c r="E1999" s="42"/>
      <c r="F1999" s="42"/>
      <c r="G1999" s="42"/>
      <c r="H1999" s="42"/>
      <c r="I1999" s="42"/>
      <c r="J1999" s="42"/>
      <c r="K1999" s="42"/>
      <c r="L1999" s="42"/>
      <c r="M1999" s="42"/>
    </row>
    <row r="2000" spans="1:13" x14ac:dyDescent="0.2">
      <c r="A2000" s="42"/>
      <c r="B2000" s="42"/>
      <c r="C2000" s="42"/>
      <c r="D2000" s="42"/>
      <c r="E2000" s="42"/>
      <c r="F2000" s="42"/>
      <c r="G2000" s="42"/>
      <c r="H2000" s="42"/>
      <c r="I2000" s="42"/>
      <c r="J2000" s="42"/>
      <c r="K2000" s="42"/>
      <c r="L2000" s="42"/>
      <c r="M2000" s="42"/>
    </row>
    <row r="2001" spans="1:13" x14ac:dyDescent="0.2">
      <c r="A2001" s="42"/>
      <c r="B2001" s="42"/>
      <c r="C2001" s="42"/>
      <c r="D2001" s="42"/>
      <c r="E2001" s="42"/>
      <c r="F2001" s="42"/>
      <c r="G2001" s="42"/>
      <c r="H2001" s="42"/>
      <c r="I2001" s="42"/>
      <c r="J2001" s="42"/>
      <c r="K2001" s="42"/>
      <c r="L2001" s="42"/>
      <c r="M2001" s="42"/>
    </row>
    <row r="2002" spans="1:13" x14ac:dyDescent="0.2">
      <c r="A2002" s="42"/>
      <c r="B2002" s="42"/>
      <c r="C2002" s="42"/>
      <c r="D2002" s="42"/>
      <c r="E2002" s="42"/>
      <c r="F2002" s="42"/>
      <c r="G2002" s="42"/>
      <c r="H2002" s="42"/>
      <c r="I2002" s="42"/>
      <c r="J2002" s="42"/>
      <c r="K2002" s="42"/>
      <c r="L2002" s="42"/>
      <c r="M2002" s="42"/>
    </row>
    <row r="2003" spans="1:13" x14ac:dyDescent="0.2">
      <c r="A2003" s="42"/>
      <c r="B2003" s="42"/>
      <c r="C2003" s="42"/>
      <c r="D2003" s="42"/>
      <c r="E2003" s="42"/>
      <c r="F2003" s="42"/>
      <c r="G2003" s="42"/>
      <c r="H2003" s="42"/>
      <c r="I2003" s="42"/>
      <c r="J2003" s="42"/>
      <c r="K2003" s="42"/>
      <c r="L2003" s="42"/>
      <c r="M2003" s="42"/>
    </row>
    <row r="2004" spans="1:13" x14ac:dyDescent="0.2">
      <c r="A2004" s="42"/>
      <c r="B2004" s="42"/>
      <c r="C2004" s="42"/>
      <c r="D2004" s="42"/>
      <c r="E2004" s="42"/>
      <c r="F2004" s="42"/>
      <c r="G2004" s="42"/>
      <c r="H2004" s="42"/>
      <c r="I2004" s="42"/>
      <c r="J2004" s="42"/>
      <c r="K2004" s="42"/>
      <c r="L2004" s="42"/>
      <c r="M2004" s="42"/>
    </row>
    <row r="2005" spans="1:13" x14ac:dyDescent="0.2">
      <c r="A2005" s="42"/>
      <c r="B2005" s="42"/>
      <c r="C2005" s="42"/>
      <c r="D2005" s="42"/>
      <c r="E2005" s="42"/>
      <c r="F2005" s="42"/>
      <c r="G2005" s="42"/>
      <c r="H2005" s="42"/>
      <c r="I2005" s="42"/>
      <c r="J2005" s="42"/>
      <c r="K2005" s="42"/>
      <c r="L2005" s="42"/>
      <c r="M2005" s="42"/>
    </row>
    <row r="2006" spans="1:13" x14ac:dyDescent="0.2">
      <c r="A2006" s="42"/>
      <c r="B2006" s="42"/>
      <c r="C2006" s="42"/>
      <c r="D2006" s="42"/>
      <c r="E2006" s="42"/>
      <c r="F2006" s="42"/>
      <c r="G2006" s="42"/>
      <c r="H2006" s="42"/>
      <c r="I2006" s="42"/>
      <c r="J2006" s="42"/>
      <c r="K2006" s="42"/>
      <c r="L2006" s="42"/>
      <c r="M2006" s="42"/>
    </row>
    <row r="2007" spans="1:13" x14ac:dyDescent="0.2">
      <c r="A2007" s="42"/>
      <c r="B2007" s="42"/>
      <c r="C2007" s="42"/>
      <c r="D2007" s="42"/>
      <c r="E2007" s="42"/>
      <c r="F2007" s="42"/>
      <c r="G2007" s="42"/>
      <c r="H2007" s="42"/>
      <c r="I2007" s="42"/>
      <c r="J2007" s="42"/>
      <c r="K2007" s="42"/>
      <c r="L2007" s="42"/>
      <c r="M2007" s="42"/>
    </row>
    <row r="2008" spans="1:13" x14ac:dyDescent="0.2">
      <c r="A2008" s="42"/>
      <c r="B2008" s="42"/>
      <c r="C2008" s="42"/>
      <c r="D2008" s="42"/>
      <c r="E2008" s="42"/>
      <c r="F2008" s="42"/>
      <c r="G2008" s="42"/>
      <c r="H2008" s="42"/>
      <c r="I2008" s="42"/>
      <c r="J2008" s="42"/>
      <c r="K2008" s="42"/>
      <c r="L2008" s="42"/>
      <c r="M2008" s="42"/>
    </row>
    <row r="2009" spans="1:13" x14ac:dyDescent="0.2">
      <c r="A2009" s="42"/>
      <c r="B2009" s="42"/>
      <c r="C2009" s="42"/>
      <c r="D2009" s="42"/>
      <c r="E2009" s="42"/>
      <c r="F2009" s="42"/>
      <c r="G2009" s="42"/>
      <c r="H2009" s="42"/>
      <c r="I2009" s="42"/>
      <c r="J2009" s="42"/>
      <c r="K2009" s="42"/>
      <c r="L2009" s="42"/>
      <c r="M2009" s="42"/>
    </row>
    <row r="2010" spans="1:13" x14ac:dyDescent="0.2">
      <c r="A2010" s="42"/>
      <c r="B2010" s="42"/>
      <c r="C2010" s="42"/>
      <c r="D2010" s="42"/>
      <c r="E2010" s="42"/>
      <c r="F2010" s="42"/>
      <c r="G2010" s="42"/>
      <c r="H2010" s="42"/>
      <c r="I2010" s="42"/>
      <c r="J2010" s="42"/>
      <c r="K2010" s="42"/>
      <c r="L2010" s="42"/>
      <c r="M2010" s="42"/>
    </row>
    <row r="2011" spans="1:13" x14ac:dyDescent="0.2">
      <c r="A2011" s="42"/>
      <c r="B2011" s="42"/>
      <c r="C2011" s="42"/>
      <c r="D2011" s="42"/>
      <c r="E2011" s="42"/>
      <c r="F2011" s="42"/>
      <c r="G2011" s="42"/>
      <c r="H2011" s="42"/>
      <c r="I2011" s="42"/>
      <c r="J2011" s="42"/>
      <c r="K2011" s="42"/>
      <c r="L2011" s="42"/>
      <c r="M2011" s="42"/>
    </row>
    <row r="2012" spans="1:13" x14ac:dyDescent="0.2">
      <c r="A2012" s="42"/>
      <c r="B2012" s="42"/>
      <c r="C2012" s="42"/>
      <c r="D2012" s="42"/>
      <c r="E2012" s="42"/>
      <c r="F2012" s="42"/>
      <c r="G2012" s="42"/>
      <c r="H2012" s="42"/>
      <c r="I2012" s="42"/>
      <c r="J2012" s="42"/>
      <c r="K2012" s="42"/>
      <c r="L2012" s="42"/>
      <c r="M2012" s="42"/>
    </row>
    <row r="2013" spans="1:13" x14ac:dyDescent="0.2">
      <c r="A2013" s="42"/>
      <c r="B2013" s="42"/>
      <c r="C2013" s="42"/>
      <c r="D2013" s="42"/>
      <c r="E2013" s="42"/>
      <c r="F2013" s="42"/>
      <c r="G2013" s="42"/>
      <c r="H2013" s="42"/>
      <c r="I2013" s="42"/>
      <c r="J2013" s="42"/>
      <c r="K2013" s="42"/>
      <c r="L2013" s="42"/>
      <c r="M2013" s="42"/>
    </row>
    <row r="2014" spans="1:13" x14ac:dyDescent="0.2">
      <c r="A2014" s="42"/>
      <c r="B2014" s="42"/>
      <c r="C2014" s="42"/>
      <c r="D2014" s="42"/>
      <c r="E2014" s="42"/>
      <c r="F2014" s="42"/>
      <c r="G2014" s="42"/>
      <c r="H2014" s="42"/>
      <c r="I2014" s="42"/>
      <c r="J2014" s="42"/>
      <c r="K2014" s="42"/>
      <c r="L2014" s="42"/>
      <c r="M2014" s="42"/>
    </row>
    <row r="2015" spans="1:13" x14ac:dyDescent="0.2">
      <c r="A2015" s="42"/>
      <c r="B2015" s="42"/>
      <c r="C2015" s="42"/>
      <c r="D2015" s="42"/>
      <c r="E2015" s="42"/>
      <c r="F2015" s="42"/>
      <c r="G2015" s="42"/>
      <c r="H2015" s="42"/>
      <c r="I2015" s="42"/>
      <c r="J2015" s="42"/>
      <c r="K2015" s="42"/>
      <c r="L2015" s="42"/>
      <c r="M2015" s="42"/>
    </row>
    <row r="2016" spans="1:13" x14ac:dyDescent="0.2">
      <c r="A2016" s="42"/>
      <c r="B2016" s="42"/>
      <c r="C2016" s="42"/>
      <c r="D2016" s="42"/>
      <c r="E2016" s="42"/>
      <c r="F2016" s="42"/>
      <c r="G2016" s="42"/>
      <c r="H2016" s="42"/>
      <c r="I2016" s="42"/>
      <c r="J2016" s="42"/>
      <c r="K2016" s="42"/>
      <c r="L2016" s="42"/>
      <c r="M2016" s="42"/>
    </row>
    <row r="2017" spans="1:13" x14ac:dyDescent="0.2">
      <c r="A2017" s="42"/>
      <c r="B2017" s="42"/>
      <c r="C2017" s="42"/>
      <c r="D2017" s="42"/>
      <c r="E2017" s="42"/>
      <c r="F2017" s="42"/>
      <c r="G2017" s="42"/>
      <c r="H2017" s="42"/>
      <c r="I2017" s="42"/>
      <c r="J2017" s="42"/>
      <c r="K2017" s="42"/>
      <c r="L2017" s="42"/>
      <c r="M2017" s="42"/>
    </row>
    <row r="2018" spans="1:13" x14ac:dyDescent="0.2">
      <c r="A2018" s="42"/>
      <c r="B2018" s="42"/>
      <c r="C2018" s="42"/>
      <c r="D2018" s="42"/>
      <c r="E2018" s="42"/>
      <c r="F2018" s="42"/>
      <c r="G2018" s="42"/>
      <c r="H2018" s="42"/>
      <c r="I2018" s="42"/>
      <c r="J2018" s="42"/>
      <c r="K2018" s="42"/>
      <c r="L2018" s="42"/>
      <c r="M2018" s="42"/>
    </row>
    <row r="2019" spans="1:13" x14ac:dyDescent="0.2">
      <c r="A2019" s="42"/>
      <c r="B2019" s="42"/>
      <c r="C2019" s="42"/>
      <c r="D2019" s="42"/>
      <c r="E2019" s="42"/>
      <c r="F2019" s="42"/>
      <c r="G2019" s="42"/>
      <c r="H2019" s="42"/>
      <c r="I2019" s="42"/>
      <c r="J2019" s="42"/>
      <c r="K2019" s="42"/>
      <c r="L2019" s="42"/>
      <c r="M2019" s="42"/>
    </row>
    <row r="2020" spans="1:13" x14ac:dyDescent="0.2">
      <c r="A2020" s="42"/>
      <c r="B2020" s="42"/>
      <c r="C2020" s="42"/>
      <c r="D2020" s="42"/>
      <c r="E2020" s="42"/>
      <c r="F2020" s="42"/>
      <c r="G2020" s="42"/>
      <c r="H2020" s="42"/>
      <c r="I2020" s="42"/>
      <c r="J2020" s="42"/>
      <c r="K2020" s="42"/>
      <c r="L2020" s="42"/>
      <c r="M2020" s="42"/>
    </row>
    <row r="2021" spans="1:13" x14ac:dyDescent="0.2">
      <c r="A2021" s="42"/>
      <c r="B2021" s="42"/>
      <c r="C2021" s="42"/>
      <c r="D2021" s="42"/>
      <c r="E2021" s="42"/>
      <c r="F2021" s="42"/>
      <c r="G2021" s="42"/>
      <c r="H2021" s="42"/>
      <c r="I2021" s="42"/>
      <c r="J2021" s="42"/>
      <c r="K2021" s="42"/>
      <c r="L2021" s="42"/>
      <c r="M2021" s="42"/>
    </row>
    <row r="2022" spans="1:13" x14ac:dyDescent="0.2">
      <c r="A2022" s="42"/>
      <c r="B2022" s="42"/>
      <c r="C2022" s="42"/>
      <c r="D2022" s="42"/>
      <c r="E2022" s="42"/>
      <c r="F2022" s="42"/>
      <c r="G2022" s="42"/>
      <c r="H2022" s="42"/>
      <c r="I2022" s="42"/>
      <c r="J2022" s="42"/>
      <c r="K2022" s="42"/>
      <c r="L2022" s="42"/>
      <c r="M2022" s="42"/>
    </row>
    <row r="2023" spans="1:13" x14ac:dyDescent="0.2">
      <c r="A2023" s="42"/>
      <c r="B2023" s="42"/>
      <c r="C2023" s="42"/>
      <c r="D2023" s="42"/>
      <c r="E2023" s="42"/>
      <c r="F2023" s="42"/>
      <c r="G2023" s="42"/>
      <c r="H2023" s="42"/>
      <c r="I2023" s="42"/>
      <c r="J2023" s="42"/>
      <c r="K2023" s="42"/>
      <c r="L2023" s="42"/>
      <c r="M2023" s="42"/>
    </row>
    <row r="2024" spans="1:13" x14ac:dyDescent="0.2">
      <c r="A2024" s="42"/>
      <c r="B2024" s="42"/>
      <c r="C2024" s="42"/>
      <c r="D2024" s="42"/>
      <c r="E2024" s="42"/>
      <c r="F2024" s="42"/>
      <c r="G2024" s="42"/>
      <c r="H2024" s="42"/>
      <c r="I2024" s="42"/>
      <c r="J2024" s="42"/>
      <c r="K2024" s="42"/>
      <c r="L2024" s="42"/>
      <c r="M2024" s="42"/>
    </row>
    <row r="2025" spans="1:13" x14ac:dyDescent="0.2">
      <c r="A2025" s="42"/>
      <c r="B2025" s="42"/>
      <c r="C2025" s="42"/>
      <c r="D2025" s="42"/>
      <c r="E2025" s="42"/>
      <c r="F2025" s="42"/>
      <c r="G2025" s="42"/>
      <c r="H2025" s="42"/>
      <c r="I2025" s="42"/>
      <c r="J2025" s="42"/>
      <c r="K2025" s="42"/>
      <c r="L2025" s="42"/>
      <c r="M2025" s="42"/>
    </row>
    <row r="2026" spans="1:13" x14ac:dyDescent="0.2">
      <c r="A2026" s="42"/>
      <c r="B2026" s="42"/>
      <c r="C2026" s="42"/>
      <c r="D2026" s="42"/>
      <c r="E2026" s="42"/>
      <c r="F2026" s="42"/>
      <c r="G2026" s="42"/>
      <c r="H2026" s="42"/>
      <c r="I2026" s="42"/>
      <c r="J2026" s="42"/>
      <c r="K2026" s="42"/>
      <c r="L2026" s="42"/>
      <c r="M2026" s="42"/>
    </row>
    <row r="2027" spans="1:13" x14ac:dyDescent="0.2">
      <c r="A2027" s="42"/>
      <c r="B2027" s="42"/>
      <c r="C2027" s="42"/>
      <c r="D2027" s="42"/>
      <c r="E2027" s="42"/>
      <c r="F2027" s="42"/>
      <c r="G2027" s="42"/>
      <c r="H2027" s="42"/>
      <c r="I2027" s="42"/>
      <c r="J2027" s="42"/>
      <c r="K2027" s="42"/>
      <c r="L2027" s="42"/>
      <c r="M2027" s="42"/>
    </row>
    <row r="2028" spans="1:13" x14ac:dyDescent="0.2">
      <c r="A2028" s="42"/>
      <c r="B2028" s="42"/>
      <c r="C2028" s="42"/>
      <c r="D2028" s="42"/>
      <c r="E2028" s="42"/>
      <c r="F2028" s="42"/>
      <c r="G2028" s="42"/>
      <c r="H2028" s="42"/>
      <c r="I2028" s="42"/>
      <c r="J2028" s="42"/>
      <c r="K2028" s="42"/>
      <c r="L2028" s="42"/>
      <c r="M2028" s="42"/>
    </row>
    <row r="2029" spans="1:13" x14ac:dyDescent="0.2">
      <c r="A2029" s="42"/>
      <c r="B2029" s="42"/>
      <c r="C2029" s="42"/>
      <c r="D2029" s="42"/>
      <c r="E2029" s="42"/>
      <c r="F2029" s="42"/>
      <c r="G2029" s="42"/>
      <c r="H2029" s="42"/>
      <c r="I2029" s="42"/>
      <c r="J2029" s="42"/>
      <c r="K2029" s="42"/>
      <c r="L2029" s="42"/>
      <c r="M2029" s="42"/>
    </row>
    <row r="2030" spans="1:13" x14ac:dyDescent="0.2">
      <c r="A2030" s="42"/>
      <c r="B2030" s="42"/>
      <c r="C2030" s="42"/>
      <c r="D2030" s="42"/>
      <c r="E2030" s="42"/>
      <c r="F2030" s="42"/>
      <c r="G2030" s="42"/>
      <c r="H2030" s="42"/>
      <c r="I2030" s="42"/>
      <c r="J2030" s="42"/>
      <c r="K2030" s="42"/>
      <c r="L2030" s="42"/>
      <c r="M2030" s="42"/>
    </row>
    <row r="2031" spans="1:13" x14ac:dyDescent="0.2">
      <c r="A2031" s="42"/>
      <c r="B2031" s="42"/>
      <c r="C2031" s="42"/>
      <c r="D2031" s="42"/>
      <c r="E2031" s="42"/>
      <c r="F2031" s="42"/>
      <c r="G2031" s="42"/>
      <c r="H2031" s="42"/>
      <c r="I2031" s="42"/>
      <c r="J2031" s="42"/>
      <c r="K2031" s="42"/>
      <c r="L2031" s="42"/>
      <c r="M2031" s="42"/>
    </row>
    <row r="2032" spans="1:13" x14ac:dyDescent="0.2">
      <c r="A2032" s="42"/>
      <c r="B2032" s="42"/>
      <c r="C2032" s="42"/>
      <c r="D2032" s="42"/>
      <c r="E2032" s="42"/>
      <c r="F2032" s="42"/>
      <c r="G2032" s="42"/>
      <c r="H2032" s="42"/>
      <c r="I2032" s="42"/>
      <c r="J2032" s="42"/>
      <c r="K2032" s="42"/>
      <c r="L2032" s="42"/>
      <c r="M2032" s="42"/>
    </row>
    <row r="2033" spans="1:13" x14ac:dyDescent="0.2">
      <c r="A2033" s="42"/>
      <c r="B2033" s="42"/>
      <c r="C2033" s="42"/>
      <c r="D2033" s="42"/>
      <c r="E2033" s="42"/>
      <c r="F2033" s="42"/>
      <c r="G2033" s="42"/>
      <c r="H2033" s="42"/>
      <c r="I2033" s="42"/>
      <c r="J2033" s="42"/>
      <c r="K2033" s="42"/>
      <c r="L2033" s="42"/>
      <c r="M2033" s="42"/>
    </row>
    <row r="2034" spans="1:13" x14ac:dyDescent="0.2">
      <c r="A2034" s="42"/>
      <c r="B2034" s="42"/>
      <c r="C2034" s="42"/>
      <c r="D2034" s="42"/>
      <c r="E2034" s="42"/>
      <c r="F2034" s="42"/>
      <c r="G2034" s="42"/>
      <c r="H2034" s="42"/>
      <c r="I2034" s="42"/>
      <c r="J2034" s="42"/>
      <c r="K2034" s="42"/>
      <c r="L2034" s="42"/>
      <c r="M2034" s="42"/>
    </row>
    <row r="2035" spans="1:13" x14ac:dyDescent="0.2">
      <c r="A2035" s="42"/>
      <c r="B2035" s="42"/>
      <c r="C2035" s="42"/>
      <c r="D2035" s="42"/>
      <c r="E2035" s="42"/>
      <c r="F2035" s="42"/>
      <c r="G2035" s="42"/>
      <c r="H2035" s="42"/>
      <c r="I2035" s="42"/>
      <c r="J2035" s="42"/>
      <c r="K2035" s="42"/>
      <c r="L2035" s="42"/>
      <c r="M2035" s="42"/>
    </row>
    <row r="2036" spans="1:13" x14ac:dyDescent="0.2">
      <c r="A2036" s="42"/>
      <c r="B2036" s="42"/>
      <c r="C2036" s="42"/>
      <c r="D2036" s="42"/>
      <c r="E2036" s="42"/>
      <c r="F2036" s="42"/>
      <c r="G2036" s="42"/>
      <c r="H2036" s="42"/>
      <c r="I2036" s="42"/>
      <c r="J2036" s="42"/>
      <c r="K2036" s="42"/>
      <c r="L2036" s="42"/>
      <c r="M2036" s="42"/>
    </row>
    <row r="2037" spans="1:13" x14ac:dyDescent="0.2">
      <c r="A2037" s="42"/>
      <c r="B2037" s="42"/>
      <c r="C2037" s="42"/>
      <c r="D2037" s="42"/>
      <c r="E2037" s="42"/>
      <c r="F2037" s="42"/>
      <c r="G2037" s="42"/>
      <c r="H2037" s="42"/>
      <c r="I2037" s="42"/>
      <c r="J2037" s="42"/>
      <c r="K2037" s="42"/>
      <c r="L2037" s="42"/>
      <c r="M2037" s="42"/>
    </row>
    <row r="2038" spans="1:13" x14ac:dyDescent="0.2">
      <c r="A2038" s="42"/>
      <c r="B2038" s="42"/>
      <c r="C2038" s="42"/>
      <c r="D2038" s="42"/>
      <c r="E2038" s="42"/>
      <c r="F2038" s="42"/>
      <c r="G2038" s="42"/>
      <c r="H2038" s="42"/>
      <c r="I2038" s="42"/>
      <c r="J2038" s="42"/>
      <c r="K2038" s="42"/>
      <c r="L2038" s="42"/>
      <c r="M2038" s="42"/>
    </row>
    <row r="2039" spans="1:13" x14ac:dyDescent="0.2">
      <c r="A2039" s="42"/>
      <c r="B2039" s="42"/>
      <c r="C2039" s="42"/>
      <c r="D2039" s="42"/>
      <c r="E2039" s="42"/>
      <c r="F2039" s="42"/>
      <c r="G2039" s="42"/>
      <c r="H2039" s="42"/>
      <c r="I2039" s="42"/>
      <c r="J2039" s="42"/>
      <c r="K2039" s="42"/>
      <c r="L2039" s="42"/>
      <c r="M2039" s="42"/>
    </row>
    <row r="2040" spans="1:13" x14ac:dyDescent="0.2">
      <c r="A2040" s="42"/>
      <c r="B2040" s="42"/>
      <c r="C2040" s="42"/>
      <c r="D2040" s="42"/>
      <c r="E2040" s="42"/>
      <c r="F2040" s="42"/>
      <c r="G2040" s="42"/>
      <c r="H2040" s="42"/>
      <c r="I2040" s="42"/>
      <c r="J2040" s="42"/>
      <c r="K2040" s="42"/>
      <c r="L2040" s="42"/>
      <c r="M2040" s="42"/>
    </row>
    <row r="2041" spans="1:13" x14ac:dyDescent="0.2">
      <c r="A2041" s="42"/>
      <c r="B2041" s="42"/>
      <c r="C2041" s="42"/>
      <c r="D2041" s="42"/>
      <c r="E2041" s="42"/>
      <c r="F2041" s="42"/>
      <c r="G2041" s="42"/>
      <c r="H2041" s="42"/>
      <c r="I2041" s="42"/>
      <c r="J2041" s="42"/>
      <c r="K2041" s="42"/>
      <c r="L2041" s="42"/>
      <c r="M2041" s="42"/>
    </row>
    <row r="2042" spans="1:13" x14ac:dyDescent="0.2">
      <c r="A2042" s="42"/>
      <c r="B2042" s="42"/>
      <c r="C2042" s="42"/>
      <c r="D2042" s="42"/>
      <c r="E2042" s="42"/>
      <c r="F2042" s="42"/>
      <c r="G2042" s="42"/>
      <c r="H2042" s="42"/>
      <c r="I2042" s="42"/>
      <c r="J2042" s="42"/>
      <c r="K2042" s="42"/>
      <c r="L2042" s="42"/>
      <c r="M2042" s="42"/>
    </row>
    <row r="2043" spans="1:13" x14ac:dyDescent="0.2">
      <c r="A2043" s="42"/>
      <c r="B2043" s="42"/>
      <c r="C2043" s="42"/>
      <c r="D2043" s="42"/>
      <c r="E2043" s="42"/>
      <c r="F2043" s="42"/>
      <c r="G2043" s="42"/>
      <c r="H2043" s="42"/>
      <c r="I2043" s="42"/>
      <c r="J2043" s="42"/>
      <c r="K2043" s="42"/>
      <c r="L2043" s="42"/>
      <c r="M2043" s="42"/>
    </row>
    <row r="2044" spans="1:13" x14ac:dyDescent="0.2">
      <c r="A2044" s="42"/>
      <c r="B2044" s="42"/>
      <c r="C2044" s="42"/>
      <c r="D2044" s="42"/>
      <c r="E2044" s="42"/>
      <c r="F2044" s="42"/>
      <c r="G2044" s="42"/>
      <c r="H2044" s="42"/>
      <c r="I2044" s="42"/>
      <c r="J2044" s="42"/>
      <c r="K2044" s="42"/>
      <c r="L2044" s="42"/>
      <c r="M2044" s="42"/>
    </row>
    <row r="2045" spans="1:13" x14ac:dyDescent="0.2">
      <c r="A2045" s="42"/>
      <c r="B2045" s="42"/>
      <c r="C2045" s="42"/>
      <c r="D2045" s="42"/>
      <c r="E2045" s="42"/>
      <c r="F2045" s="42"/>
      <c r="G2045" s="42"/>
      <c r="H2045" s="42"/>
      <c r="I2045" s="42"/>
      <c r="J2045" s="42"/>
      <c r="K2045" s="42"/>
      <c r="L2045" s="42"/>
      <c r="M2045" s="42"/>
    </row>
    <row r="2046" spans="1:13" x14ac:dyDescent="0.2">
      <c r="A2046" s="42"/>
      <c r="B2046" s="42"/>
      <c r="C2046" s="42"/>
      <c r="D2046" s="42"/>
      <c r="E2046" s="42"/>
      <c r="F2046" s="42"/>
      <c r="G2046" s="42"/>
      <c r="H2046" s="42"/>
      <c r="I2046" s="42"/>
      <c r="J2046" s="42"/>
      <c r="K2046" s="42"/>
      <c r="L2046" s="42"/>
      <c r="M2046" s="42"/>
    </row>
    <row r="2047" spans="1:13" x14ac:dyDescent="0.2">
      <c r="A2047" s="42"/>
      <c r="B2047" s="42"/>
      <c r="C2047" s="42"/>
      <c r="D2047" s="42"/>
      <c r="E2047" s="42"/>
      <c r="F2047" s="42"/>
      <c r="G2047" s="42"/>
      <c r="H2047" s="42"/>
      <c r="I2047" s="42"/>
      <c r="J2047" s="42"/>
      <c r="K2047" s="42"/>
      <c r="L2047" s="42"/>
      <c r="M2047" s="42"/>
    </row>
    <row r="2048" spans="1:13" x14ac:dyDescent="0.2">
      <c r="A2048" s="42"/>
      <c r="B2048" s="42"/>
      <c r="C2048" s="42"/>
      <c r="D2048" s="42"/>
      <c r="E2048" s="42"/>
      <c r="F2048" s="42"/>
      <c r="G2048" s="42"/>
      <c r="H2048" s="42"/>
      <c r="I2048" s="42"/>
      <c r="J2048" s="42"/>
      <c r="K2048" s="42"/>
      <c r="L2048" s="42"/>
      <c r="M2048" s="42"/>
    </row>
    <row r="2049" spans="1:13" x14ac:dyDescent="0.2">
      <c r="A2049" s="42"/>
      <c r="B2049" s="42"/>
      <c r="C2049" s="42"/>
      <c r="D2049" s="42"/>
      <c r="E2049" s="42"/>
      <c r="F2049" s="42"/>
      <c r="G2049" s="42"/>
      <c r="H2049" s="42"/>
      <c r="I2049" s="42"/>
      <c r="J2049" s="42"/>
      <c r="K2049" s="42"/>
      <c r="L2049" s="42"/>
      <c r="M2049" s="42"/>
    </row>
    <row r="2050" spans="1:13" x14ac:dyDescent="0.2">
      <c r="A2050" s="42"/>
      <c r="B2050" s="42"/>
      <c r="C2050" s="42"/>
      <c r="D2050" s="42"/>
      <c r="E2050" s="42"/>
      <c r="F2050" s="42"/>
      <c r="G2050" s="42"/>
      <c r="H2050" s="42"/>
      <c r="I2050" s="42"/>
      <c r="J2050" s="42"/>
      <c r="K2050" s="42"/>
      <c r="L2050" s="42"/>
      <c r="M2050" s="42"/>
    </row>
    <row r="2051" spans="1:13" x14ac:dyDescent="0.2">
      <c r="A2051" s="42"/>
      <c r="B2051" s="42"/>
      <c r="C2051" s="42"/>
      <c r="D2051" s="42"/>
      <c r="E2051" s="42"/>
      <c r="F2051" s="42"/>
      <c r="G2051" s="42"/>
      <c r="H2051" s="42"/>
      <c r="I2051" s="42"/>
      <c r="J2051" s="42"/>
      <c r="K2051" s="42"/>
      <c r="L2051" s="42"/>
      <c r="M2051" s="42"/>
    </row>
    <row r="2052" spans="1:13" x14ac:dyDescent="0.2">
      <c r="A2052" s="42"/>
      <c r="B2052" s="42"/>
      <c r="C2052" s="42"/>
      <c r="D2052" s="42"/>
      <c r="E2052" s="42"/>
      <c r="F2052" s="42"/>
      <c r="G2052" s="42"/>
      <c r="H2052" s="42"/>
      <c r="I2052" s="42"/>
      <c r="J2052" s="42"/>
      <c r="K2052" s="42"/>
      <c r="L2052" s="42"/>
      <c r="M2052" s="42"/>
    </row>
    <row r="2053" spans="1:13" x14ac:dyDescent="0.2">
      <c r="A2053" s="42"/>
      <c r="B2053" s="42"/>
      <c r="C2053" s="42"/>
      <c r="D2053" s="42"/>
      <c r="E2053" s="42"/>
      <c r="F2053" s="42"/>
      <c r="G2053" s="42"/>
      <c r="H2053" s="42"/>
      <c r="I2053" s="42"/>
      <c r="J2053" s="42"/>
      <c r="K2053" s="42"/>
      <c r="L2053" s="42"/>
      <c r="M2053" s="42"/>
    </row>
    <row r="2054" spans="1:13" x14ac:dyDescent="0.2">
      <c r="A2054" s="42"/>
      <c r="B2054" s="42"/>
      <c r="C2054" s="42"/>
      <c r="D2054" s="42"/>
      <c r="E2054" s="42"/>
      <c r="F2054" s="42"/>
      <c r="G2054" s="42"/>
      <c r="H2054" s="42"/>
      <c r="I2054" s="42"/>
      <c r="J2054" s="42"/>
      <c r="K2054" s="42"/>
      <c r="L2054" s="42"/>
      <c r="M2054" s="42"/>
    </row>
    <row r="2055" spans="1:13" x14ac:dyDescent="0.2">
      <c r="A2055" s="42"/>
      <c r="B2055" s="42"/>
      <c r="C2055" s="42"/>
      <c r="D2055" s="42"/>
      <c r="E2055" s="42"/>
      <c r="F2055" s="42"/>
      <c r="G2055" s="42"/>
      <c r="H2055" s="42"/>
      <c r="I2055" s="42"/>
      <c r="J2055" s="42"/>
      <c r="K2055" s="42"/>
      <c r="L2055" s="42"/>
      <c r="M2055" s="42"/>
    </row>
    <row r="2056" spans="1:13" x14ac:dyDescent="0.2">
      <c r="A2056" s="42"/>
      <c r="B2056" s="42"/>
      <c r="C2056" s="42"/>
      <c r="D2056" s="42"/>
      <c r="E2056" s="42"/>
      <c r="F2056" s="42"/>
      <c r="G2056" s="42"/>
      <c r="H2056" s="42"/>
      <c r="I2056" s="42"/>
      <c r="J2056" s="42"/>
      <c r="K2056" s="42"/>
      <c r="L2056" s="42"/>
      <c r="M2056" s="42"/>
    </row>
    <row r="2057" spans="1:13" x14ac:dyDescent="0.2">
      <c r="A2057" s="42"/>
      <c r="B2057" s="42"/>
      <c r="C2057" s="42"/>
      <c r="D2057" s="42"/>
      <c r="E2057" s="42"/>
      <c r="F2057" s="42"/>
      <c r="G2057" s="42"/>
      <c r="H2057" s="42"/>
      <c r="I2057" s="42"/>
      <c r="J2057" s="42"/>
      <c r="K2057" s="42"/>
      <c r="L2057" s="42"/>
      <c r="M2057" s="42"/>
    </row>
    <row r="2058" spans="1:13" x14ac:dyDescent="0.2">
      <c r="A2058" s="42"/>
      <c r="B2058" s="42"/>
      <c r="C2058" s="42"/>
      <c r="D2058" s="42"/>
      <c r="E2058" s="42"/>
      <c r="F2058" s="42"/>
      <c r="G2058" s="42"/>
      <c r="H2058" s="42"/>
      <c r="I2058" s="42"/>
      <c r="J2058" s="42"/>
      <c r="K2058" s="42"/>
      <c r="L2058" s="42"/>
      <c r="M2058" s="42"/>
    </row>
    <row r="2059" spans="1:13" x14ac:dyDescent="0.2">
      <c r="A2059" s="42"/>
      <c r="B2059" s="42"/>
      <c r="C2059" s="42"/>
      <c r="D2059" s="42"/>
      <c r="E2059" s="42"/>
      <c r="F2059" s="42"/>
      <c r="G2059" s="42"/>
      <c r="H2059" s="42"/>
      <c r="I2059" s="42"/>
      <c r="J2059" s="42"/>
      <c r="K2059" s="42"/>
      <c r="L2059" s="42"/>
      <c r="M2059" s="42"/>
    </row>
    <row r="2060" spans="1:13" x14ac:dyDescent="0.2">
      <c r="A2060" s="42"/>
      <c r="B2060" s="42"/>
      <c r="C2060" s="42"/>
      <c r="D2060" s="42"/>
      <c r="E2060" s="42"/>
      <c r="F2060" s="42"/>
      <c r="G2060" s="42"/>
      <c r="H2060" s="42"/>
      <c r="I2060" s="42"/>
      <c r="J2060" s="42"/>
      <c r="K2060" s="42"/>
      <c r="L2060" s="42"/>
      <c r="M2060" s="42"/>
    </row>
    <row r="2061" spans="1:13" x14ac:dyDescent="0.2">
      <c r="A2061" s="42"/>
      <c r="B2061" s="42"/>
      <c r="C2061" s="42"/>
      <c r="D2061" s="42"/>
      <c r="E2061" s="42"/>
      <c r="F2061" s="42"/>
      <c r="G2061" s="42"/>
      <c r="H2061" s="42"/>
      <c r="I2061" s="42"/>
      <c r="J2061" s="42"/>
      <c r="K2061" s="42"/>
      <c r="L2061" s="42"/>
      <c r="M2061" s="42"/>
    </row>
    <row r="2062" spans="1:13" x14ac:dyDescent="0.2">
      <c r="A2062" s="42"/>
      <c r="B2062" s="42"/>
      <c r="C2062" s="42"/>
      <c r="D2062" s="42"/>
      <c r="E2062" s="42"/>
      <c r="F2062" s="42"/>
      <c r="G2062" s="42"/>
      <c r="H2062" s="42"/>
      <c r="I2062" s="42"/>
      <c r="J2062" s="42"/>
      <c r="K2062" s="42"/>
      <c r="L2062" s="42"/>
      <c r="M2062" s="42"/>
    </row>
    <row r="2063" spans="1:13" x14ac:dyDescent="0.2">
      <c r="A2063" s="42"/>
      <c r="B2063" s="42"/>
      <c r="C2063" s="42"/>
      <c r="D2063" s="42"/>
      <c r="E2063" s="42"/>
      <c r="F2063" s="42"/>
      <c r="G2063" s="42"/>
      <c r="H2063" s="42"/>
      <c r="I2063" s="42"/>
      <c r="J2063" s="42"/>
      <c r="K2063" s="42"/>
      <c r="L2063" s="42"/>
      <c r="M2063" s="42"/>
    </row>
    <row r="2064" spans="1:13" x14ac:dyDescent="0.2">
      <c r="A2064" s="42"/>
      <c r="B2064" s="42"/>
      <c r="C2064" s="42"/>
      <c r="D2064" s="42"/>
      <c r="E2064" s="42"/>
      <c r="F2064" s="42"/>
      <c r="G2064" s="42"/>
      <c r="H2064" s="42"/>
      <c r="I2064" s="42"/>
      <c r="J2064" s="42"/>
      <c r="K2064" s="42"/>
      <c r="L2064" s="42"/>
      <c r="M2064" s="42"/>
    </row>
    <row r="2065" spans="1:13" x14ac:dyDescent="0.2">
      <c r="A2065" s="42"/>
      <c r="B2065" s="42"/>
      <c r="C2065" s="42"/>
      <c r="D2065" s="42"/>
      <c r="E2065" s="42"/>
      <c r="F2065" s="42"/>
      <c r="G2065" s="42"/>
      <c r="H2065" s="42"/>
      <c r="I2065" s="42"/>
      <c r="J2065" s="42"/>
      <c r="K2065" s="42"/>
      <c r="L2065" s="42"/>
      <c r="M2065" s="42"/>
    </row>
    <row r="2066" spans="1:13" x14ac:dyDescent="0.2">
      <c r="A2066" s="42"/>
      <c r="B2066" s="42"/>
      <c r="C2066" s="42"/>
      <c r="D2066" s="42"/>
      <c r="E2066" s="42"/>
      <c r="F2066" s="42"/>
      <c r="G2066" s="42"/>
      <c r="H2066" s="42"/>
      <c r="I2066" s="42"/>
      <c r="J2066" s="42"/>
      <c r="K2066" s="42"/>
      <c r="L2066" s="42"/>
      <c r="M2066" s="42"/>
    </row>
    <row r="2067" spans="1:13" x14ac:dyDescent="0.2">
      <c r="A2067" s="42"/>
      <c r="B2067" s="42"/>
      <c r="C2067" s="42"/>
      <c r="D2067" s="42"/>
      <c r="E2067" s="42"/>
      <c r="F2067" s="42"/>
      <c r="G2067" s="42"/>
      <c r="H2067" s="42"/>
      <c r="I2067" s="42"/>
      <c r="J2067" s="42"/>
      <c r="K2067" s="42"/>
      <c r="L2067" s="42"/>
      <c r="M2067" s="42"/>
    </row>
    <row r="2068" spans="1:13" x14ac:dyDescent="0.2">
      <c r="A2068" s="42"/>
      <c r="B2068" s="42"/>
      <c r="C2068" s="42"/>
      <c r="D2068" s="42"/>
      <c r="E2068" s="42"/>
      <c r="F2068" s="42"/>
      <c r="G2068" s="42"/>
      <c r="H2068" s="42"/>
      <c r="I2068" s="42"/>
      <c r="J2068" s="42"/>
      <c r="K2068" s="42"/>
      <c r="L2068" s="42"/>
      <c r="M2068" s="42"/>
    </row>
    <row r="2069" spans="1:13" x14ac:dyDescent="0.2">
      <c r="A2069" s="42"/>
      <c r="B2069" s="42"/>
      <c r="C2069" s="42"/>
      <c r="D2069" s="42"/>
      <c r="E2069" s="42"/>
      <c r="F2069" s="42"/>
      <c r="G2069" s="42"/>
      <c r="H2069" s="42"/>
      <c r="I2069" s="42"/>
      <c r="J2069" s="42"/>
      <c r="K2069" s="42"/>
      <c r="L2069" s="42"/>
      <c r="M2069" s="42"/>
    </row>
    <row r="2070" spans="1:13" x14ac:dyDescent="0.2">
      <c r="A2070" s="42"/>
      <c r="B2070" s="42"/>
      <c r="C2070" s="42"/>
      <c r="D2070" s="42"/>
      <c r="E2070" s="42"/>
      <c r="F2070" s="42"/>
      <c r="G2070" s="42"/>
      <c r="H2070" s="42"/>
      <c r="I2070" s="42"/>
      <c r="J2070" s="42"/>
      <c r="K2070" s="42"/>
      <c r="L2070" s="42"/>
      <c r="M2070" s="42"/>
    </row>
    <row r="2071" spans="1:13" x14ac:dyDescent="0.2">
      <c r="A2071" s="42"/>
      <c r="B2071" s="42"/>
      <c r="C2071" s="42"/>
      <c r="D2071" s="42"/>
      <c r="E2071" s="42"/>
      <c r="F2071" s="42"/>
      <c r="G2071" s="42"/>
      <c r="H2071" s="42"/>
      <c r="I2071" s="42"/>
      <c r="J2071" s="42"/>
      <c r="K2071" s="42"/>
      <c r="L2071" s="42"/>
      <c r="M2071" s="42"/>
    </row>
    <row r="2072" spans="1:13" x14ac:dyDescent="0.2">
      <c r="A2072" s="42"/>
      <c r="B2072" s="42"/>
      <c r="C2072" s="42"/>
      <c r="D2072" s="42"/>
      <c r="E2072" s="42"/>
      <c r="F2072" s="42"/>
      <c r="G2072" s="42"/>
      <c r="H2072" s="42"/>
      <c r="I2072" s="42"/>
      <c r="J2072" s="42"/>
      <c r="K2072" s="42"/>
      <c r="L2072" s="42"/>
      <c r="M2072" s="42"/>
    </row>
    <row r="2073" spans="1:13" x14ac:dyDescent="0.2">
      <c r="A2073" s="42"/>
      <c r="B2073" s="42"/>
      <c r="C2073" s="42"/>
      <c r="D2073" s="42"/>
      <c r="E2073" s="42"/>
      <c r="F2073" s="42"/>
      <c r="G2073" s="42"/>
      <c r="H2073" s="42"/>
      <c r="I2073" s="42"/>
      <c r="J2073" s="42"/>
      <c r="K2073" s="42"/>
      <c r="L2073" s="42"/>
      <c r="M2073" s="42"/>
    </row>
    <row r="2074" spans="1:13" x14ac:dyDescent="0.2">
      <c r="A2074" s="42"/>
      <c r="B2074" s="42"/>
      <c r="C2074" s="42"/>
      <c r="D2074" s="42"/>
      <c r="E2074" s="42"/>
      <c r="F2074" s="42"/>
      <c r="G2074" s="42"/>
      <c r="H2074" s="42"/>
      <c r="I2074" s="42"/>
      <c r="J2074" s="42"/>
      <c r="K2074" s="42"/>
      <c r="L2074" s="42"/>
      <c r="M2074" s="42"/>
    </row>
    <row r="2075" spans="1:13" x14ac:dyDescent="0.2">
      <c r="A2075" s="42"/>
      <c r="B2075" s="42"/>
      <c r="C2075" s="42"/>
      <c r="D2075" s="42"/>
      <c r="E2075" s="42"/>
      <c r="F2075" s="42"/>
      <c r="G2075" s="42"/>
      <c r="H2075" s="42"/>
      <c r="I2075" s="42"/>
      <c r="J2075" s="42"/>
      <c r="K2075" s="42"/>
      <c r="L2075" s="42"/>
      <c r="M2075" s="42"/>
    </row>
    <row r="2076" spans="1:13" x14ac:dyDescent="0.2">
      <c r="A2076" s="42"/>
      <c r="B2076" s="42"/>
      <c r="C2076" s="42"/>
      <c r="D2076" s="42"/>
      <c r="E2076" s="42"/>
      <c r="F2076" s="42"/>
      <c r="G2076" s="42"/>
      <c r="H2076" s="42"/>
      <c r="I2076" s="42"/>
      <c r="J2076" s="42"/>
      <c r="K2076" s="42"/>
      <c r="L2076" s="42"/>
      <c r="M2076" s="42"/>
    </row>
    <row r="2077" spans="1:13" x14ac:dyDescent="0.2">
      <c r="A2077" s="42"/>
      <c r="B2077" s="42"/>
      <c r="C2077" s="42"/>
      <c r="D2077" s="42"/>
      <c r="E2077" s="42"/>
      <c r="F2077" s="42"/>
      <c r="G2077" s="42"/>
      <c r="H2077" s="42"/>
      <c r="I2077" s="42"/>
      <c r="J2077" s="42"/>
      <c r="K2077" s="42"/>
      <c r="L2077" s="42"/>
      <c r="M2077" s="42"/>
    </row>
    <row r="2078" spans="1:13" x14ac:dyDescent="0.2">
      <c r="A2078" s="42"/>
      <c r="B2078" s="42"/>
      <c r="C2078" s="42"/>
      <c r="D2078" s="42"/>
      <c r="E2078" s="42"/>
      <c r="F2078" s="42"/>
      <c r="G2078" s="42"/>
      <c r="H2078" s="42"/>
      <c r="I2078" s="42"/>
      <c r="J2078" s="42"/>
      <c r="K2078" s="42"/>
      <c r="L2078" s="42"/>
      <c r="M2078" s="42"/>
    </row>
    <row r="2079" spans="1:13" x14ac:dyDescent="0.2">
      <c r="A2079" s="42"/>
      <c r="B2079" s="42"/>
      <c r="C2079" s="42"/>
      <c r="D2079" s="42"/>
      <c r="E2079" s="42"/>
      <c r="F2079" s="42"/>
      <c r="G2079" s="42"/>
      <c r="H2079" s="42"/>
      <c r="I2079" s="42"/>
      <c r="J2079" s="42"/>
      <c r="K2079" s="42"/>
      <c r="L2079" s="42"/>
      <c r="M2079" s="42"/>
    </row>
    <row r="2080" spans="1:13" x14ac:dyDescent="0.2">
      <c r="A2080" s="42"/>
      <c r="B2080" s="42"/>
      <c r="C2080" s="42"/>
      <c r="D2080" s="42"/>
      <c r="E2080" s="42"/>
      <c r="F2080" s="42"/>
      <c r="G2080" s="42"/>
      <c r="H2080" s="42"/>
      <c r="I2080" s="42"/>
      <c r="J2080" s="42"/>
      <c r="K2080" s="42"/>
      <c r="L2080" s="42"/>
      <c r="M2080" s="42"/>
    </row>
    <row r="2081" spans="1:13" x14ac:dyDescent="0.2">
      <c r="A2081" s="42"/>
      <c r="B2081" s="42"/>
      <c r="C2081" s="42"/>
      <c r="D2081" s="42"/>
      <c r="E2081" s="42"/>
      <c r="F2081" s="42"/>
      <c r="G2081" s="42"/>
      <c r="H2081" s="42"/>
      <c r="I2081" s="42"/>
      <c r="J2081" s="42"/>
      <c r="K2081" s="42"/>
      <c r="L2081" s="42"/>
      <c r="M2081" s="42"/>
    </row>
    <row r="2082" spans="1:13" x14ac:dyDescent="0.2">
      <c r="A2082" s="42"/>
      <c r="B2082" s="42"/>
      <c r="C2082" s="42"/>
      <c r="D2082" s="42"/>
      <c r="E2082" s="42"/>
      <c r="F2082" s="42"/>
      <c r="G2082" s="42"/>
      <c r="H2082" s="42"/>
      <c r="I2082" s="42"/>
      <c r="J2082" s="42"/>
      <c r="K2082" s="42"/>
      <c r="L2082" s="42"/>
      <c r="M2082" s="42"/>
    </row>
    <row r="2083" spans="1:13" x14ac:dyDescent="0.2">
      <c r="A2083" s="42"/>
      <c r="B2083" s="42"/>
      <c r="C2083" s="42"/>
      <c r="D2083" s="42"/>
      <c r="E2083" s="42"/>
      <c r="F2083" s="42"/>
      <c r="G2083" s="42"/>
      <c r="H2083" s="42"/>
      <c r="I2083" s="42"/>
      <c r="J2083" s="42"/>
      <c r="K2083" s="42"/>
      <c r="L2083" s="42"/>
      <c r="M2083" s="42"/>
    </row>
    <row r="2084" spans="1:13" x14ac:dyDescent="0.2">
      <c r="A2084" s="42"/>
      <c r="B2084" s="42"/>
      <c r="C2084" s="42"/>
      <c r="D2084" s="42"/>
      <c r="E2084" s="42"/>
      <c r="F2084" s="42"/>
      <c r="G2084" s="42"/>
      <c r="H2084" s="42"/>
      <c r="I2084" s="42"/>
      <c r="J2084" s="42"/>
      <c r="K2084" s="42"/>
      <c r="L2084" s="42"/>
      <c r="M2084" s="42"/>
    </row>
    <row r="2085" spans="1:13" x14ac:dyDescent="0.2">
      <c r="A2085" s="42"/>
      <c r="B2085" s="42"/>
      <c r="C2085" s="42"/>
      <c r="D2085" s="42"/>
      <c r="E2085" s="42"/>
      <c r="F2085" s="42"/>
      <c r="G2085" s="42"/>
      <c r="H2085" s="42"/>
      <c r="I2085" s="42"/>
      <c r="J2085" s="42"/>
      <c r="K2085" s="42"/>
      <c r="L2085" s="42"/>
      <c r="M2085" s="42"/>
    </row>
    <row r="2086" spans="1:13" x14ac:dyDescent="0.2">
      <c r="A2086" s="42"/>
      <c r="B2086" s="42"/>
      <c r="C2086" s="42"/>
      <c r="D2086" s="42"/>
      <c r="E2086" s="42"/>
      <c r="F2086" s="42"/>
      <c r="G2086" s="42"/>
      <c r="H2086" s="42"/>
      <c r="I2086" s="42"/>
      <c r="J2086" s="42"/>
      <c r="K2086" s="42"/>
      <c r="L2086" s="42"/>
      <c r="M2086" s="42"/>
    </row>
    <row r="2087" spans="1:13" x14ac:dyDescent="0.2">
      <c r="A2087" s="42"/>
      <c r="B2087" s="42"/>
      <c r="C2087" s="42"/>
      <c r="D2087" s="42"/>
      <c r="E2087" s="42"/>
      <c r="F2087" s="42"/>
      <c r="G2087" s="42"/>
      <c r="H2087" s="42"/>
      <c r="I2087" s="42"/>
      <c r="J2087" s="42"/>
      <c r="K2087" s="42"/>
      <c r="L2087" s="42"/>
      <c r="M2087" s="42"/>
    </row>
    <row r="2088" spans="1:13" x14ac:dyDescent="0.2">
      <c r="A2088" s="42"/>
      <c r="B2088" s="42"/>
      <c r="C2088" s="42"/>
      <c r="D2088" s="42"/>
      <c r="E2088" s="42"/>
      <c r="F2088" s="42"/>
      <c r="G2088" s="42"/>
      <c r="H2088" s="42"/>
      <c r="I2088" s="42"/>
      <c r="J2088" s="42"/>
      <c r="K2088" s="42"/>
      <c r="L2088" s="42"/>
      <c r="M2088" s="42"/>
    </row>
    <row r="2089" spans="1:13" x14ac:dyDescent="0.2">
      <c r="A2089" s="42"/>
      <c r="B2089" s="42"/>
      <c r="C2089" s="42"/>
      <c r="D2089" s="42"/>
      <c r="E2089" s="42"/>
      <c r="F2089" s="42"/>
      <c r="G2089" s="42"/>
      <c r="H2089" s="42"/>
      <c r="I2089" s="42"/>
      <c r="J2089" s="42"/>
      <c r="K2089" s="42"/>
      <c r="L2089" s="42"/>
      <c r="M2089" s="42"/>
    </row>
    <row r="2090" spans="1:13" x14ac:dyDescent="0.2">
      <c r="A2090" s="42"/>
      <c r="B2090" s="42"/>
      <c r="C2090" s="42"/>
      <c r="D2090" s="42"/>
      <c r="E2090" s="42"/>
      <c r="F2090" s="42"/>
      <c r="G2090" s="42"/>
      <c r="H2090" s="42"/>
      <c r="I2090" s="42"/>
      <c r="J2090" s="42"/>
      <c r="K2090" s="42"/>
      <c r="L2090" s="42"/>
      <c r="M2090" s="42"/>
    </row>
    <row r="2091" spans="1:13" x14ac:dyDescent="0.2">
      <c r="A2091" s="42"/>
      <c r="B2091" s="42"/>
      <c r="C2091" s="42"/>
      <c r="D2091" s="42"/>
      <c r="E2091" s="42"/>
      <c r="F2091" s="42"/>
      <c r="G2091" s="42"/>
      <c r="H2091" s="42"/>
      <c r="I2091" s="42"/>
      <c r="J2091" s="42"/>
      <c r="K2091" s="42"/>
      <c r="L2091" s="42"/>
      <c r="M2091" s="42"/>
    </row>
    <row r="2092" spans="1:13" x14ac:dyDescent="0.2">
      <c r="A2092" s="42"/>
      <c r="B2092" s="42"/>
      <c r="C2092" s="42"/>
      <c r="D2092" s="42"/>
      <c r="E2092" s="42"/>
      <c r="F2092" s="42"/>
      <c r="G2092" s="42"/>
      <c r="H2092" s="42"/>
      <c r="I2092" s="42"/>
      <c r="J2092" s="42"/>
      <c r="K2092" s="42"/>
      <c r="L2092" s="42"/>
      <c r="M2092" s="42"/>
    </row>
    <row r="2093" spans="1:13" x14ac:dyDescent="0.2">
      <c r="A2093" s="42"/>
      <c r="B2093" s="42"/>
      <c r="C2093" s="42"/>
      <c r="D2093" s="42"/>
      <c r="E2093" s="42"/>
      <c r="F2093" s="42"/>
      <c r="G2093" s="42"/>
      <c r="H2093" s="42"/>
      <c r="I2093" s="42"/>
      <c r="J2093" s="42"/>
      <c r="K2093" s="42"/>
      <c r="L2093" s="42"/>
      <c r="M2093" s="42"/>
    </row>
    <row r="2094" spans="1:13" x14ac:dyDescent="0.2">
      <c r="A2094" s="42"/>
      <c r="B2094" s="42"/>
      <c r="C2094" s="42"/>
      <c r="D2094" s="42"/>
      <c r="E2094" s="42"/>
      <c r="F2094" s="42"/>
      <c r="G2094" s="42"/>
      <c r="H2094" s="42"/>
      <c r="I2094" s="42"/>
      <c r="J2094" s="42"/>
      <c r="K2094" s="42"/>
      <c r="L2094" s="42"/>
      <c r="M2094" s="42"/>
    </row>
    <row r="2095" spans="1:13" x14ac:dyDescent="0.2">
      <c r="A2095" s="42"/>
      <c r="B2095" s="42"/>
      <c r="C2095" s="42"/>
      <c r="D2095" s="42"/>
      <c r="E2095" s="42"/>
      <c r="F2095" s="42"/>
      <c r="G2095" s="42"/>
      <c r="H2095" s="42"/>
      <c r="I2095" s="42"/>
      <c r="J2095" s="42"/>
      <c r="K2095" s="42"/>
      <c r="L2095" s="42"/>
      <c r="M2095" s="42"/>
    </row>
    <row r="2096" spans="1:13" x14ac:dyDescent="0.2">
      <c r="A2096" s="42"/>
      <c r="B2096" s="42"/>
      <c r="C2096" s="42"/>
      <c r="D2096" s="42"/>
      <c r="E2096" s="42"/>
      <c r="F2096" s="42"/>
      <c r="G2096" s="42"/>
      <c r="H2096" s="42"/>
      <c r="I2096" s="42"/>
      <c r="J2096" s="42"/>
      <c r="K2096" s="42"/>
      <c r="L2096" s="42"/>
      <c r="M2096" s="42"/>
    </row>
    <row r="2097" spans="1:13" x14ac:dyDescent="0.2">
      <c r="A2097" s="42"/>
      <c r="B2097" s="42"/>
      <c r="C2097" s="42"/>
      <c r="D2097" s="42"/>
      <c r="E2097" s="42"/>
      <c r="F2097" s="42"/>
      <c r="G2097" s="42"/>
      <c r="H2097" s="42"/>
      <c r="I2097" s="42"/>
      <c r="J2097" s="42"/>
      <c r="K2097" s="42"/>
      <c r="L2097" s="42"/>
      <c r="M2097" s="42"/>
    </row>
    <row r="2098" spans="1:13" x14ac:dyDescent="0.2">
      <c r="A2098" s="42"/>
      <c r="B2098" s="42"/>
      <c r="C2098" s="42"/>
      <c r="D2098" s="42"/>
      <c r="E2098" s="42"/>
      <c r="F2098" s="42"/>
      <c r="G2098" s="42"/>
      <c r="H2098" s="42"/>
      <c r="I2098" s="42"/>
      <c r="J2098" s="42"/>
      <c r="K2098" s="42"/>
      <c r="L2098" s="42"/>
      <c r="M2098" s="42"/>
    </row>
    <row r="2099" spans="1:13" x14ac:dyDescent="0.2">
      <c r="A2099" s="42"/>
      <c r="B2099" s="42"/>
      <c r="C2099" s="42"/>
      <c r="D2099" s="42"/>
      <c r="E2099" s="42"/>
      <c r="F2099" s="42"/>
      <c r="G2099" s="42"/>
      <c r="H2099" s="42"/>
      <c r="I2099" s="42"/>
      <c r="J2099" s="42"/>
      <c r="K2099" s="42"/>
      <c r="L2099" s="42"/>
      <c r="M2099" s="42"/>
    </row>
    <row r="2100" spans="1:13" x14ac:dyDescent="0.2">
      <c r="A2100" s="42"/>
      <c r="B2100" s="42"/>
      <c r="C2100" s="42"/>
      <c r="D2100" s="42"/>
      <c r="E2100" s="42"/>
      <c r="F2100" s="42"/>
      <c r="G2100" s="42"/>
      <c r="H2100" s="42"/>
      <c r="I2100" s="42"/>
      <c r="J2100" s="42"/>
      <c r="K2100" s="42"/>
      <c r="L2100" s="42"/>
      <c r="M2100" s="42"/>
    </row>
    <row r="2101" spans="1:13" x14ac:dyDescent="0.2">
      <c r="A2101" s="42"/>
      <c r="B2101" s="42"/>
      <c r="C2101" s="42"/>
      <c r="D2101" s="42"/>
      <c r="E2101" s="42"/>
      <c r="F2101" s="42"/>
      <c r="G2101" s="42"/>
      <c r="H2101" s="42"/>
      <c r="I2101" s="42"/>
      <c r="J2101" s="42"/>
      <c r="K2101" s="42"/>
      <c r="L2101" s="42"/>
      <c r="M2101" s="42"/>
    </row>
    <row r="2102" spans="1:13" x14ac:dyDescent="0.2">
      <c r="A2102" s="42"/>
      <c r="B2102" s="42"/>
      <c r="C2102" s="42"/>
      <c r="D2102" s="42"/>
      <c r="E2102" s="42"/>
      <c r="F2102" s="42"/>
      <c r="G2102" s="42"/>
      <c r="H2102" s="42"/>
      <c r="I2102" s="42"/>
      <c r="J2102" s="42"/>
      <c r="K2102" s="42"/>
      <c r="L2102" s="42"/>
      <c r="M2102" s="42"/>
    </row>
    <row r="2103" spans="1:13" x14ac:dyDescent="0.2">
      <c r="A2103" s="42"/>
      <c r="B2103" s="42"/>
      <c r="C2103" s="42"/>
      <c r="D2103" s="42"/>
      <c r="E2103" s="42"/>
      <c r="F2103" s="42"/>
      <c r="G2103" s="42"/>
      <c r="H2103" s="42"/>
      <c r="I2103" s="42"/>
      <c r="J2103" s="42"/>
      <c r="K2103" s="42"/>
      <c r="L2103" s="42"/>
      <c r="M2103" s="42"/>
    </row>
    <row r="2104" spans="1:13" x14ac:dyDescent="0.2">
      <c r="A2104" s="42"/>
      <c r="B2104" s="42"/>
      <c r="C2104" s="42"/>
      <c r="D2104" s="42"/>
      <c r="E2104" s="42"/>
      <c r="F2104" s="42"/>
      <c r="G2104" s="42"/>
      <c r="H2104" s="42"/>
      <c r="I2104" s="42"/>
      <c r="J2104" s="42"/>
      <c r="K2104" s="42"/>
      <c r="L2104" s="42"/>
      <c r="M2104" s="42"/>
    </row>
    <row r="2105" spans="1:13" x14ac:dyDescent="0.2">
      <c r="A2105" s="42"/>
      <c r="B2105" s="42"/>
      <c r="C2105" s="42"/>
      <c r="D2105" s="42"/>
      <c r="E2105" s="42"/>
      <c r="F2105" s="42"/>
      <c r="G2105" s="42"/>
      <c r="H2105" s="42"/>
      <c r="I2105" s="42"/>
      <c r="J2105" s="42"/>
      <c r="K2105" s="42"/>
      <c r="L2105" s="42"/>
      <c r="M2105" s="42"/>
    </row>
    <row r="2106" spans="1:13" x14ac:dyDescent="0.2">
      <c r="A2106" s="42"/>
      <c r="B2106" s="42"/>
      <c r="C2106" s="42"/>
      <c r="D2106" s="42"/>
      <c r="E2106" s="42"/>
      <c r="F2106" s="42"/>
      <c r="G2106" s="42"/>
      <c r="H2106" s="42"/>
      <c r="I2106" s="42"/>
      <c r="J2106" s="42"/>
      <c r="K2106" s="42"/>
      <c r="L2106" s="42"/>
      <c r="M2106" s="42"/>
    </row>
    <row r="2107" spans="1:13" x14ac:dyDescent="0.2">
      <c r="A2107" s="42"/>
      <c r="B2107" s="42"/>
      <c r="C2107" s="42"/>
      <c r="D2107" s="42"/>
      <c r="E2107" s="42"/>
      <c r="F2107" s="42"/>
      <c r="G2107" s="42"/>
      <c r="H2107" s="42"/>
      <c r="I2107" s="42"/>
      <c r="J2107" s="42"/>
      <c r="K2107" s="42"/>
      <c r="L2107" s="42"/>
      <c r="M2107" s="42"/>
    </row>
    <row r="2108" spans="1:13" x14ac:dyDescent="0.2">
      <c r="A2108" s="42"/>
      <c r="B2108" s="42"/>
      <c r="C2108" s="42"/>
      <c r="D2108" s="42"/>
      <c r="E2108" s="42"/>
      <c r="F2108" s="42"/>
      <c r="G2108" s="42"/>
      <c r="H2108" s="42"/>
      <c r="I2108" s="42"/>
      <c r="J2108" s="42"/>
      <c r="K2108" s="42"/>
      <c r="L2108" s="42"/>
      <c r="M2108" s="42"/>
    </row>
    <row r="2109" spans="1:13" x14ac:dyDescent="0.2">
      <c r="A2109" s="42"/>
      <c r="B2109" s="42"/>
      <c r="C2109" s="42"/>
      <c r="D2109" s="42"/>
      <c r="E2109" s="42"/>
      <c r="F2109" s="42"/>
      <c r="G2109" s="42"/>
      <c r="H2109" s="42"/>
      <c r="I2109" s="42"/>
      <c r="J2109" s="42"/>
      <c r="K2109" s="42"/>
      <c r="L2109" s="42"/>
      <c r="M2109" s="42"/>
    </row>
    <row r="2110" spans="1:13" x14ac:dyDescent="0.2">
      <c r="A2110" s="42"/>
      <c r="B2110" s="42"/>
      <c r="C2110" s="42"/>
      <c r="D2110" s="42"/>
      <c r="E2110" s="42"/>
      <c r="F2110" s="42"/>
      <c r="G2110" s="42"/>
      <c r="H2110" s="42"/>
      <c r="I2110" s="42"/>
      <c r="J2110" s="42"/>
      <c r="K2110" s="42"/>
      <c r="L2110" s="42"/>
      <c r="M2110" s="42"/>
    </row>
    <row r="2111" spans="1:13" x14ac:dyDescent="0.2">
      <c r="A2111" s="42"/>
      <c r="B2111" s="42"/>
      <c r="C2111" s="42"/>
      <c r="D2111" s="42"/>
      <c r="E2111" s="42"/>
      <c r="F2111" s="42"/>
      <c r="G2111" s="42"/>
      <c r="H2111" s="42"/>
      <c r="I2111" s="42"/>
      <c r="J2111" s="42"/>
      <c r="K2111" s="42"/>
      <c r="L2111" s="42"/>
      <c r="M2111" s="42"/>
    </row>
    <row r="2112" spans="1:13" x14ac:dyDescent="0.2">
      <c r="A2112" s="42"/>
      <c r="B2112" s="42"/>
      <c r="C2112" s="42"/>
      <c r="D2112" s="42"/>
      <c r="E2112" s="42"/>
      <c r="F2112" s="42"/>
      <c r="G2112" s="42"/>
      <c r="H2112" s="42"/>
      <c r="I2112" s="42"/>
      <c r="J2112" s="42"/>
      <c r="K2112" s="42"/>
      <c r="L2112" s="42"/>
      <c r="M2112" s="42"/>
    </row>
    <row r="2113" spans="1:13" x14ac:dyDescent="0.2">
      <c r="A2113" s="42"/>
      <c r="B2113" s="42"/>
      <c r="C2113" s="42"/>
      <c r="D2113" s="42"/>
      <c r="E2113" s="42"/>
      <c r="F2113" s="42"/>
      <c r="G2113" s="42"/>
      <c r="H2113" s="42"/>
      <c r="I2113" s="42"/>
      <c r="J2113" s="42"/>
      <c r="K2113" s="42"/>
      <c r="L2113" s="42"/>
      <c r="M2113" s="42"/>
    </row>
    <row r="2114" spans="1:13" x14ac:dyDescent="0.2">
      <c r="A2114" s="42"/>
      <c r="B2114" s="42"/>
      <c r="C2114" s="42"/>
      <c r="D2114" s="42"/>
      <c r="E2114" s="42"/>
      <c r="F2114" s="42"/>
      <c r="G2114" s="42"/>
      <c r="H2114" s="42"/>
      <c r="I2114" s="42"/>
      <c r="J2114" s="42"/>
      <c r="K2114" s="42"/>
      <c r="L2114" s="42"/>
      <c r="M2114" s="42"/>
    </row>
    <row r="2115" spans="1:13" x14ac:dyDescent="0.2">
      <c r="A2115" s="42"/>
      <c r="B2115" s="42"/>
      <c r="C2115" s="42"/>
      <c r="D2115" s="42"/>
      <c r="E2115" s="42"/>
      <c r="F2115" s="42"/>
      <c r="G2115" s="42"/>
      <c r="H2115" s="42"/>
      <c r="I2115" s="42"/>
      <c r="J2115" s="42"/>
      <c r="K2115" s="42"/>
      <c r="L2115" s="42"/>
      <c r="M2115" s="42"/>
    </row>
    <row r="2116" spans="1:13" x14ac:dyDescent="0.2">
      <c r="A2116" s="42"/>
      <c r="B2116" s="42"/>
      <c r="C2116" s="42"/>
      <c r="D2116" s="42"/>
      <c r="E2116" s="42"/>
      <c r="F2116" s="42"/>
      <c r="G2116" s="42"/>
      <c r="H2116" s="42"/>
      <c r="I2116" s="42"/>
      <c r="J2116" s="42"/>
      <c r="K2116" s="42"/>
      <c r="L2116" s="42"/>
      <c r="M2116" s="42"/>
    </row>
    <row r="2117" spans="1:13" x14ac:dyDescent="0.2">
      <c r="A2117" s="42"/>
      <c r="B2117" s="42"/>
      <c r="C2117" s="42"/>
      <c r="D2117" s="42"/>
      <c r="E2117" s="42"/>
      <c r="F2117" s="42"/>
      <c r="G2117" s="42"/>
      <c r="H2117" s="42"/>
      <c r="I2117" s="42"/>
      <c r="J2117" s="42"/>
      <c r="K2117" s="42"/>
      <c r="L2117" s="42"/>
      <c r="M2117" s="42"/>
    </row>
    <row r="2118" spans="1:13" x14ac:dyDescent="0.2">
      <c r="A2118" s="42"/>
      <c r="B2118" s="42"/>
      <c r="C2118" s="42"/>
      <c r="D2118" s="42"/>
      <c r="E2118" s="42"/>
      <c r="F2118" s="42"/>
      <c r="G2118" s="42"/>
      <c r="H2118" s="42"/>
      <c r="I2118" s="42"/>
      <c r="J2118" s="42"/>
      <c r="K2118" s="42"/>
      <c r="L2118" s="42"/>
      <c r="M2118" s="42"/>
    </row>
    <row r="2119" spans="1:13" x14ac:dyDescent="0.2">
      <c r="A2119" s="42"/>
      <c r="B2119" s="42"/>
      <c r="C2119" s="42"/>
      <c r="D2119" s="42"/>
      <c r="E2119" s="42"/>
      <c r="F2119" s="42"/>
      <c r="G2119" s="42"/>
      <c r="H2119" s="42"/>
      <c r="I2119" s="42"/>
      <c r="J2119" s="42"/>
      <c r="K2119" s="42"/>
      <c r="L2119" s="42"/>
      <c r="M2119" s="42"/>
    </row>
    <row r="2120" spans="1:13" x14ac:dyDescent="0.2">
      <c r="A2120" s="42"/>
      <c r="B2120" s="42"/>
      <c r="C2120" s="42"/>
      <c r="D2120" s="42"/>
      <c r="E2120" s="42"/>
      <c r="F2120" s="42"/>
      <c r="G2120" s="42"/>
      <c r="H2120" s="42"/>
      <c r="I2120" s="42"/>
      <c r="J2120" s="42"/>
      <c r="K2120" s="42"/>
      <c r="L2120" s="42"/>
      <c r="M2120" s="42"/>
    </row>
    <row r="2121" spans="1:13" x14ac:dyDescent="0.2">
      <c r="A2121" s="42"/>
      <c r="B2121" s="42"/>
      <c r="C2121" s="42"/>
      <c r="D2121" s="42"/>
      <c r="E2121" s="42"/>
      <c r="F2121" s="42"/>
      <c r="G2121" s="42"/>
      <c r="H2121" s="42"/>
      <c r="I2121" s="42"/>
      <c r="J2121" s="42"/>
      <c r="K2121" s="42"/>
      <c r="L2121" s="42"/>
      <c r="M2121" s="42"/>
    </row>
    <row r="2122" spans="1:13" x14ac:dyDescent="0.2">
      <c r="A2122" s="42"/>
      <c r="B2122" s="42"/>
      <c r="C2122" s="42"/>
      <c r="D2122" s="42"/>
      <c r="E2122" s="42"/>
      <c r="F2122" s="42"/>
      <c r="G2122" s="42"/>
      <c r="H2122" s="42"/>
      <c r="I2122" s="42"/>
      <c r="J2122" s="42"/>
      <c r="K2122" s="42"/>
      <c r="L2122" s="42"/>
      <c r="M2122" s="42"/>
    </row>
    <row r="2123" spans="1:13" x14ac:dyDescent="0.2">
      <c r="A2123" s="42"/>
      <c r="B2123" s="42"/>
      <c r="C2123" s="42"/>
      <c r="D2123" s="42"/>
      <c r="E2123" s="42"/>
      <c r="F2123" s="42"/>
      <c r="G2123" s="42"/>
      <c r="H2123" s="42"/>
      <c r="I2123" s="42"/>
      <c r="J2123" s="42"/>
      <c r="K2123" s="42"/>
      <c r="L2123" s="42"/>
      <c r="M2123" s="42"/>
    </row>
    <row r="2124" spans="1:13" x14ac:dyDescent="0.2">
      <c r="A2124" s="42"/>
      <c r="B2124" s="42"/>
      <c r="C2124" s="42"/>
      <c r="D2124" s="42"/>
      <c r="E2124" s="42"/>
      <c r="F2124" s="42"/>
      <c r="G2124" s="42"/>
      <c r="H2124" s="42"/>
      <c r="I2124" s="42"/>
      <c r="J2124" s="42"/>
      <c r="K2124" s="42"/>
      <c r="L2124" s="42"/>
      <c r="M2124" s="42"/>
    </row>
    <row r="2125" spans="1:13" x14ac:dyDescent="0.2">
      <c r="A2125" s="42"/>
      <c r="B2125" s="42"/>
      <c r="C2125" s="42"/>
      <c r="D2125" s="42"/>
      <c r="E2125" s="42"/>
      <c r="F2125" s="42"/>
      <c r="G2125" s="42"/>
      <c r="H2125" s="42"/>
      <c r="I2125" s="42"/>
      <c r="J2125" s="42"/>
      <c r="K2125" s="42"/>
      <c r="L2125" s="42"/>
      <c r="M2125" s="42"/>
    </row>
    <row r="2126" spans="1:13" x14ac:dyDescent="0.2">
      <c r="A2126" s="42"/>
      <c r="B2126" s="42"/>
      <c r="C2126" s="42"/>
      <c r="D2126" s="42"/>
      <c r="E2126" s="42"/>
      <c r="F2126" s="42"/>
      <c r="G2126" s="42"/>
      <c r="H2126" s="42"/>
      <c r="I2126" s="42"/>
      <c r="J2126" s="42"/>
      <c r="K2126" s="42"/>
      <c r="L2126" s="42"/>
      <c r="M2126" s="42"/>
    </row>
    <row r="2127" spans="1:13" x14ac:dyDescent="0.2">
      <c r="A2127" s="42"/>
      <c r="B2127" s="42"/>
      <c r="C2127" s="42"/>
      <c r="D2127" s="42"/>
      <c r="E2127" s="42"/>
      <c r="F2127" s="42"/>
      <c r="G2127" s="42"/>
      <c r="H2127" s="42"/>
      <c r="I2127" s="42"/>
      <c r="J2127" s="42"/>
      <c r="K2127" s="42"/>
      <c r="L2127" s="42"/>
      <c r="M2127" s="42"/>
    </row>
    <row r="2128" spans="1:13" x14ac:dyDescent="0.2">
      <c r="A2128" s="42"/>
      <c r="B2128" s="42"/>
      <c r="C2128" s="42"/>
      <c r="D2128" s="42"/>
      <c r="E2128" s="42"/>
      <c r="F2128" s="42"/>
      <c r="G2128" s="42"/>
      <c r="H2128" s="42"/>
      <c r="I2128" s="42"/>
      <c r="J2128" s="42"/>
      <c r="K2128" s="42"/>
      <c r="L2128" s="42"/>
      <c r="M2128" s="42"/>
    </row>
    <row r="2129" spans="1:13" x14ac:dyDescent="0.2">
      <c r="A2129" s="42"/>
      <c r="B2129" s="42"/>
      <c r="C2129" s="42"/>
      <c r="D2129" s="42"/>
      <c r="E2129" s="42"/>
      <c r="F2129" s="42"/>
      <c r="G2129" s="42"/>
      <c r="H2129" s="42"/>
      <c r="I2129" s="42"/>
      <c r="J2129" s="42"/>
      <c r="K2129" s="42"/>
      <c r="L2129" s="42"/>
      <c r="M2129" s="42"/>
    </row>
    <row r="2130" spans="1:13" x14ac:dyDescent="0.2">
      <c r="A2130" s="42"/>
      <c r="B2130" s="42"/>
      <c r="C2130" s="42"/>
      <c r="D2130" s="42"/>
      <c r="E2130" s="42"/>
      <c r="F2130" s="42"/>
      <c r="G2130" s="42"/>
      <c r="H2130" s="42"/>
      <c r="I2130" s="42"/>
      <c r="J2130" s="42"/>
      <c r="K2130" s="42"/>
      <c r="L2130" s="42"/>
      <c r="M2130" s="42"/>
    </row>
    <row r="2131" spans="1:13" x14ac:dyDescent="0.2">
      <c r="A2131" s="42"/>
      <c r="B2131" s="42"/>
      <c r="C2131" s="42"/>
      <c r="D2131" s="42"/>
      <c r="E2131" s="42"/>
      <c r="F2131" s="42"/>
      <c r="G2131" s="42"/>
      <c r="H2131" s="42"/>
      <c r="I2131" s="42"/>
      <c r="J2131" s="42"/>
      <c r="K2131" s="42"/>
      <c r="L2131" s="42"/>
      <c r="M2131" s="42"/>
    </row>
    <row r="2132" spans="1:13" x14ac:dyDescent="0.2">
      <c r="A2132" s="42"/>
      <c r="B2132" s="42"/>
      <c r="C2132" s="42"/>
      <c r="D2132" s="42"/>
      <c r="E2132" s="42"/>
      <c r="F2132" s="42"/>
      <c r="G2132" s="42"/>
      <c r="H2132" s="42"/>
      <c r="I2132" s="42"/>
      <c r="J2132" s="42"/>
      <c r="K2132" s="42"/>
      <c r="L2132" s="42"/>
      <c r="M2132" s="42"/>
    </row>
    <row r="2133" spans="1:13" x14ac:dyDescent="0.2">
      <c r="A2133" s="42"/>
      <c r="B2133" s="42"/>
      <c r="C2133" s="42"/>
      <c r="D2133" s="42"/>
      <c r="E2133" s="42"/>
      <c r="F2133" s="42"/>
      <c r="G2133" s="42"/>
      <c r="H2133" s="42"/>
      <c r="I2133" s="42"/>
      <c r="J2133" s="42"/>
      <c r="K2133" s="42"/>
      <c r="L2133" s="42"/>
      <c r="M2133" s="42"/>
    </row>
    <row r="2134" spans="1:13" x14ac:dyDescent="0.2">
      <c r="A2134" s="42"/>
      <c r="B2134" s="42"/>
      <c r="C2134" s="42"/>
      <c r="D2134" s="42"/>
      <c r="E2134" s="42"/>
      <c r="F2134" s="42"/>
      <c r="G2134" s="42"/>
      <c r="H2134" s="42"/>
      <c r="I2134" s="42"/>
      <c r="J2134" s="42"/>
      <c r="K2134" s="42"/>
      <c r="L2134" s="42"/>
      <c r="M2134" s="42"/>
    </row>
    <row r="2135" spans="1:13" x14ac:dyDescent="0.2">
      <c r="A2135" s="42"/>
      <c r="B2135" s="42"/>
      <c r="C2135" s="42"/>
      <c r="D2135" s="42"/>
      <c r="E2135" s="42"/>
      <c r="F2135" s="42"/>
      <c r="G2135" s="42"/>
      <c r="H2135" s="42"/>
      <c r="I2135" s="42"/>
      <c r="J2135" s="42"/>
      <c r="K2135" s="42"/>
      <c r="L2135" s="42"/>
      <c r="M2135" s="42"/>
    </row>
    <row r="2136" spans="1:13" x14ac:dyDescent="0.2">
      <c r="A2136" s="42"/>
      <c r="B2136" s="42"/>
      <c r="C2136" s="42"/>
      <c r="D2136" s="42"/>
      <c r="E2136" s="42"/>
      <c r="F2136" s="42"/>
      <c r="G2136" s="42"/>
      <c r="H2136" s="42"/>
      <c r="I2136" s="42"/>
      <c r="J2136" s="42"/>
      <c r="K2136" s="42"/>
      <c r="L2136" s="42"/>
      <c r="M2136" s="42"/>
    </row>
    <row r="2137" spans="1:13" x14ac:dyDescent="0.2">
      <c r="A2137" s="42"/>
      <c r="B2137" s="42"/>
      <c r="C2137" s="42"/>
      <c r="D2137" s="42"/>
      <c r="E2137" s="42"/>
      <c r="F2137" s="42"/>
      <c r="G2137" s="42"/>
      <c r="H2137" s="42"/>
      <c r="I2137" s="42"/>
      <c r="J2137" s="42"/>
      <c r="K2137" s="42"/>
      <c r="L2137" s="42"/>
      <c r="M2137" s="42"/>
    </row>
    <row r="2138" spans="1:13" x14ac:dyDescent="0.2">
      <c r="A2138" s="42"/>
      <c r="B2138" s="42"/>
      <c r="C2138" s="42"/>
      <c r="D2138" s="42"/>
      <c r="E2138" s="42"/>
      <c r="F2138" s="42"/>
      <c r="G2138" s="42"/>
      <c r="H2138" s="42"/>
      <c r="I2138" s="42"/>
      <c r="J2138" s="42"/>
      <c r="K2138" s="42"/>
      <c r="L2138" s="42"/>
      <c r="M2138" s="42"/>
    </row>
    <row r="2139" spans="1:13" x14ac:dyDescent="0.2">
      <c r="A2139" s="42"/>
      <c r="B2139" s="42"/>
      <c r="C2139" s="42"/>
      <c r="D2139" s="42"/>
      <c r="E2139" s="42"/>
      <c r="F2139" s="42"/>
      <c r="G2139" s="42"/>
      <c r="H2139" s="42"/>
      <c r="I2139" s="42"/>
      <c r="J2139" s="42"/>
      <c r="K2139" s="42"/>
      <c r="L2139" s="42"/>
      <c r="M2139" s="42"/>
    </row>
    <row r="2140" spans="1:13" x14ac:dyDescent="0.2">
      <c r="A2140" s="42"/>
      <c r="B2140" s="42"/>
      <c r="C2140" s="42"/>
      <c r="D2140" s="42"/>
      <c r="E2140" s="42"/>
      <c r="F2140" s="42"/>
      <c r="G2140" s="42"/>
      <c r="H2140" s="42"/>
      <c r="I2140" s="42"/>
      <c r="J2140" s="42"/>
      <c r="K2140" s="42"/>
      <c r="L2140" s="42"/>
      <c r="M2140" s="42"/>
    </row>
    <row r="2141" spans="1:13" x14ac:dyDescent="0.2">
      <c r="A2141" s="42"/>
      <c r="B2141" s="42"/>
      <c r="C2141" s="42"/>
      <c r="D2141" s="42"/>
      <c r="E2141" s="42"/>
      <c r="F2141" s="42"/>
      <c r="G2141" s="42"/>
      <c r="H2141" s="42"/>
      <c r="I2141" s="42"/>
      <c r="J2141" s="42"/>
      <c r="K2141" s="42"/>
      <c r="L2141" s="42"/>
      <c r="M2141" s="42"/>
    </row>
    <row r="2142" spans="1:13" x14ac:dyDescent="0.2">
      <c r="A2142" s="42"/>
      <c r="B2142" s="42"/>
      <c r="C2142" s="42"/>
      <c r="D2142" s="42"/>
      <c r="E2142" s="42"/>
      <c r="F2142" s="42"/>
      <c r="G2142" s="42"/>
      <c r="H2142" s="42"/>
      <c r="I2142" s="42"/>
      <c r="J2142" s="42"/>
      <c r="K2142" s="42"/>
      <c r="L2142" s="42"/>
      <c r="M2142" s="42"/>
    </row>
    <row r="2143" spans="1:13" x14ac:dyDescent="0.2">
      <c r="A2143" s="42"/>
      <c r="B2143" s="42"/>
      <c r="C2143" s="42"/>
      <c r="D2143" s="42"/>
      <c r="E2143" s="42"/>
      <c r="F2143" s="42"/>
      <c r="G2143" s="42"/>
      <c r="H2143" s="42"/>
      <c r="I2143" s="42"/>
      <c r="J2143" s="42"/>
      <c r="K2143" s="42"/>
      <c r="L2143" s="42"/>
      <c r="M2143" s="42"/>
    </row>
    <row r="2144" spans="1:13" x14ac:dyDescent="0.2">
      <c r="A2144" s="42"/>
      <c r="B2144" s="42"/>
      <c r="C2144" s="42"/>
      <c r="D2144" s="42"/>
      <c r="E2144" s="42"/>
      <c r="F2144" s="42"/>
      <c r="G2144" s="42"/>
      <c r="H2144" s="42"/>
      <c r="I2144" s="42"/>
      <c r="J2144" s="42"/>
      <c r="K2144" s="42"/>
      <c r="L2144" s="42"/>
      <c r="M2144" s="42"/>
    </row>
    <row r="2145" spans="1:13" x14ac:dyDescent="0.2">
      <c r="A2145" s="42"/>
      <c r="B2145" s="42"/>
      <c r="C2145" s="42"/>
      <c r="D2145" s="42"/>
      <c r="E2145" s="42"/>
      <c r="F2145" s="42"/>
      <c r="G2145" s="42"/>
      <c r="H2145" s="42"/>
      <c r="I2145" s="42"/>
      <c r="J2145" s="42"/>
      <c r="K2145" s="42"/>
      <c r="L2145" s="42"/>
      <c r="M2145" s="42"/>
    </row>
    <row r="2146" spans="1:13" x14ac:dyDescent="0.2">
      <c r="A2146" s="42"/>
      <c r="B2146" s="42"/>
      <c r="C2146" s="42"/>
      <c r="D2146" s="42"/>
      <c r="E2146" s="42"/>
      <c r="F2146" s="42"/>
      <c r="G2146" s="42"/>
      <c r="H2146" s="42"/>
      <c r="I2146" s="42"/>
      <c r="J2146" s="42"/>
      <c r="K2146" s="42"/>
      <c r="L2146" s="42"/>
      <c r="M2146" s="42"/>
    </row>
    <row r="2147" spans="1:13" x14ac:dyDescent="0.2">
      <c r="A2147" s="42"/>
      <c r="B2147" s="42"/>
      <c r="C2147" s="42"/>
      <c r="D2147" s="42"/>
      <c r="E2147" s="42"/>
      <c r="F2147" s="42"/>
      <c r="G2147" s="42"/>
      <c r="H2147" s="42"/>
      <c r="I2147" s="42"/>
      <c r="J2147" s="42"/>
      <c r="K2147" s="42"/>
      <c r="L2147" s="42"/>
      <c r="M2147" s="42"/>
    </row>
    <row r="2148" spans="1:13" x14ac:dyDescent="0.2">
      <c r="A2148" s="42"/>
      <c r="B2148" s="42"/>
      <c r="C2148" s="42"/>
      <c r="D2148" s="42"/>
      <c r="E2148" s="42"/>
      <c r="F2148" s="42"/>
      <c r="G2148" s="42"/>
      <c r="H2148" s="42"/>
      <c r="I2148" s="42"/>
      <c r="J2148" s="42"/>
      <c r="K2148" s="42"/>
      <c r="L2148" s="42"/>
      <c r="M2148" s="42"/>
    </row>
    <row r="2149" spans="1:13" x14ac:dyDescent="0.2">
      <c r="A2149" s="42"/>
      <c r="B2149" s="42"/>
      <c r="C2149" s="42"/>
      <c r="D2149" s="42"/>
      <c r="E2149" s="42"/>
      <c r="F2149" s="42"/>
      <c r="G2149" s="42"/>
      <c r="H2149" s="42"/>
      <c r="I2149" s="42"/>
      <c r="J2149" s="42"/>
      <c r="K2149" s="42"/>
      <c r="L2149" s="42"/>
      <c r="M2149" s="42"/>
    </row>
    <row r="2150" spans="1:13" x14ac:dyDescent="0.2">
      <c r="A2150" s="42"/>
      <c r="B2150" s="42"/>
      <c r="C2150" s="42"/>
      <c r="D2150" s="42"/>
      <c r="E2150" s="42"/>
      <c r="F2150" s="42"/>
      <c r="G2150" s="42"/>
      <c r="H2150" s="42"/>
      <c r="I2150" s="42"/>
      <c r="J2150" s="42"/>
      <c r="K2150" s="42"/>
      <c r="L2150" s="42"/>
      <c r="M2150" s="42"/>
    </row>
    <row r="2151" spans="1:13" x14ac:dyDescent="0.2">
      <c r="A2151" s="42"/>
      <c r="B2151" s="42"/>
      <c r="C2151" s="42"/>
      <c r="D2151" s="42"/>
      <c r="E2151" s="42"/>
      <c r="F2151" s="42"/>
      <c r="G2151" s="42"/>
      <c r="H2151" s="42"/>
      <c r="I2151" s="42"/>
      <c r="J2151" s="42"/>
      <c r="K2151" s="42"/>
      <c r="L2151" s="42"/>
      <c r="M2151" s="42"/>
    </row>
    <row r="2152" spans="1:13" x14ac:dyDescent="0.2">
      <c r="A2152" s="42"/>
      <c r="B2152" s="42"/>
      <c r="C2152" s="42"/>
      <c r="D2152" s="42"/>
      <c r="E2152" s="42"/>
      <c r="F2152" s="42"/>
      <c r="G2152" s="42"/>
      <c r="H2152" s="42"/>
      <c r="I2152" s="42"/>
      <c r="J2152" s="42"/>
      <c r="K2152" s="42"/>
      <c r="L2152" s="42"/>
      <c r="M2152" s="42"/>
    </row>
    <row r="2153" spans="1:13" x14ac:dyDescent="0.2">
      <c r="A2153" s="42"/>
      <c r="B2153" s="42"/>
      <c r="C2153" s="42"/>
      <c r="D2153" s="42"/>
      <c r="E2153" s="42"/>
      <c r="F2153" s="42"/>
      <c r="G2153" s="42"/>
      <c r="H2153" s="42"/>
      <c r="I2153" s="42"/>
      <c r="J2153" s="42"/>
      <c r="K2153" s="42"/>
      <c r="L2153" s="42"/>
      <c r="M2153" s="42"/>
    </row>
    <row r="2154" spans="1:13" x14ac:dyDescent="0.2">
      <c r="A2154" s="42"/>
      <c r="B2154" s="42"/>
      <c r="C2154" s="42"/>
      <c r="D2154" s="42"/>
      <c r="E2154" s="42"/>
      <c r="F2154" s="42"/>
      <c r="G2154" s="42"/>
      <c r="H2154" s="42"/>
      <c r="I2154" s="42"/>
      <c r="J2154" s="42"/>
      <c r="K2154" s="42"/>
      <c r="L2154" s="42"/>
      <c r="M2154" s="42"/>
    </row>
    <row r="2155" spans="1:13" x14ac:dyDescent="0.2">
      <c r="A2155" s="42"/>
      <c r="B2155" s="42"/>
      <c r="C2155" s="42"/>
      <c r="D2155" s="42"/>
      <c r="E2155" s="42"/>
      <c r="F2155" s="42"/>
      <c r="G2155" s="42"/>
      <c r="H2155" s="42"/>
      <c r="I2155" s="42"/>
      <c r="J2155" s="42"/>
      <c r="K2155" s="42"/>
      <c r="L2155" s="42"/>
      <c r="M2155" s="42"/>
    </row>
    <row r="2156" spans="1:13" x14ac:dyDescent="0.2">
      <c r="A2156" s="42"/>
      <c r="B2156" s="42"/>
      <c r="C2156" s="42"/>
      <c r="D2156" s="42"/>
      <c r="E2156" s="42"/>
      <c r="F2156" s="42"/>
      <c r="G2156" s="42"/>
      <c r="H2156" s="42"/>
      <c r="I2156" s="42"/>
      <c r="J2156" s="42"/>
      <c r="K2156" s="42"/>
      <c r="L2156" s="42"/>
      <c r="M2156" s="42"/>
    </row>
    <row r="2157" spans="1:13" x14ac:dyDescent="0.2">
      <c r="A2157" s="42"/>
      <c r="B2157" s="42"/>
      <c r="C2157" s="42"/>
      <c r="D2157" s="42"/>
      <c r="E2157" s="42"/>
      <c r="F2157" s="42"/>
      <c r="G2157" s="42"/>
      <c r="H2157" s="42"/>
      <c r="I2157" s="42"/>
      <c r="J2157" s="42"/>
      <c r="K2157" s="42"/>
      <c r="L2157" s="42"/>
      <c r="M2157" s="42"/>
    </row>
    <row r="2158" spans="1:13" x14ac:dyDescent="0.2">
      <c r="A2158" s="42"/>
      <c r="B2158" s="42"/>
      <c r="C2158" s="42"/>
      <c r="D2158" s="42"/>
      <c r="E2158" s="42"/>
      <c r="F2158" s="42"/>
      <c r="G2158" s="42"/>
      <c r="H2158" s="42"/>
      <c r="I2158" s="42"/>
      <c r="J2158" s="42"/>
      <c r="K2158" s="42"/>
      <c r="L2158" s="42"/>
      <c r="M2158" s="42"/>
    </row>
    <row r="2159" spans="1:13" x14ac:dyDescent="0.2">
      <c r="A2159" s="42"/>
      <c r="B2159" s="42"/>
      <c r="C2159" s="42"/>
      <c r="D2159" s="42"/>
      <c r="E2159" s="42"/>
      <c r="F2159" s="42"/>
      <c r="G2159" s="42"/>
      <c r="H2159" s="42"/>
      <c r="I2159" s="42"/>
      <c r="J2159" s="42"/>
      <c r="K2159" s="42"/>
      <c r="L2159" s="42"/>
      <c r="M2159" s="42"/>
    </row>
    <row r="2160" spans="1:13" x14ac:dyDescent="0.2">
      <c r="A2160" s="42"/>
      <c r="B2160" s="42"/>
      <c r="C2160" s="42"/>
      <c r="D2160" s="42"/>
      <c r="E2160" s="42"/>
      <c r="F2160" s="42"/>
      <c r="G2160" s="42"/>
      <c r="H2160" s="42"/>
      <c r="I2160" s="42"/>
      <c r="J2160" s="42"/>
      <c r="K2160" s="42"/>
      <c r="L2160" s="42"/>
      <c r="M2160" s="42"/>
    </row>
    <row r="2161" spans="1:13" x14ac:dyDescent="0.2">
      <c r="A2161" s="42"/>
      <c r="B2161" s="42"/>
      <c r="C2161" s="42"/>
      <c r="D2161" s="42"/>
      <c r="E2161" s="42"/>
      <c r="F2161" s="42"/>
      <c r="G2161" s="42"/>
      <c r="H2161" s="42"/>
      <c r="I2161" s="42"/>
      <c r="J2161" s="42"/>
      <c r="K2161" s="42"/>
      <c r="L2161" s="42"/>
      <c r="M2161" s="42"/>
    </row>
    <row r="2162" spans="1:13" x14ac:dyDescent="0.2">
      <c r="A2162" s="42"/>
      <c r="B2162" s="42"/>
      <c r="C2162" s="42"/>
      <c r="D2162" s="42"/>
      <c r="E2162" s="42"/>
      <c r="F2162" s="42"/>
      <c r="G2162" s="42"/>
      <c r="H2162" s="42"/>
      <c r="I2162" s="42"/>
      <c r="J2162" s="42"/>
      <c r="K2162" s="42"/>
      <c r="L2162" s="42"/>
      <c r="M2162" s="42"/>
    </row>
    <row r="2163" spans="1:13" x14ac:dyDescent="0.2">
      <c r="A2163" s="42"/>
      <c r="B2163" s="42"/>
      <c r="C2163" s="42"/>
      <c r="D2163" s="42"/>
      <c r="E2163" s="42"/>
      <c r="F2163" s="42"/>
      <c r="G2163" s="42"/>
      <c r="H2163" s="42"/>
      <c r="I2163" s="42"/>
      <c r="J2163" s="42"/>
      <c r="K2163" s="42"/>
      <c r="L2163" s="42"/>
      <c r="M2163" s="42"/>
    </row>
    <row r="2164" spans="1:13" x14ac:dyDescent="0.2">
      <c r="A2164" s="42"/>
      <c r="B2164" s="42"/>
      <c r="C2164" s="42"/>
      <c r="D2164" s="42"/>
      <c r="E2164" s="42"/>
      <c r="F2164" s="42"/>
      <c r="G2164" s="42"/>
      <c r="H2164" s="42"/>
      <c r="I2164" s="42"/>
      <c r="J2164" s="42"/>
      <c r="K2164" s="42"/>
      <c r="L2164" s="42"/>
      <c r="M2164" s="42"/>
    </row>
    <row r="2165" spans="1:13" x14ac:dyDescent="0.2">
      <c r="A2165" s="42"/>
      <c r="B2165" s="42"/>
      <c r="C2165" s="42"/>
      <c r="D2165" s="42"/>
      <c r="E2165" s="42"/>
      <c r="F2165" s="42"/>
      <c r="G2165" s="42"/>
      <c r="H2165" s="42"/>
      <c r="I2165" s="42"/>
      <c r="J2165" s="42"/>
      <c r="K2165" s="42"/>
      <c r="L2165" s="42"/>
      <c r="M2165" s="42"/>
    </row>
    <row r="2166" spans="1:13" x14ac:dyDescent="0.2">
      <c r="A2166" s="42"/>
      <c r="B2166" s="42"/>
      <c r="C2166" s="42"/>
      <c r="D2166" s="42"/>
      <c r="E2166" s="42"/>
      <c r="F2166" s="42"/>
      <c r="G2166" s="42"/>
      <c r="H2166" s="42"/>
      <c r="I2166" s="42"/>
      <c r="J2166" s="42"/>
      <c r="K2166" s="42"/>
      <c r="L2166" s="42"/>
      <c r="M2166" s="42"/>
    </row>
    <row r="2167" spans="1:13" x14ac:dyDescent="0.2">
      <c r="A2167" s="42"/>
      <c r="B2167" s="42"/>
      <c r="C2167" s="42"/>
      <c r="D2167" s="42"/>
      <c r="E2167" s="42"/>
      <c r="F2167" s="42"/>
      <c r="G2167" s="42"/>
      <c r="H2167" s="42"/>
      <c r="I2167" s="42"/>
      <c r="J2167" s="42"/>
      <c r="K2167" s="42"/>
      <c r="L2167" s="42"/>
      <c r="M2167" s="42"/>
    </row>
    <row r="2168" spans="1:13" x14ac:dyDescent="0.2">
      <c r="A2168" s="42"/>
      <c r="B2168" s="42"/>
      <c r="C2168" s="42"/>
      <c r="D2168" s="42"/>
      <c r="E2168" s="42"/>
      <c r="F2168" s="42"/>
      <c r="G2168" s="42"/>
      <c r="H2168" s="42"/>
      <c r="I2168" s="42"/>
      <c r="J2168" s="42"/>
      <c r="K2168" s="42"/>
      <c r="L2168" s="42"/>
      <c r="M2168" s="42"/>
    </row>
    <row r="2169" spans="1:13" x14ac:dyDescent="0.2">
      <c r="A2169" s="42"/>
      <c r="B2169" s="42"/>
      <c r="C2169" s="42"/>
      <c r="D2169" s="42"/>
      <c r="E2169" s="42"/>
      <c r="F2169" s="42"/>
      <c r="G2169" s="42"/>
      <c r="H2169" s="42"/>
      <c r="I2169" s="42"/>
      <c r="J2169" s="42"/>
      <c r="K2169" s="42"/>
      <c r="L2169" s="42"/>
      <c r="M2169" s="42"/>
    </row>
    <row r="2170" spans="1:13" x14ac:dyDescent="0.2">
      <c r="A2170" s="42"/>
      <c r="B2170" s="42"/>
      <c r="C2170" s="42"/>
      <c r="D2170" s="42"/>
      <c r="E2170" s="42"/>
      <c r="F2170" s="42"/>
      <c r="G2170" s="42"/>
      <c r="H2170" s="42"/>
      <c r="I2170" s="42"/>
      <c r="J2170" s="42"/>
      <c r="K2170" s="42"/>
      <c r="L2170" s="42"/>
      <c r="M2170" s="42"/>
    </row>
    <row r="2171" spans="1:13" x14ac:dyDescent="0.2">
      <c r="A2171" s="42"/>
      <c r="B2171" s="42"/>
      <c r="C2171" s="42"/>
      <c r="D2171" s="42"/>
      <c r="E2171" s="42"/>
      <c r="F2171" s="42"/>
      <c r="G2171" s="42"/>
      <c r="H2171" s="42"/>
      <c r="I2171" s="42"/>
      <c r="J2171" s="42"/>
      <c r="K2171" s="42"/>
      <c r="L2171" s="42"/>
      <c r="M2171" s="42"/>
    </row>
    <row r="2172" spans="1:13" x14ac:dyDescent="0.2">
      <c r="A2172" s="42"/>
      <c r="B2172" s="42"/>
      <c r="C2172" s="42"/>
      <c r="D2172" s="42"/>
      <c r="E2172" s="42"/>
      <c r="F2172" s="42"/>
      <c r="G2172" s="42"/>
      <c r="H2172" s="42"/>
      <c r="I2172" s="42"/>
      <c r="J2172" s="42"/>
      <c r="K2172" s="42"/>
      <c r="L2172" s="42"/>
      <c r="M2172" s="42"/>
    </row>
    <row r="2173" spans="1:13" x14ac:dyDescent="0.2">
      <c r="A2173" s="42"/>
      <c r="B2173" s="42"/>
      <c r="C2173" s="42"/>
      <c r="D2173" s="42"/>
      <c r="E2173" s="42"/>
      <c r="F2173" s="42"/>
      <c r="G2173" s="42"/>
      <c r="H2173" s="42"/>
      <c r="I2173" s="42"/>
      <c r="J2173" s="42"/>
      <c r="K2173" s="42"/>
      <c r="L2173" s="42"/>
      <c r="M2173" s="42"/>
    </row>
    <row r="2174" spans="1:13" x14ac:dyDescent="0.2">
      <c r="A2174" s="42"/>
      <c r="B2174" s="42"/>
      <c r="C2174" s="42"/>
      <c r="D2174" s="42"/>
      <c r="E2174" s="42"/>
      <c r="F2174" s="42"/>
      <c r="G2174" s="42"/>
      <c r="H2174" s="42"/>
      <c r="I2174" s="42"/>
      <c r="J2174" s="42"/>
      <c r="K2174" s="42"/>
      <c r="L2174" s="42"/>
      <c r="M2174" s="42"/>
    </row>
    <row r="2175" spans="1:13" x14ac:dyDescent="0.2">
      <c r="A2175" s="42"/>
      <c r="B2175" s="42"/>
      <c r="C2175" s="42"/>
      <c r="D2175" s="42"/>
      <c r="E2175" s="42"/>
      <c r="F2175" s="42"/>
      <c r="G2175" s="42"/>
      <c r="H2175" s="42"/>
      <c r="I2175" s="42"/>
      <c r="J2175" s="42"/>
      <c r="K2175" s="42"/>
      <c r="L2175" s="42"/>
      <c r="M2175" s="42"/>
    </row>
    <row r="2176" spans="1:13" x14ac:dyDescent="0.2">
      <c r="A2176" s="42"/>
      <c r="B2176" s="42"/>
      <c r="C2176" s="42"/>
      <c r="D2176" s="42"/>
      <c r="E2176" s="42"/>
      <c r="F2176" s="42"/>
      <c r="G2176" s="42"/>
      <c r="H2176" s="42"/>
      <c r="I2176" s="42"/>
      <c r="J2176" s="42"/>
      <c r="K2176" s="42"/>
      <c r="L2176" s="42"/>
      <c r="M2176" s="42"/>
    </row>
    <row r="2177" spans="1:13" x14ac:dyDescent="0.2">
      <c r="A2177" s="42"/>
      <c r="B2177" s="42"/>
      <c r="C2177" s="42"/>
      <c r="D2177" s="42"/>
      <c r="E2177" s="42"/>
      <c r="F2177" s="42"/>
      <c r="G2177" s="42"/>
      <c r="H2177" s="42"/>
      <c r="I2177" s="42"/>
      <c r="J2177" s="42"/>
      <c r="K2177" s="42"/>
      <c r="L2177" s="42"/>
      <c r="M2177" s="42"/>
    </row>
    <row r="2178" spans="1:13" x14ac:dyDescent="0.2">
      <c r="A2178" s="42"/>
      <c r="B2178" s="42"/>
      <c r="C2178" s="42"/>
      <c r="D2178" s="42"/>
      <c r="E2178" s="42"/>
      <c r="F2178" s="42"/>
      <c r="G2178" s="42"/>
      <c r="H2178" s="42"/>
      <c r="I2178" s="42"/>
      <c r="J2178" s="42"/>
      <c r="K2178" s="42"/>
      <c r="L2178" s="42"/>
      <c r="M2178" s="42"/>
    </row>
    <row r="2179" spans="1:13" x14ac:dyDescent="0.2">
      <c r="A2179" s="42"/>
      <c r="B2179" s="42"/>
      <c r="C2179" s="42"/>
      <c r="D2179" s="42"/>
      <c r="E2179" s="42"/>
      <c r="F2179" s="42"/>
      <c r="G2179" s="42"/>
      <c r="H2179" s="42"/>
      <c r="I2179" s="42"/>
      <c r="J2179" s="42"/>
      <c r="K2179" s="42"/>
      <c r="L2179" s="42"/>
      <c r="M2179" s="42"/>
    </row>
    <row r="2180" spans="1:13" x14ac:dyDescent="0.2">
      <c r="A2180" s="42"/>
      <c r="B2180" s="42"/>
      <c r="C2180" s="42"/>
      <c r="D2180" s="42"/>
      <c r="E2180" s="42"/>
      <c r="F2180" s="42"/>
      <c r="G2180" s="42"/>
      <c r="H2180" s="42"/>
      <c r="I2180" s="42"/>
      <c r="J2180" s="42"/>
      <c r="K2180" s="42"/>
      <c r="L2180" s="42"/>
      <c r="M2180" s="42"/>
    </row>
    <row r="2181" spans="1:13" x14ac:dyDescent="0.2">
      <c r="A2181" s="42"/>
      <c r="B2181" s="42"/>
      <c r="C2181" s="42"/>
      <c r="D2181" s="42"/>
      <c r="E2181" s="42"/>
      <c r="F2181" s="42"/>
      <c r="G2181" s="42"/>
      <c r="H2181" s="42"/>
      <c r="I2181" s="42"/>
      <c r="J2181" s="42"/>
      <c r="K2181" s="42"/>
      <c r="L2181" s="42"/>
      <c r="M2181" s="42"/>
    </row>
    <row r="2182" spans="1:13" x14ac:dyDescent="0.2">
      <c r="A2182" s="42"/>
      <c r="B2182" s="42"/>
      <c r="C2182" s="42"/>
      <c r="D2182" s="42"/>
      <c r="E2182" s="42"/>
      <c r="F2182" s="42"/>
      <c r="G2182" s="42"/>
      <c r="H2182" s="42"/>
      <c r="I2182" s="42"/>
      <c r="J2182" s="42"/>
      <c r="K2182" s="42"/>
      <c r="L2182" s="42"/>
      <c r="M2182" s="42"/>
    </row>
    <row r="2183" spans="1:13" x14ac:dyDescent="0.2">
      <c r="A2183" s="42"/>
      <c r="B2183" s="42"/>
      <c r="C2183" s="42"/>
      <c r="D2183" s="42"/>
      <c r="E2183" s="42"/>
      <c r="F2183" s="42"/>
      <c r="G2183" s="42"/>
      <c r="H2183" s="42"/>
      <c r="I2183" s="42"/>
      <c r="J2183" s="42"/>
      <c r="K2183" s="42"/>
      <c r="L2183" s="42"/>
      <c r="M2183" s="42"/>
    </row>
    <row r="2184" spans="1:13" x14ac:dyDescent="0.2">
      <c r="A2184" s="42"/>
      <c r="B2184" s="42"/>
      <c r="C2184" s="42"/>
      <c r="D2184" s="42"/>
      <c r="E2184" s="42"/>
      <c r="F2184" s="42"/>
      <c r="G2184" s="42"/>
      <c r="H2184" s="42"/>
      <c r="I2184" s="42"/>
      <c r="J2184" s="42"/>
      <c r="K2184" s="42"/>
      <c r="L2184" s="42"/>
      <c r="M2184" s="42"/>
    </row>
    <row r="2185" spans="1:13" x14ac:dyDescent="0.2">
      <c r="A2185" s="42"/>
      <c r="B2185" s="42"/>
      <c r="C2185" s="42"/>
      <c r="D2185" s="42"/>
      <c r="E2185" s="42"/>
      <c r="F2185" s="42"/>
      <c r="G2185" s="42"/>
      <c r="H2185" s="42"/>
      <c r="I2185" s="42"/>
      <c r="J2185" s="42"/>
      <c r="K2185" s="42"/>
      <c r="L2185" s="42"/>
      <c r="M2185" s="42"/>
    </row>
    <row r="2186" spans="1:13" x14ac:dyDescent="0.2">
      <c r="A2186" s="42"/>
      <c r="B2186" s="42"/>
      <c r="C2186" s="42"/>
      <c r="D2186" s="42"/>
      <c r="E2186" s="42"/>
      <c r="F2186" s="42"/>
      <c r="G2186" s="42"/>
      <c r="H2186" s="42"/>
      <c r="I2186" s="42"/>
      <c r="J2186" s="42"/>
      <c r="K2186" s="42"/>
      <c r="L2186" s="42"/>
      <c r="M2186" s="42"/>
    </row>
    <row r="2187" spans="1:13" x14ac:dyDescent="0.2">
      <c r="A2187" s="42"/>
      <c r="B2187" s="42"/>
      <c r="C2187" s="42"/>
      <c r="D2187" s="42"/>
      <c r="E2187" s="42"/>
      <c r="F2187" s="42"/>
      <c r="G2187" s="42"/>
      <c r="H2187" s="42"/>
      <c r="I2187" s="42"/>
      <c r="J2187" s="42"/>
      <c r="K2187" s="42"/>
      <c r="L2187" s="42"/>
      <c r="M2187" s="42"/>
    </row>
    <row r="2188" spans="1:13" x14ac:dyDescent="0.2">
      <c r="A2188" s="42"/>
      <c r="B2188" s="42"/>
      <c r="C2188" s="42"/>
      <c r="D2188" s="42"/>
      <c r="E2188" s="42"/>
      <c r="F2188" s="42"/>
      <c r="G2188" s="42"/>
      <c r="H2188" s="42"/>
      <c r="I2188" s="42"/>
      <c r="J2188" s="42"/>
      <c r="K2188" s="42"/>
      <c r="L2188" s="42"/>
      <c r="M2188" s="42"/>
    </row>
    <row r="2189" spans="1:13" x14ac:dyDescent="0.2">
      <c r="A2189" s="42"/>
      <c r="B2189" s="42"/>
      <c r="C2189" s="42"/>
      <c r="D2189" s="42"/>
      <c r="E2189" s="42"/>
      <c r="F2189" s="42"/>
      <c r="G2189" s="42"/>
      <c r="H2189" s="42"/>
      <c r="I2189" s="42"/>
      <c r="J2189" s="42"/>
      <c r="K2189" s="42"/>
      <c r="L2189" s="42"/>
      <c r="M2189" s="42"/>
    </row>
    <row r="2190" spans="1:13" x14ac:dyDescent="0.2">
      <c r="A2190" s="42"/>
      <c r="B2190" s="42"/>
      <c r="C2190" s="42"/>
      <c r="D2190" s="42"/>
      <c r="E2190" s="42"/>
      <c r="F2190" s="42"/>
      <c r="G2190" s="42"/>
      <c r="H2190" s="42"/>
      <c r="I2190" s="42"/>
      <c r="J2190" s="42"/>
      <c r="K2190" s="42"/>
      <c r="L2190" s="42"/>
      <c r="M2190" s="42"/>
    </row>
    <row r="2191" spans="1:13" x14ac:dyDescent="0.2">
      <c r="A2191" s="42"/>
      <c r="B2191" s="42"/>
      <c r="C2191" s="42"/>
      <c r="D2191" s="42"/>
      <c r="E2191" s="42"/>
      <c r="F2191" s="42"/>
      <c r="G2191" s="42"/>
      <c r="H2191" s="42"/>
      <c r="I2191" s="42"/>
      <c r="J2191" s="42"/>
      <c r="K2191" s="42"/>
      <c r="L2191" s="42"/>
      <c r="M2191" s="42"/>
    </row>
    <row r="2192" spans="1:13" x14ac:dyDescent="0.2">
      <c r="A2192" s="42"/>
      <c r="B2192" s="42"/>
      <c r="C2192" s="42"/>
      <c r="D2192" s="42"/>
      <c r="E2192" s="42"/>
      <c r="F2192" s="42"/>
      <c r="G2192" s="42"/>
      <c r="H2192" s="42"/>
      <c r="I2192" s="42"/>
      <c r="J2192" s="42"/>
      <c r="K2192" s="42"/>
      <c r="L2192" s="42"/>
      <c r="M2192" s="42"/>
    </row>
    <row r="2193" spans="1:13" x14ac:dyDescent="0.2">
      <c r="A2193" s="42"/>
      <c r="B2193" s="42"/>
      <c r="C2193" s="42"/>
      <c r="D2193" s="42"/>
      <c r="E2193" s="42"/>
      <c r="F2193" s="42"/>
      <c r="G2193" s="42"/>
      <c r="H2193" s="42"/>
      <c r="I2193" s="42"/>
      <c r="J2193" s="42"/>
      <c r="K2193" s="42"/>
      <c r="L2193" s="42"/>
      <c r="M2193" s="42"/>
    </row>
    <row r="2194" spans="1:13" x14ac:dyDescent="0.2">
      <c r="A2194" s="42"/>
      <c r="B2194" s="42"/>
      <c r="C2194" s="42"/>
      <c r="D2194" s="42"/>
      <c r="E2194" s="42"/>
      <c r="F2194" s="42"/>
      <c r="G2194" s="42"/>
      <c r="H2194" s="42"/>
      <c r="I2194" s="42"/>
      <c r="J2194" s="42"/>
      <c r="K2194" s="42"/>
      <c r="L2194" s="42"/>
      <c r="M2194" s="42"/>
    </row>
    <row r="2195" spans="1:13" x14ac:dyDescent="0.2">
      <c r="A2195" s="42"/>
      <c r="B2195" s="42"/>
      <c r="C2195" s="42"/>
      <c r="D2195" s="42"/>
      <c r="E2195" s="42"/>
      <c r="F2195" s="42"/>
      <c r="G2195" s="42"/>
      <c r="H2195" s="42"/>
      <c r="I2195" s="42"/>
      <c r="J2195" s="42"/>
      <c r="K2195" s="42"/>
      <c r="L2195" s="42"/>
      <c r="M2195" s="42"/>
    </row>
    <row r="2196" spans="1:13" x14ac:dyDescent="0.2">
      <c r="A2196" s="42"/>
      <c r="B2196" s="42"/>
      <c r="C2196" s="42"/>
      <c r="D2196" s="42"/>
      <c r="E2196" s="42"/>
      <c r="F2196" s="42"/>
      <c r="G2196" s="42"/>
      <c r="H2196" s="42"/>
      <c r="I2196" s="42"/>
      <c r="J2196" s="42"/>
      <c r="K2196" s="42"/>
      <c r="L2196" s="42"/>
      <c r="M2196" s="42"/>
    </row>
    <row r="2197" spans="1:13" x14ac:dyDescent="0.2">
      <c r="A2197" s="42"/>
      <c r="B2197" s="42"/>
      <c r="C2197" s="42"/>
      <c r="D2197" s="42"/>
      <c r="E2197" s="42"/>
      <c r="F2197" s="42"/>
      <c r="G2197" s="42"/>
      <c r="H2197" s="42"/>
      <c r="I2197" s="42"/>
      <c r="J2197" s="42"/>
      <c r="K2197" s="42"/>
      <c r="L2197" s="42"/>
      <c r="M2197" s="42"/>
    </row>
    <row r="2198" spans="1:13" x14ac:dyDescent="0.2">
      <c r="A2198" s="42"/>
      <c r="B2198" s="42"/>
      <c r="C2198" s="42"/>
      <c r="D2198" s="42"/>
      <c r="E2198" s="42"/>
      <c r="F2198" s="42"/>
      <c r="G2198" s="42"/>
      <c r="H2198" s="42"/>
      <c r="I2198" s="42"/>
      <c r="J2198" s="42"/>
      <c r="K2198" s="42"/>
      <c r="L2198" s="42"/>
      <c r="M2198" s="42"/>
    </row>
    <row r="2199" spans="1:13" x14ac:dyDescent="0.2">
      <c r="A2199" s="42"/>
      <c r="B2199" s="42"/>
      <c r="C2199" s="42"/>
      <c r="D2199" s="42"/>
      <c r="E2199" s="42"/>
      <c r="F2199" s="42"/>
      <c r="G2199" s="42"/>
      <c r="H2199" s="42"/>
      <c r="I2199" s="42"/>
      <c r="J2199" s="42"/>
      <c r="K2199" s="42"/>
      <c r="L2199" s="42"/>
      <c r="M2199" s="42"/>
    </row>
    <row r="2200" spans="1:13" x14ac:dyDescent="0.2">
      <c r="A2200" s="42"/>
      <c r="B2200" s="42"/>
      <c r="C2200" s="42"/>
      <c r="D2200" s="42"/>
      <c r="E2200" s="42"/>
      <c r="F2200" s="42"/>
      <c r="G2200" s="42"/>
      <c r="H2200" s="42"/>
      <c r="I2200" s="42"/>
      <c r="J2200" s="42"/>
      <c r="K2200" s="42"/>
      <c r="L2200" s="42"/>
      <c r="M2200" s="42"/>
    </row>
    <row r="2201" spans="1:13" x14ac:dyDescent="0.2">
      <c r="A2201" s="42"/>
      <c r="B2201" s="42"/>
      <c r="C2201" s="42"/>
      <c r="D2201" s="42"/>
      <c r="E2201" s="42"/>
      <c r="F2201" s="42"/>
      <c r="G2201" s="42"/>
      <c r="H2201" s="42"/>
      <c r="I2201" s="42"/>
      <c r="J2201" s="42"/>
      <c r="K2201" s="42"/>
      <c r="L2201" s="42"/>
      <c r="M2201" s="42"/>
    </row>
    <row r="2202" spans="1:13" x14ac:dyDescent="0.2">
      <c r="A2202" s="42"/>
      <c r="B2202" s="42"/>
      <c r="C2202" s="42"/>
      <c r="D2202" s="42"/>
      <c r="E2202" s="42"/>
      <c r="F2202" s="42"/>
      <c r="G2202" s="42"/>
      <c r="H2202" s="42"/>
      <c r="I2202" s="42"/>
      <c r="J2202" s="42"/>
      <c r="K2202" s="42"/>
      <c r="L2202" s="42"/>
      <c r="M2202" s="42"/>
    </row>
    <row r="2203" spans="1:13" x14ac:dyDescent="0.2">
      <c r="A2203" s="42"/>
      <c r="B2203" s="42"/>
      <c r="C2203" s="42"/>
      <c r="D2203" s="42"/>
      <c r="E2203" s="42"/>
      <c r="F2203" s="42"/>
      <c r="G2203" s="42"/>
      <c r="H2203" s="42"/>
      <c r="I2203" s="42"/>
      <c r="J2203" s="42"/>
      <c r="K2203" s="42"/>
      <c r="L2203" s="42"/>
      <c r="M2203" s="42"/>
    </row>
    <row r="2204" spans="1:13" x14ac:dyDescent="0.2">
      <c r="A2204" s="42"/>
      <c r="B2204" s="42"/>
      <c r="C2204" s="42"/>
      <c r="D2204" s="42"/>
      <c r="E2204" s="42"/>
      <c r="F2204" s="42"/>
      <c r="G2204" s="42"/>
      <c r="H2204" s="42"/>
      <c r="I2204" s="42"/>
      <c r="J2204" s="42"/>
      <c r="K2204" s="42"/>
      <c r="L2204" s="42"/>
      <c r="M2204" s="42"/>
    </row>
    <row r="2205" spans="1:13" x14ac:dyDescent="0.2">
      <c r="A2205" s="42"/>
      <c r="B2205" s="42"/>
      <c r="C2205" s="42"/>
      <c r="D2205" s="42"/>
      <c r="E2205" s="42"/>
      <c r="F2205" s="42"/>
      <c r="G2205" s="42"/>
      <c r="H2205" s="42"/>
      <c r="I2205" s="42"/>
      <c r="J2205" s="42"/>
      <c r="K2205" s="42"/>
      <c r="L2205" s="42"/>
      <c r="M2205" s="42"/>
    </row>
    <row r="2206" spans="1:13" x14ac:dyDescent="0.2">
      <c r="A2206" s="42"/>
      <c r="B2206" s="42"/>
      <c r="C2206" s="42"/>
      <c r="D2206" s="42"/>
      <c r="E2206" s="42"/>
      <c r="F2206" s="42"/>
      <c r="G2206" s="42"/>
      <c r="H2206" s="42"/>
      <c r="I2206" s="42"/>
      <c r="J2206" s="42"/>
      <c r="K2206" s="42"/>
      <c r="L2206" s="42"/>
      <c r="M2206" s="42"/>
    </row>
    <row r="2207" spans="1:13" x14ac:dyDescent="0.2">
      <c r="A2207" s="42"/>
      <c r="B2207" s="42"/>
      <c r="C2207" s="42"/>
      <c r="D2207" s="42"/>
      <c r="E2207" s="42"/>
      <c r="F2207" s="42"/>
      <c r="G2207" s="42"/>
      <c r="H2207" s="42"/>
      <c r="I2207" s="42"/>
      <c r="J2207" s="42"/>
      <c r="K2207" s="42"/>
      <c r="L2207" s="42"/>
      <c r="M2207" s="42"/>
    </row>
    <row r="2208" spans="1:13" x14ac:dyDescent="0.2">
      <c r="A2208" s="42"/>
      <c r="B2208" s="42"/>
      <c r="C2208" s="42"/>
      <c r="D2208" s="42"/>
      <c r="E2208" s="42"/>
      <c r="F2208" s="42"/>
      <c r="G2208" s="42"/>
      <c r="H2208" s="42"/>
      <c r="I2208" s="42"/>
      <c r="J2208" s="42"/>
      <c r="K2208" s="42"/>
      <c r="L2208" s="42"/>
      <c r="M2208" s="42"/>
    </row>
    <row r="2209" spans="1:13" x14ac:dyDescent="0.2">
      <c r="A2209" s="42"/>
      <c r="B2209" s="42"/>
      <c r="C2209" s="42"/>
      <c r="D2209" s="42"/>
      <c r="E2209" s="42"/>
      <c r="F2209" s="42"/>
      <c r="G2209" s="42"/>
      <c r="H2209" s="42"/>
      <c r="I2209" s="42"/>
      <c r="J2209" s="42"/>
      <c r="K2209" s="42"/>
      <c r="L2209" s="42"/>
      <c r="M2209" s="42"/>
    </row>
    <row r="2210" spans="1:13" x14ac:dyDescent="0.2">
      <c r="A2210" s="42"/>
      <c r="B2210" s="42"/>
      <c r="C2210" s="42"/>
      <c r="D2210" s="42"/>
      <c r="E2210" s="42"/>
      <c r="F2210" s="42"/>
      <c r="G2210" s="42"/>
      <c r="H2210" s="42"/>
      <c r="I2210" s="42"/>
      <c r="J2210" s="42"/>
      <c r="K2210" s="42"/>
      <c r="L2210" s="42"/>
      <c r="M2210" s="42"/>
    </row>
    <row r="2211" spans="1:13" x14ac:dyDescent="0.2">
      <c r="A2211" s="42"/>
      <c r="B2211" s="42"/>
      <c r="C2211" s="42"/>
      <c r="D2211" s="42"/>
      <c r="E2211" s="42"/>
      <c r="F2211" s="42"/>
      <c r="G2211" s="42"/>
      <c r="H2211" s="42"/>
      <c r="I2211" s="42"/>
      <c r="J2211" s="42"/>
      <c r="K2211" s="42"/>
      <c r="L2211" s="42"/>
      <c r="M2211" s="42"/>
    </row>
    <row r="2212" spans="1:13" x14ac:dyDescent="0.2">
      <c r="A2212" s="42"/>
      <c r="B2212" s="42"/>
      <c r="C2212" s="42"/>
      <c r="D2212" s="42"/>
      <c r="E2212" s="42"/>
      <c r="F2212" s="42"/>
      <c r="G2212" s="42"/>
      <c r="H2212" s="42"/>
      <c r="I2212" s="42"/>
      <c r="J2212" s="42"/>
      <c r="K2212" s="42"/>
      <c r="L2212" s="42"/>
      <c r="M2212" s="42"/>
    </row>
    <row r="2213" spans="1:13" x14ac:dyDescent="0.2">
      <c r="A2213" s="42"/>
      <c r="B2213" s="42"/>
      <c r="C2213" s="42"/>
      <c r="D2213" s="42"/>
      <c r="E2213" s="42"/>
      <c r="F2213" s="42"/>
      <c r="G2213" s="42"/>
      <c r="H2213" s="42"/>
      <c r="I2213" s="42"/>
      <c r="J2213" s="42"/>
      <c r="K2213" s="42"/>
      <c r="L2213" s="42"/>
      <c r="M2213" s="42"/>
    </row>
    <row r="2214" spans="1:13" x14ac:dyDescent="0.2">
      <c r="A2214" s="42"/>
      <c r="B2214" s="42"/>
      <c r="C2214" s="42"/>
      <c r="D2214" s="42"/>
      <c r="E2214" s="42"/>
      <c r="F2214" s="42"/>
      <c r="G2214" s="42"/>
      <c r="H2214" s="42"/>
      <c r="I2214" s="42"/>
      <c r="J2214" s="42"/>
      <c r="K2214" s="42"/>
      <c r="L2214" s="42"/>
      <c r="M2214" s="42"/>
    </row>
    <row r="2215" spans="1:13" x14ac:dyDescent="0.2">
      <c r="A2215" s="42"/>
      <c r="B2215" s="42"/>
      <c r="C2215" s="42"/>
      <c r="D2215" s="42"/>
      <c r="E2215" s="42"/>
      <c r="F2215" s="42"/>
      <c r="G2215" s="42"/>
      <c r="H2215" s="42"/>
      <c r="I2215" s="42"/>
      <c r="J2215" s="42"/>
      <c r="K2215" s="42"/>
      <c r="L2215" s="42"/>
      <c r="M2215" s="42"/>
    </row>
    <row r="2216" spans="1:13" x14ac:dyDescent="0.2">
      <c r="A2216" s="42"/>
      <c r="B2216" s="42"/>
      <c r="C2216" s="42"/>
      <c r="D2216" s="42"/>
      <c r="E2216" s="42"/>
      <c r="F2216" s="42"/>
      <c r="G2216" s="42"/>
      <c r="H2216" s="42"/>
      <c r="I2216" s="42"/>
      <c r="J2216" s="42"/>
      <c r="K2216" s="42"/>
      <c r="L2216" s="42"/>
      <c r="M2216" s="42"/>
    </row>
    <row r="2217" spans="1:13" x14ac:dyDescent="0.2">
      <c r="A2217" s="42"/>
      <c r="B2217" s="42"/>
      <c r="C2217" s="42"/>
      <c r="D2217" s="42"/>
      <c r="E2217" s="42"/>
      <c r="F2217" s="42"/>
      <c r="G2217" s="42"/>
      <c r="H2217" s="42"/>
      <c r="I2217" s="42"/>
      <c r="J2217" s="42"/>
      <c r="K2217" s="42"/>
      <c r="L2217" s="42"/>
      <c r="M2217" s="42"/>
    </row>
    <row r="2218" spans="1:13" x14ac:dyDescent="0.2">
      <c r="A2218" s="42"/>
      <c r="B2218" s="42"/>
      <c r="C2218" s="42"/>
      <c r="D2218" s="42"/>
      <c r="E2218" s="42"/>
      <c r="F2218" s="42"/>
      <c r="G2218" s="42"/>
      <c r="H2218" s="42"/>
      <c r="I2218" s="42"/>
      <c r="J2218" s="42"/>
      <c r="K2218" s="42"/>
      <c r="L2218" s="42"/>
      <c r="M2218" s="42"/>
    </row>
    <row r="2219" spans="1:13" x14ac:dyDescent="0.2">
      <c r="A2219" s="42"/>
      <c r="B2219" s="42"/>
      <c r="C2219" s="42"/>
      <c r="D2219" s="42"/>
      <c r="E2219" s="42"/>
      <c r="F2219" s="42"/>
      <c r="G2219" s="42"/>
      <c r="H2219" s="42"/>
      <c r="I2219" s="42"/>
      <c r="J2219" s="42"/>
      <c r="K2219" s="42"/>
      <c r="L2219" s="42"/>
      <c r="M2219" s="42"/>
    </row>
    <row r="2220" spans="1:13" x14ac:dyDescent="0.2">
      <c r="A2220" s="42"/>
      <c r="B2220" s="42"/>
      <c r="C2220" s="42"/>
      <c r="D2220" s="42"/>
      <c r="E2220" s="42"/>
      <c r="F2220" s="42"/>
      <c r="G2220" s="42"/>
      <c r="H2220" s="42"/>
      <c r="I2220" s="42"/>
      <c r="J2220" s="42"/>
      <c r="K2220" s="42"/>
      <c r="L2220" s="42"/>
      <c r="M2220" s="42"/>
    </row>
    <row r="2221" spans="1:13" x14ac:dyDescent="0.2">
      <c r="A2221" s="42"/>
      <c r="B2221" s="42"/>
      <c r="C2221" s="42"/>
      <c r="D2221" s="42"/>
      <c r="E2221" s="42"/>
      <c r="F2221" s="42"/>
      <c r="G2221" s="42"/>
      <c r="H2221" s="42"/>
      <c r="I2221" s="42"/>
      <c r="J2221" s="42"/>
      <c r="K2221" s="42"/>
      <c r="L2221" s="42"/>
      <c r="M2221" s="42"/>
    </row>
    <row r="2222" spans="1:13" x14ac:dyDescent="0.2">
      <c r="A2222" s="42"/>
      <c r="B2222" s="42"/>
      <c r="C2222" s="42"/>
      <c r="D2222" s="42"/>
      <c r="E2222" s="42"/>
      <c r="F2222" s="42"/>
      <c r="G2222" s="42"/>
      <c r="H2222" s="42"/>
      <c r="I2222" s="42"/>
      <c r="J2222" s="42"/>
      <c r="K2222" s="42"/>
      <c r="L2222" s="42"/>
      <c r="M2222" s="42"/>
    </row>
    <row r="2223" spans="1:13" x14ac:dyDescent="0.2">
      <c r="A2223" s="42"/>
      <c r="B2223" s="42"/>
      <c r="C2223" s="42"/>
      <c r="D2223" s="42"/>
      <c r="E2223" s="42"/>
      <c r="F2223" s="42"/>
      <c r="G2223" s="42"/>
      <c r="H2223" s="42"/>
      <c r="I2223" s="42"/>
      <c r="J2223" s="42"/>
      <c r="K2223" s="42"/>
      <c r="L2223" s="42"/>
      <c r="M2223" s="42"/>
    </row>
    <row r="2224" spans="1:13" x14ac:dyDescent="0.2">
      <c r="A2224" s="42"/>
      <c r="B2224" s="42"/>
      <c r="C2224" s="42"/>
      <c r="D2224" s="42"/>
      <c r="E2224" s="42"/>
      <c r="F2224" s="42"/>
      <c r="G2224" s="42"/>
      <c r="H2224" s="42"/>
      <c r="I2224" s="42"/>
      <c r="J2224" s="42"/>
      <c r="K2224" s="42"/>
      <c r="L2224" s="42"/>
      <c r="M2224" s="42"/>
    </row>
    <row r="2225" spans="1:13" x14ac:dyDescent="0.2">
      <c r="A2225" s="42"/>
      <c r="B2225" s="42"/>
      <c r="C2225" s="42"/>
      <c r="D2225" s="42"/>
      <c r="E2225" s="42"/>
      <c r="F2225" s="42"/>
      <c r="G2225" s="42"/>
      <c r="H2225" s="42"/>
      <c r="I2225" s="42"/>
      <c r="J2225" s="42"/>
      <c r="K2225" s="42"/>
      <c r="L2225" s="42"/>
      <c r="M2225" s="42"/>
    </row>
    <row r="2226" spans="1:13" x14ac:dyDescent="0.2">
      <c r="A2226" s="42"/>
      <c r="B2226" s="42"/>
      <c r="C2226" s="42"/>
      <c r="D2226" s="42"/>
      <c r="E2226" s="42"/>
      <c r="F2226" s="42"/>
      <c r="G2226" s="42"/>
      <c r="H2226" s="42"/>
      <c r="I2226" s="42"/>
      <c r="J2226" s="42"/>
      <c r="K2226" s="42"/>
      <c r="L2226" s="42"/>
      <c r="M2226" s="42"/>
    </row>
    <row r="2227" spans="1:13" x14ac:dyDescent="0.2">
      <c r="A2227" s="42"/>
      <c r="B2227" s="42"/>
      <c r="C2227" s="42"/>
      <c r="D2227" s="42"/>
      <c r="E2227" s="42"/>
      <c r="F2227" s="42"/>
      <c r="G2227" s="42"/>
      <c r="H2227" s="42"/>
      <c r="I2227" s="42"/>
      <c r="J2227" s="42"/>
      <c r="K2227" s="42"/>
      <c r="L2227" s="42"/>
      <c r="M2227" s="42"/>
    </row>
    <row r="2228" spans="1:13" x14ac:dyDescent="0.2">
      <c r="A2228" s="42"/>
      <c r="B2228" s="42"/>
      <c r="C2228" s="42"/>
      <c r="D2228" s="42"/>
      <c r="E2228" s="42"/>
      <c r="F2228" s="42"/>
      <c r="G2228" s="42"/>
      <c r="H2228" s="42"/>
      <c r="I2228" s="42"/>
      <c r="J2228" s="42"/>
      <c r="K2228" s="42"/>
      <c r="L2228" s="42"/>
      <c r="M2228" s="42"/>
    </row>
    <row r="2229" spans="1:13" x14ac:dyDescent="0.2">
      <c r="A2229" s="42"/>
      <c r="B2229" s="42"/>
      <c r="C2229" s="42"/>
      <c r="D2229" s="42"/>
      <c r="E2229" s="42"/>
      <c r="F2229" s="42"/>
      <c r="G2229" s="42"/>
      <c r="H2229" s="42"/>
      <c r="I2229" s="42"/>
      <c r="J2229" s="42"/>
      <c r="K2229" s="42"/>
      <c r="L2229" s="42"/>
      <c r="M2229" s="42"/>
    </row>
    <row r="2230" spans="1:13" x14ac:dyDescent="0.2">
      <c r="A2230" s="42"/>
      <c r="B2230" s="42"/>
      <c r="C2230" s="42"/>
      <c r="D2230" s="42"/>
      <c r="E2230" s="42"/>
      <c r="F2230" s="42"/>
      <c r="G2230" s="42"/>
      <c r="H2230" s="42"/>
      <c r="I2230" s="42"/>
      <c r="J2230" s="42"/>
      <c r="K2230" s="42"/>
      <c r="L2230" s="42"/>
      <c r="M2230" s="42"/>
    </row>
    <row r="2231" spans="1:13" x14ac:dyDescent="0.2">
      <c r="A2231" s="42"/>
      <c r="B2231" s="42"/>
      <c r="C2231" s="42"/>
      <c r="D2231" s="42"/>
      <c r="E2231" s="42"/>
      <c r="F2231" s="42"/>
      <c r="G2231" s="42"/>
      <c r="H2231" s="42"/>
      <c r="I2231" s="42"/>
      <c r="J2231" s="42"/>
      <c r="K2231" s="42"/>
      <c r="L2231" s="42"/>
      <c r="M2231" s="42"/>
    </row>
    <row r="2232" spans="1:13" x14ac:dyDescent="0.2">
      <c r="A2232" s="42"/>
      <c r="B2232" s="42"/>
      <c r="C2232" s="42"/>
      <c r="D2232" s="42"/>
      <c r="E2232" s="42"/>
      <c r="F2232" s="42"/>
      <c r="G2232" s="42"/>
      <c r="H2232" s="42"/>
      <c r="I2232" s="42"/>
      <c r="J2232" s="42"/>
      <c r="K2232" s="42"/>
      <c r="L2232" s="42"/>
      <c r="M2232" s="42"/>
    </row>
    <row r="2233" spans="1:13" x14ac:dyDescent="0.2">
      <c r="A2233" s="42"/>
      <c r="B2233" s="42"/>
      <c r="C2233" s="42"/>
      <c r="D2233" s="42"/>
      <c r="E2233" s="42"/>
      <c r="F2233" s="42"/>
      <c r="G2233" s="42"/>
      <c r="H2233" s="42"/>
      <c r="I2233" s="42"/>
      <c r="J2233" s="42"/>
      <c r="K2233" s="42"/>
      <c r="L2233" s="42"/>
      <c r="M2233" s="42"/>
    </row>
    <row r="2234" spans="1:13" x14ac:dyDescent="0.2">
      <c r="A2234" s="42"/>
      <c r="B2234" s="42"/>
      <c r="C2234" s="42"/>
      <c r="D2234" s="42"/>
      <c r="E2234" s="42"/>
      <c r="F2234" s="42"/>
      <c r="G2234" s="42"/>
      <c r="H2234" s="42"/>
      <c r="I2234" s="42"/>
      <c r="J2234" s="42"/>
      <c r="K2234" s="42"/>
      <c r="L2234" s="42"/>
      <c r="M2234" s="42"/>
    </row>
    <row r="2235" spans="1:13" x14ac:dyDescent="0.2">
      <c r="A2235" s="42"/>
      <c r="B2235" s="42"/>
      <c r="C2235" s="42"/>
      <c r="D2235" s="42"/>
      <c r="E2235" s="42"/>
      <c r="F2235" s="42"/>
      <c r="G2235" s="42"/>
      <c r="H2235" s="42"/>
      <c r="I2235" s="42"/>
      <c r="J2235" s="42"/>
      <c r="K2235" s="42"/>
      <c r="L2235" s="42"/>
      <c r="M2235" s="42"/>
    </row>
    <row r="2236" spans="1:13" x14ac:dyDescent="0.2">
      <c r="A2236" s="42"/>
      <c r="B2236" s="42"/>
      <c r="C2236" s="42"/>
      <c r="D2236" s="42"/>
      <c r="E2236" s="42"/>
      <c r="F2236" s="42"/>
      <c r="G2236" s="42"/>
      <c r="H2236" s="42"/>
      <c r="I2236" s="42"/>
      <c r="J2236" s="42"/>
      <c r="K2236" s="42"/>
      <c r="L2236" s="42"/>
      <c r="M2236" s="42"/>
    </row>
    <row r="2237" spans="1:13" x14ac:dyDescent="0.2">
      <c r="A2237" s="42"/>
      <c r="B2237" s="42"/>
      <c r="C2237" s="42"/>
      <c r="D2237" s="42"/>
      <c r="E2237" s="42"/>
      <c r="F2237" s="42"/>
      <c r="G2237" s="42"/>
      <c r="H2237" s="42"/>
      <c r="I2237" s="42"/>
      <c r="J2237" s="42"/>
      <c r="K2237" s="42"/>
      <c r="L2237" s="42"/>
      <c r="M2237" s="42"/>
    </row>
    <row r="2238" spans="1:13" x14ac:dyDescent="0.2">
      <c r="A2238" s="42"/>
      <c r="B2238" s="42"/>
      <c r="C2238" s="42"/>
      <c r="D2238" s="42"/>
      <c r="E2238" s="42"/>
      <c r="F2238" s="42"/>
      <c r="G2238" s="42"/>
      <c r="H2238" s="42"/>
      <c r="I2238" s="42"/>
      <c r="J2238" s="42"/>
      <c r="K2238" s="42"/>
      <c r="L2238" s="42"/>
      <c r="M2238" s="42"/>
    </row>
    <row r="2239" spans="1:13" x14ac:dyDescent="0.2">
      <c r="A2239" s="42"/>
      <c r="B2239" s="42"/>
      <c r="C2239" s="42"/>
      <c r="D2239" s="42"/>
      <c r="E2239" s="42"/>
      <c r="F2239" s="42"/>
      <c r="G2239" s="42"/>
      <c r="H2239" s="42"/>
      <c r="I2239" s="42"/>
      <c r="J2239" s="42"/>
      <c r="K2239" s="42"/>
      <c r="L2239" s="42"/>
      <c r="M2239" s="42"/>
    </row>
    <row r="2240" spans="1:13" x14ac:dyDescent="0.2">
      <c r="A2240" s="42"/>
      <c r="B2240" s="42"/>
      <c r="C2240" s="42"/>
      <c r="D2240" s="42"/>
      <c r="E2240" s="42"/>
      <c r="F2240" s="42"/>
      <c r="G2240" s="42"/>
      <c r="H2240" s="42"/>
      <c r="I2240" s="42"/>
      <c r="J2240" s="42"/>
      <c r="K2240" s="42"/>
      <c r="L2240" s="42"/>
      <c r="M2240" s="42"/>
    </row>
    <row r="2241" spans="1:13" x14ac:dyDescent="0.2">
      <c r="A2241" s="42"/>
      <c r="B2241" s="42"/>
      <c r="C2241" s="42"/>
      <c r="D2241" s="42"/>
      <c r="E2241" s="42"/>
      <c r="F2241" s="42"/>
      <c r="G2241" s="42"/>
      <c r="H2241" s="42"/>
      <c r="I2241" s="42"/>
      <c r="J2241" s="42"/>
      <c r="K2241" s="42"/>
      <c r="L2241" s="42"/>
      <c r="M2241" s="42"/>
    </row>
    <row r="2242" spans="1:13" x14ac:dyDescent="0.2">
      <c r="A2242" s="42"/>
      <c r="B2242" s="42"/>
      <c r="C2242" s="42"/>
      <c r="D2242" s="42"/>
      <c r="E2242" s="42"/>
      <c r="F2242" s="42"/>
      <c r="G2242" s="42"/>
      <c r="H2242" s="42"/>
      <c r="I2242" s="42"/>
      <c r="J2242" s="42"/>
      <c r="K2242" s="42"/>
      <c r="L2242" s="42"/>
      <c r="M2242" s="42"/>
    </row>
    <row r="2243" spans="1:13" x14ac:dyDescent="0.2">
      <c r="A2243" s="42"/>
      <c r="B2243" s="42"/>
      <c r="C2243" s="42"/>
      <c r="D2243" s="42"/>
      <c r="E2243" s="42"/>
      <c r="F2243" s="42"/>
      <c r="G2243" s="42"/>
      <c r="H2243" s="42"/>
      <c r="I2243" s="42"/>
      <c r="J2243" s="42"/>
      <c r="K2243" s="42"/>
      <c r="L2243" s="42"/>
      <c r="M2243" s="42"/>
    </row>
    <row r="2244" spans="1:13" x14ac:dyDescent="0.2">
      <c r="A2244" s="42"/>
      <c r="B2244" s="42"/>
      <c r="C2244" s="42"/>
      <c r="D2244" s="42"/>
      <c r="E2244" s="42"/>
      <c r="F2244" s="42"/>
      <c r="G2244" s="42"/>
      <c r="H2244" s="42"/>
      <c r="I2244" s="42"/>
      <c r="J2244" s="42"/>
      <c r="K2244" s="42"/>
      <c r="L2244" s="42"/>
      <c r="M2244" s="42"/>
    </row>
    <row r="2245" spans="1:13" x14ac:dyDescent="0.2">
      <c r="A2245" s="42"/>
      <c r="B2245" s="42"/>
      <c r="C2245" s="42"/>
      <c r="D2245" s="42"/>
      <c r="E2245" s="42"/>
      <c r="F2245" s="42"/>
      <c r="G2245" s="42"/>
      <c r="H2245" s="42"/>
      <c r="I2245" s="42"/>
      <c r="J2245" s="42"/>
      <c r="K2245" s="42"/>
      <c r="L2245" s="42"/>
      <c r="M2245" s="42"/>
    </row>
    <row r="2246" spans="1:13" x14ac:dyDescent="0.2">
      <c r="A2246" s="42"/>
      <c r="B2246" s="42"/>
      <c r="C2246" s="42"/>
      <c r="D2246" s="42"/>
      <c r="E2246" s="42"/>
      <c r="F2246" s="42"/>
      <c r="G2246" s="42"/>
      <c r="H2246" s="42"/>
      <c r="I2246" s="42"/>
      <c r="J2246" s="42"/>
      <c r="K2246" s="42"/>
      <c r="L2246" s="42"/>
      <c r="M2246" s="42"/>
    </row>
    <row r="2247" spans="1:13" x14ac:dyDescent="0.2">
      <c r="A2247" s="42"/>
      <c r="B2247" s="42"/>
      <c r="C2247" s="42"/>
      <c r="D2247" s="42"/>
      <c r="E2247" s="42"/>
      <c r="F2247" s="42"/>
      <c r="G2247" s="42"/>
      <c r="H2247" s="42"/>
      <c r="I2247" s="42"/>
      <c r="J2247" s="42"/>
      <c r="K2247" s="42"/>
      <c r="L2247" s="42"/>
      <c r="M2247" s="42"/>
    </row>
    <row r="2248" spans="1:13" x14ac:dyDescent="0.2">
      <c r="A2248" s="42"/>
      <c r="B2248" s="42"/>
      <c r="C2248" s="42"/>
      <c r="D2248" s="42"/>
      <c r="E2248" s="42"/>
      <c r="F2248" s="42"/>
      <c r="G2248" s="42"/>
      <c r="H2248" s="42"/>
      <c r="I2248" s="42"/>
      <c r="J2248" s="42"/>
      <c r="K2248" s="42"/>
      <c r="L2248" s="42"/>
      <c r="M2248" s="42"/>
    </row>
    <row r="2249" spans="1:13" x14ac:dyDescent="0.2">
      <c r="A2249" s="42"/>
      <c r="B2249" s="42"/>
      <c r="C2249" s="42"/>
      <c r="D2249" s="42"/>
      <c r="E2249" s="42"/>
      <c r="F2249" s="42"/>
      <c r="G2249" s="42"/>
      <c r="H2249" s="42"/>
      <c r="I2249" s="42"/>
      <c r="J2249" s="42"/>
      <c r="K2249" s="42"/>
      <c r="L2249" s="42"/>
      <c r="M2249" s="42"/>
    </row>
    <row r="2250" spans="1:13" x14ac:dyDescent="0.2">
      <c r="A2250" s="42"/>
      <c r="B2250" s="42"/>
      <c r="C2250" s="42"/>
      <c r="D2250" s="42"/>
      <c r="E2250" s="42"/>
      <c r="F2250" s="42"/>
      <c r="G2250" s="42"/>
      <c r="H2250" s="42"/>
      <c r="I2250" s="42"/>
      <c r="J2250" s="42"/>
      <c r="K2250" s="42"/>
      <c r="L2250" s="42"/>
      <c r="M2250" s="42"/>
    </row>
    <row r="2251" spans="1:13" x14ac:dyDescent="0.2">
      <c r="A2251" s="42"/>
      <c r="B2251" s="42"/>
      <c r="C2251" s="42"/>
      <c r="D2251" s="42"/>
      <c r="E2251" s="42"/>
      <c r="F2251" s="42"/>
      <c r="G2251" s="42"/>
      <c r="H2251" s="42"/>
      <c r="I2251" s="42"/>
      <c r="J2251" s="42"/>
      <c r="K2251" s="42"/>
      <c r="L2251" s="42"/>
      <c r="M2251" s="42"/>
    </row>
    <row r="2252" spans="1:13" x14ac:dyDescent="0.2">
      <c r="A2252" s="42"/>
      <c r="B2252" s="42"/>
      <c r="C2252" s="42"/>
      <c r="D2252" s="42"/>
      <c r="E2252" s="42"/>
      <c r="F2252" s="42"/>
      <c r="G2252" s="42"/>
      <c r="H2252" s="42"/>
      <c r="I2252" s="42"/>
      <c r="J2252" s="42"/>
      <c r="K2252" s="42"/>
      <c r="L2252" s="42"/>
      <c r="M2252" s="42"/>
    </row>
    <row r="2253" spans="1:13" x14ac:dyDescent="0.2">
      <c r="A2253" s="42"/>
      <c r="B2253" s="42"/>
      <c r="C2253" s="42"/>
      <c r="D2253" s="42"/>
      <c r="E2253" s="42"/>
      <c r="F2253" s="42"/>
      <c r="G2253" s="42"/>
      <c r="H2253" s="42"/>
      <c r="I2253" s="42"/>
      <c r="J2253" s="42"/>
      <c r="K2253" s="42"/>
      <c r="L2253" s="42"/>
      <c r="M2253" s="42"/>
    </row>
    <row r="2254" spans="1:13" x14ac:dyDescent="0.2">
      <c r="A2254" s="42"/>
      <c r="B2254" s="42"/>
      <c r="C2254" s="42"/>
      <c r="D2254" s="42"/>
      <c r="E2254" s="42"/>
      <c r="F2254" s="42"/>
      <c r="G2254" s="42"/>
      <c r="H2254" s="42"/>
      <c r="I2254" s="42"/>
      <c r="J2254" s="42"/>
      <c r="K2254" s="42"/>
      <c r="L2254" s="42"/>
      <c r="M2254" s="42"/>
    </row>
    <row r="2255" spans="1:13" x14ac:dyDescent="0.2">
      <c r="A2255" s="42"/>
      <c r="B2255" s="42"/>
      <c r="C2255" s="42"/>
      <c r="D2255" s="42"/>
      <c r="E2255" s="42"/>
      <c r="F2255" s="42"/>
      <c r="G2255" s="42"/>
      <c r="H2255" s="42"/>
      <c r="I2255" s="42"/>
      <c r="J2255" s="42"/>
      <c r="K2255" s="42"/>
      <c r="L2255" s="42"/>
      <c r="M2255" s="42"/>
    </row>
    <row r="2256" spans="1:13" x14ac:dyDescent="0.2">
      <c r="A2256" s="42"/>
      <c r="B2256" s="42"/>
      <c r="C2256" s="42"/>
      <c r="D2256" s="42"/>
      <c r="E2256" s="42"/>
      <c r="F2256" s="42"/>
      <c r="G2256" s="42"/>
      <c r="H2256" s="42"/>
      <c r="I2256" s="42"/>
      <c r="J2256" s="42"/>
      <c r="K2256" s="42"/>
      <c r="L2256" s="42"/>
      <c r="M2256" s="42"/>
    </row>
    <row r="2257" spans="1:13" x14ac:dyDescent="0.2">
      <c r="A2257" s="42"/>
      <c r="B2257" s="42"/>
      <c r="C2257" s="42"/>
      <c r="D2257" s="42"/>
      <c r="E2257" s="42"/>
      <c r="F2257" s="42"/>
      <c r="G2257" s="42"/>
      <c r="H2257" s="42"/>
      <c r="I2257" s="42"/>
      <c r="J2257" s="42"/>
      <c r="K2257" s="42"/>
      <c r="L2257" s="42"/>
      <c r="M2257" s="42"/>
    </row>
    <row r="2258" spans="1:13" x14ac:dyDescent="0.2">
      <c r="A2258" s="42"/>
      <c r="B2258" s="42"/>
      <c r="C2258" s="42"/>
      <c r="D2258" s="42"/>
      <c r="E2258" s="42"/>
      <c r="F2258" s="42"/>
      <c r="G2258" s="42"/>
      <c r="H2258" s="42"/>
      <c r="I2258" s="42"/>
      <c r="J2258" s="42"/>
      <c r="K2258" s="42"/>
      <c r="L2258" s="42"/>
      <c r="M2258" s="42"/>
    </row>
    <row r="2259" spans="1:13" x14ac:dyDescent="0.2">
      <c r="A2259" s="42"/>
      <c r="B2259" s="42"/>
      <c r="C2259" s="42"/>
      <c r="D2259" s="42"/>
      <c r="E2259" s="42"/>
      <c r="F2259" s="42"/>
      <c r="G2259" s="42"/>
      <c r="H2259" s="42"/>
      <c r="I2259" s="42"/>
      <c r="J2259" s="42"/>
      <c r="K2259" s="42"/>
      <c r="L2259" s="42"/>
      <c r="M2259" s="42"/>
    </row>
    <row r="2260" spans="1:13" x14ac:dyDescent="0.2">
      <c r="A2260" s="42"/>
      <c r="B2260" s="42"/>
      <c r="C2260" s="42"/>
      <c r="D2260" s="42"/>
      <c r="E2260" s="42"/>
      <c r="F2260" s="42"/>
      <c r="G2260" s="42"/>
      <c r="H2260" s="42"/>
      <c r="I2260" s="42"/>
      <c r="J2260" s="42"/>
      <c r="K2260" s="42"/>
      <c r="L2260" s="42"/>
      <c r="M2260" s="42"/>
    </row>
    <row r="2261" spans="1:13" x14ac:dyDescent="0.2">
      <c r="A2261" s="42"/>
      <c r="B2261" s="42"/>
      <c r="C2261" s="42"/>
      <c r="D2261" s="42"/>
      <c r="E2261" s="42"/>
      <c r="F2261" s="42"/>
      <c r="G2261" s="42"/>
      <c r="H2261" s="42"/>
      <c r="I2261" s="42"/>
      <c r="J2261" s="42"/>
      <c r="K2261" s="42"/>
      <c r="L2261" s="42"/>
      <c r="M2261" s="42"/>
    </row>
    <row r="2262" spans="1:13" x14ac:dyDescent="0.2">
      <c r="A2262" s="42"/>
      <c r="B2262" s="42"/>
      <c r="C2262" s="42"/>
      <c r="D2262" s="42"/>
      <c r="E2262" s="42"/>
      <c r="F2262" s="42"/>
      <c r="G2262" s="42"/>
      <c r="H2262" s="42"/>
      <c r="I2262" s="42"/>
      <c r="J2262" s="42"/>
      <c r="K2262" s="42"/>
      <c r="L2262" s="42"/>
      <c r="M2262" s="42"/>
    </row>
    <row r="2263" spans="1:13" x14ac:dyDescent="0.2">
      <c r="A2263" s="42"/>
      <c r="B2263" s="42"/>
      <c r="C2263" s="42"/>
      <c r="D2263" s="42"/>
      <c r="E2263" s="42"/>
      <c r="F2263" s="42"/>
      <c r="G2263" s="42"/>
      <c r="H2263" s="42"/>
      <c r="I2263" s="42"/>
      <c r="J2263" s="42"/>
      <c r="K2263" s="42"/>
      <c r="L2263" s="42"/>
      <c r="M2263" s="42"/>
    </row>
    <row r="2264" spans="1:13" x14ac:dyDescent="0.2">
      <c r="A2264" s="42"/>
      <c r="B2264" s="42"/>
      <c r="C2264" s="42"/>
      <c r="D2264" s="42"/>
      <c r="E2264" s="42"/>
      <c r="F2264" s="42"/>
      <c r="G2264" s="42"/>
      <c r="H2264" s="42"/>
      <c r="I2264" s="42"/>
      <c r="J2264" s="42"/>
      <c r="K2264" s="42"/>
      <c r="L2264" s="42"/>
      <c r="M2264" s="42"/>
    </row>
    <row r="2265" spans="1:13" x14ac:dyDescent="0.2">
      <c r="A2265" s="42"/>
      <c r="B2265" s="42"/>
      <c r="C2265" s="42"/>
      <c r="D2265" s="42"/>
      <c r="E2265" s="42"/>
      <c r="F2265" s="42"/>
      <c r="G2265" s="42"/>
      <c r="H2265" s="42"/>
      <c r="I2265" s="42"/>
      <c r="J2265" s="42"/>
      <c r="K2265" s="42"/>
      <c r="L2265" s="42"/>
      <c r="M2265" s="42"/>
    </row>
    <row r="2266" spans="1:13" x14ac:dyDescent="0.2">
      <c r="A2266" s="42"/>
      <c r="B2266" s="42"/>
      <c r="C2266" s="42"/>
      <c r="D2266" s="42"/>
      <c r="E2266" s="42"/>
      <c r="F2266" s="42"/>
      <c r="G2266" s="42"/>
      <c r="H2266" s="42"/>
      <c r="I2266" s="42"/>
      <c r="J2266" s="42"/>
      <c r="K2266" s="42"/>
      <c r="L2266" s="42"/>
      <c r="M2266" s="42"/>
    </row>
    <row r="2267" spans="1:13" x14ac:dyDescent="0.2">
      <c r="A2267" s="42"/>
      <c r="B2267" s="42"/>
      <c r="C2267" s="42"/>
      <c r="D2267" s="42"/>
      <c r="E2267" s="42"/>
      <c r="F2267" s="42"/>
      <c r="G2267" s="42"/>
      <c r="H2267" s="42"/>
      <c r="I2267" s="42"/>
      <c r="J2267" s="42"/>
      <c r="K2267" s="42"/>
      <c r="L2267" s="42"/>
      <c r="M2267" s="42"/>
    </row>
    <row r="2268" spans="1:13" x14ac:dyDescent="0.2">
      <c r="A2268" s="42"/>
      <c r="B2268" s="42"/>
      <c r="C2268" s="42"/>
      <c r="D2268" s="42"/>
      <c r="E2268" s="42"/>
      <c r="F2268" s="42"/>
      <c r="G2268" s="42"/>
      <c r="H2268" s="42"/>
      <c r="I2268" s="42"/>
      <c r="J2268" s="42"/>
      <c r="K2268" s="42"/>
      <c r="L2268" s="42"/>
      <c r="M2268" s="42"/>
    </row>
    <row r="2269" spans="1:13" x14ac:dyDescent="0.2">
      <c r="A2269" s="42"/>
      <c r="B2269" s="42"/>
      <c r="C2269" s="42"/>
      <c r="D2269" s="42"/>
      <c r="E2269" s="42"/>
      <c r="F2269" s="42"/>
      <c r="G2269" s="42"/>
      <c r="H2269" s="42"/>
      <c r="I2269" s="42"/>
      <c r="J2269" s="42"/>
      <c r="K2269" s="42"/>
      <c r="L2269" s="42"/>
      <c r="M2269" s="42"/>
    </row>
    <row r="2270" spans="1:13" x14ac:dyDescent="0.2">
      <c r="A2270" s="42"/>
      <c r="B2270" s="42"/>
      <c r="C2270" s="42"/>
      <c r="D2270" s="42"/>
      <c r="E2270" s="42"/>
      <c r="F2270" s="42"/>
      <c r="G2270" s="42"/>
      <c r="H2270" s="42"/>
      <c r="I2270" s="42"/>
      <c r="J2270" s="42"/>
      <c r="K2270" s="42"/>
      <c r="L2270" s="42"/>
      <c r="M2270" s="42"/>
    </row>
    <row r="2271" spans="1:13" x14ac:dyDescent="0.2">
      <c r="A2271" s="42"/>
      <c r="B2271" s="42"/>
      <c r="C2271" s="42"/>
      <c r="D2271" s="42"/>
      <c r="E2271" s="42"/>
      <c r="F2271" s="42"/>
      <c r="G2271" s="42"/>
      <c r="H2271" s="42"/>
      <c r="I2271" s="42"/>
      <c r="J2271" s="42"/>
      <c r="K2271" s="42"/>
      <c r="L2271" s="42"/>
      <c r="M2271" s="42"/>
    </row>
    <row r="2272" spans="1:13" x14ac:dyDescent="0.2">
      <c r="A2272" s="42"/>
      <c r="B2272" s="42"/>
      <c r="C2272" s="42"/>
      <c r="D2272" s="42"/>
      <c r="E2272" s="42"/>
      <c r="F2272" s="42"/>
      <c r="G2272" s="42"/>
      <c r="H2272" s="42"/>
      <c r="I2272" s="42"/>
      <c r="J2272" s="42"/>
      <c r="K2272" s="42"/>
      <c r="L2272" s="42"/>
      <c r="M2272" s="42"/>
    </row>
    <row r="2273" spans="1:13" x14ac:dyDescent="0.2">
      <c r="A2273" s="42"/>
      <c r="B2273" s="42"/>
      <c r="C2273" s="42"/>
      <c r="D2273" s="42"/>
      <c r="E2273" s="42"/>
      <c r="F2273" s="42"/>
      <c r="G2273" s="42"/>
      <c r="H2273" s="42"/>
      <c r="I2273" s="42"/>
      <c r="J2273" s="42"/>
      <c r="K2273" s="42"/>
      <c r="L2273" s="42"/>
      <c r="M2273" s="42"/>
    </row>
    <row r="2274" spans="1:13" x14ac:dyDescent="0.2">
      <c r="A2274" s="42"/>
      <c r="B2274" s="42"/>
      <c r="C2274" s="42"/>
      <c r="D2274" s="42"/>
      <c r="E2274" s="42"/>
      <c r="F2274" s="42"/>
      <c r="G2274" s="42"/>
      <c r="H2274" s="42"/>
      <c r="I2274" s="42"/>
      <c r="J2274" s="42"/>
      <c r="K2274" s="42"/>
      <c r="L2274" s="42"/>
      <c r="M2274" s="42"/>
    </row>
    <row r="2275" spans="1:13" x14ac:dyDescent="0.2">
      <c r="A2275" s="42"/>
      <c r="B2275" s="42"/>
      <c r="C2275" s="42"/>
      <c r="D2275" s="42"/>
      <c r="E2275" s="42"/>
      <c r="F2275" s="42"/>
      <c r="G2275" s="42"/>
      <c r="H2275" s="42"/>
      <c r="I2275" s="42"/>
      <c r="J2275" s="42"/>
      <c r="K2275" s="42"/>
      <c r="L2275" s="42"/>
      <c r="M2275" s="42"/>
    </row>
    <row r="2276" spans="1:13" x14ac:dyDescent="0.2">
      <c r="A2276" s="42"/>
      <c r="B2276" s="42"/>
      <c r="C2276" s="42"/>
      <c r="D2276" s="42"/>
      <c r="E2276" s="42"/>
      <c r="F2276" s="42"/>
      <c r="G2276" s="42"/>
      <c r="H2276" s="42"/>
      <c r="I2276" s="42"/>
      <c r="J2276" s="42"/>
      <c r="K2276" s="42"/>
      <c r="L2276" s="42"/>
      <c r="M2276" s="42"/>
    </row>
    <row r="2277" spans="1:13" x14ac:dyDescent="0.2">
      <c r="A2277" s="42"/>
      <c r="B2277" s="42"/>
      <c r="C2277" s="42"/>
      <c r="D2277" s="42"/>
      <c r="E2277" s="42"/>
      <c r="F2277" s="42"/>
      <c r="G2277" s="42"/>
      <c r="H2277" s="42"/>
      <c r="I2277" s="42"/>
      <c r="J2277" s="42"/>
      <c r="K2277" s="42"/>
      <c r="L2277" s="42"/>
      <c r="M2277" s="42"/>
    </row>
    <row r="2278" spans="1:13" x14ac:dyDescent="0.2">
      <c r="A2278" s="42"/>
      <c r="B2278" s="42"/>
      <c r="C2278" s="42"/>
      <c r="D2278" s="42"/>
      <c r="E2278" s="42"/>
      <c r="F2278" s="42"/>
      <c r="G2278" s="42"/>
      <c r="H2278" s="42"/>
      <c r="I2278" s="42"/>
      <c r="J2278" s="42"/>
      <c r="K2278" s="42"/>
      <c r="L2278" s="42"/>
      <c r="M2278" s="42"/>
    </row>
    <row r="2279" spans="1:13" x14ac:dyDescent="0.2">
      <c r="A2279" s="42"/>
      <c r="B2279" s="42"/>
      <c r="C2279" s="42"/>
      <c r="D2279" s="42"/>
      <c r="E2279" s="42"/>
      <c r="F2279" s="42"/>
      <c r="G2279" s="42"/>
      <c r="H2279" s="42"/>
      <c r="I2279" s="42"/>
      <c r="J2279" s="42"/>
      <c r="K2279" s="42"/>
      <c r="L2279" s="42"/>
      <c r="M2279" s="42"/>
    </row>
    <row r="2280" spans="1:13" x14ac:dyDescent="0.2">
      <c r="A2280" s="42"/>
      <c r="B2280" s="42"/>
      <c r="C2280" s="42"/>
      <c r="D2280" s="42"/>
      <c r="E2280" s="42"/>
      <c r="F2280" s="42"/>
      <c r="G2280" s="42"/>
      <c r="H2280" s="42"/>
      <c r="I2280" s="42"/>
      <c r="J2280" s="42"/>
      <c r="K2280" s="42"/>
      <c r="L2280" s="42"/>
      <c r="M2280" s="42"/>
    </row>
    <row r="2281" spans="1:13" x14ac:dyDescent="0.2">
      <c r="A2281" s="42"/>
      <c r="B2281" s="42"/>
      <c r="C2281" s="42"/>
      <c r="D2281" s="42"/>
      <c r="E2281" s="42"/>
      <c r="F2281" s="42"/>
      <c r="G2281" s="42"/>
      <c r="H2281" s="42"/>
      <c r="I2281" s="42"/>
      <c r="J2281" s="42"/>
      <c r="K2281" s="42"/>
      <c r="L2281" s="42"/>
      <c r="M2281" s="42"/>
    </row>
    <row r="2282" spans="1:13" x14ac:dyDescent="0.2">
      <c r="A2282" s="42"/>
      <c r="B2282" s="42"/>
      <c r="C2282" s="42"/>
      <c r="D2282" s="42"/>
      <c r="E2282" s="42"/>
      <c r="F2282" s="42"/>
      <c r="G2282" s="42"/>
      <c r="H2282" s="42"/>
      <c r="I2282" s="42"/>
      <c r="J2282" s="42"/>
      <c r="K2282" s="42"/>
      <c r="L2282" s="42"/>
      <c r="M2282" s="42"/>
    </row>
    <row r="2283" spans="1:13" x14ac:dyDescent="0.2">
      <c r="A2283" s="42"/>
      <c r="B2283" s="42"/>
      <c r="C2283" s="42"/>
      <c r="D2283" s="42"/>
      <c r="E2283" s="42"/>
      <c r="F2283" s="42"/>
      <c r="G2283" s="42"/>
      <c r="H2283" s="42"/>
      <c r="I2283" s="42"/>
      <c r="J2283" s="42"/>
      <c r="K2283" s="42"/>
      <c r="L2283" s="42"/>
      <c r="M2283" s="42"/>
    </row>
    <row r="2284" spans="1:13" x14ac:dyDescent="0.2">
      <c r="A2284" s="42"/>
      <c r="B2284" s="42"/>
      <c r="C2284" s="42"/>
      <c r="D2284" s="42"/>
      <c r="E2284" s="42"/>
      <c r="F2284" s="42"/>
      <c r="G2284" s="42"/>
      <c r="H2284" s="42"/>
      <c r="I2284" s="42"/>
      <c r="J2284" s="42"/>
      <c r="K2284" s="42"/>
      <c r="L2284" s="42"/>
      <c r="M2284" s="42"/>
    </row>
    <row r="2285" spans="1:13" x14ac:dyDescent="0.2">
      <c r="A2285" s="42"/>
      <c r="B2285" s="42"/>
      <c r="C2285" s="42"/>
      <c r="D2285" s="42"/>
      <c r="E2285" s="42"/>
      <c r="F2285" s="42"/>
      <c r="G2285" s="42"/>
      <c r="H2285" s="42"/>
      <c r="I2285" s="42"/>
      <c r="J2285" s="42"/>
      <c r="K2285" s="42"/>
      <c r="L2285" s="42"/>
      <c r="M2285" s="42"/>
    </row>
    <row r="2286" spans="1:13" x14ac:dyDescent="0.2">
      <c r="A2286" s="42"/>
      <c r="B2286" s="42"/>
      <c r="C2286" s="42"/>
      <c r="D2286" s="42"/>
      <c r="E2286" s="42"/>
      <c r="F2286" s="42"/>
      <c r="G2286" s="42"/>
      <c r="H2286" s="42"/>
      <c r="I2286" s="42"/>
      <c r="J2286" s="42"/>
      <c r="K2286" s="42"/>
      <c r="L2286" s="42"/>
      <c r="M2286" s="42"/>
    </row>
    <row r="2287" spans="1:13" x14ac:dyDescent="0.2">
      <c r="A2287" s="42"/>
      <c r="B2287" s="42"/>
      <c r="C2287" s="42"/>
      <c r="D2287" s="42"/>
      <c r="E2287" s="42"/>
      <c r="F2287" s="42"/>
      <c r="G2287" s="42"/>
      <c r="H2287" s="42"/>
      <c r="I2287" s="42"/>
      <c r="J2287" s="42"/>
      <c r="K2287" s="42"/>
      <c r="L2287" s="42"/>
      <c r="M2287" s="42"/>
    </row>
    <row r="2288" spans="1:13" x14ac:dyDescent="0.2">
      <c r="A2288" s="42"/>
      <c r="B2288" s="42"/>
      <c r="C2288" s="42"/>
      <c r="D2288" s="42"/>
      <c r="E2288" s="42"/>
      <c r="F2288" s="42"/>
      <c r="G2288" s="42"/>
      <c r="H2288" s="42"/>
      <c r="I2288" s="42"/>
      <c r="J2288" s="42"/>
      <c r="K2288" s="42"/>
      <c r="L2288" s="42"/>
      <c r="M2288" s="42"/>
    </row>
    <row r="2289" spans="1:13" x14ac:dyDescent="0.2">
      <c r="A2289" s="42"/>
      <c r="B2289" s="42"/>
      <c r="C2289" s="42"/>
      <c r="D2289" s="42"/>
      <c r="E2289" s="42"/>
      <c r="F2289" s="42"/>
      <c r="G2289" s="42"/>
      <c r="H2289" s="42"/>
      <c r="I2289" s="42"/>
      <c r="J2289" s="42"/>
      <c r="K2289" s="42"/>
      <c r="L2289" s="42"/>
      <c r="M2289" s="42"/>
    </row>
    <row r="2290" spans="1:13" x14ac:dyDescent="0.2">
      <c r="A2290" s="42"/>
      <c r="B2290" s="42"/>
      <c r="C2290" s="42"/>
      <c r="D2290" s="42"/>
      <c r="E2290" s="42"/>
      <c r="F2290" s="42"/>
      <c r="G2290" s="42"/>
      <c r="H2290" s="42"/>
      <c r="I2290" s="42"/>
      <c r="J2290" s="42"/>
      <c r="K2290" s="42"/>
      <c r="L2290" s="42"/>
      <c r="M2290" s="42"/>
    </row>
    <row r="2291" spans="1:13" x14ac:dyDescent="0.2">
      <c r="A2291" s="42"/>
      <c r="B2291" s="42"/>
      <c r="C2291" s="42"/>
      <c r="D2291" s="42"/>
      <c r="E2291" s="42"/>
      <c r="F2291" s="42"/>
      <c r="G2291" s="42"/>
      <c r="H2291" s="42"/>
      <c r="I2291" s="42"/>
      <c r="J2291" s="42"/>
      <c r="K2291" s="42"/>
      <c r="L2291" s="42"/>
      <c r="M2291" s="42"/>
    </row>
    <row r="2292" spans="1:13" x14ac:dyDescent="0.2">
      <c r="A2292" s="42"/>
      <c r="B2292" s="42"/>
      <c r="C2292" s="42"/>
      <c r="D2292" s="42"/>
      <c r="E2292" s="42"/>
      <c r="F2292" s="42"/>
      <c r="G2292" s="42"/>
      <c r="H2292" s="42"/>
      <c r="I2292" s="42"/>
      <c r="J2292" s="42"/>
      <c r="K2292" s="42"/>
      <c r="L2292" s="42"/>
      <c r="M2292" s="42"/>
    </row>
    <row r="2293" spans="1:13" x14ac:dyDescent="0.2">
      <c r="A2293" s="42"/>
      <c r="B2293" s="42"/>
      <c r="C2293" s="42"/>
      <c r="D2293" s="42"/>
      <c r="E2293" s="42"/>
      <c r="F2293" s="42"/>
      <c r="G2293" s="42"/>
      <c r="H2293" s="42"/>
      <c r="I2293" s="42"/>
      <c r="J2293" s="42"/>
      <c r="K2293" s="42"/>
      <c r="L2293" s="42"/>
      <c r="M2293" s="42"/>
    </row>
    <row r="2294" spans="1:13" x14ac:dyDescent="0.2">
      <c r="A2294" s="42"/>
      <c r="B2294" s="42"/>
      <c r="C2294" s="42"/>
      <c r="D2294" s="42"/>
      <c r="E2294" s="42"/>
      <c r="F2294" s="42"/>
      <c r="G2294" s="42"/>
      <c r="H2294" s="42"/>
      <c r="I2294" s="42"/>
      <c r="J2294" s="42"/>
      <c r="K2294" s="42"/>
      <c r="L2294" s="42"/>
      <c r="M2294" s="42"/>
    </row>
    <row r="2295" spans="1:13" x14ac:dyDescent="0.2">
      <c r="A2295" s="42"/>
      <c r="B2295" s="42"/>
      <c r="C2295" s="42"/>
      <c r="D2295" s="42"/>
      <c r="E2295" s="42"/>
      <c r="F2295" s="42"/>
      <c r="G2295" s="42"/>
      <c r="H2295" s="42"/>
      <c r="I2295" s="42"/>
      <c r="J2295" s="42"/>
      <c r="K2295" s="42"/>
      <c r="L2295" s="42"/>
      <c r="M2295" s="42"/>
    </row>
    <row r="2296" spans="1:13" x14ac:dyDescent="0.2">
      <c r="A2296" s="42"/>
      <c r="B2296" s="42"/>
      <c r="C2296" s="42"/>
      <c r="D2296" s="42"/>
      <c r="E2296" s="42"/>
      <c r="F2296" s="42"/>
      <c r="G2296" s="42"/>
      <c r="H2296" s="42"/>
      <c r="I2296" s="42"/>
      <c r="J2296" s="42"/>
      <c r="K2296" s="42"/>
      <c r="L2296" s="42"/>
      <c r="M2296" s="42"/>
    </row>
    <row r="2297" spans="1:13" x14ac:dyDescent="0.2">
      <c r="A2297" s="42"/>
      <c r="B2297" s="42"/>
      <c r="C2297" s="42"/>
      <c r="D2297" s="42"/>
      <c r="E2297" s="42"/>
      <c r="F2297" s="42"/>
      <c r="G2297" s="42"/>
      <c r="H2297" s="42"/>
      <c r="I2297" s="42"/>
      <c r="J2297" s="42"/>
      <c r="K2297" s="42"/>
      <c r="L2297" s="42"/>
      <c r="M2297" s="42"/>
    </row>
    <row r="2298" spans="1:13" x14ac:dyDescent="0.2">
      <c r="A2298" s="42"/>
      <c r="B2298" s="42"/>
      <c r="C2298" s="42"/>
      <c r="D2298" s="42"/>
      <c r="E2298" s="42"/>
      <c r="F2298" s="42"/>
      <c r="G2298" s="42"/>
      <c r="H2298" s="42"/>
      <c r="I2298" s="42"/>
      <c r="J2298" s="42"/>
      <c r="K2298" s="42"/>
      <c r="L2298" s="42"/>
      <c r="M2298" s="42"/>
    </row>
    <row r="2299" spans="1:13" x14ac:dyDescent="0.2">
      <c r="A2299" s="42"/>
      <c r="B2299" s="42"/>
      <c r="C2299" s="42"/>
      <c r="D2299" s="42"/>
      <c r="E2299" s="42"/>
      <c r="F2299" s="42"/>
      <c r="G2299" s="42"/>
      <c r="H2299" s="42"/>
      <c r="I2299" s="42"/>
      <c r="J2299" s="42"/>
      <c r="K2299" s="42"/>
      <c r="L2299" s="42"/>
      <c r="M2299" s="42"/>
    </row>
    <row r="2300" spans="1:13" x14ac:dyDescent="0.2">
      <c r="A2300" s="42"/>
      <c r="B2300" s="42"/>
      <c r="C2300" s="42"/>
      <c r="D2300" s="42"/>
      <c r="E2300" s="42"/>
      <c r="F2300" s="42"/>
      <c r="G2300" s="42"/>
      <c r="H2300" s="42"/>
      <c r="I2300" s="42"/>
      <c r="J2300" s="42"/>
      <c r="K2300" s="42"/>
      <c r="L2300" s="42"/>
      <c r="M2300" s="42"/>
    </row>
    <row r="2301" spans="1:13" x14ac:dyDescent="0.2">
      <c r="A2301" s="42"/>
      <c r="B2301" s="42"/>
      <c r="C2301" s="42"/>
      <c r="D2301" s="42"/>
      <c r="E2301" s="42"/>
      <c r="F2301" s="42"/>
      <c r="G2301" s="42"/>
      <c r="H2301" s="42"/>
      <c r="I2301" s="42"/>
      <c r="J2301" s="42"/>
      <c r="K2301" s="42"/>
      <c r="L2301" s="42"/>
      <c r="M2301" s="42"/>
    </row>
    <row r="2302" spans="1:13" x14ac:dyDescent="0.2">
      <c r="A2302" s="42"/>
      <c r="B2302" s="42"/>
      <c r="C2302" s="42"/>
      <c r="D2302" s="42"/>
      <c r="E2302" s="42"/>
      <c r="F2302" s="42"/>
      <c r="G2302" s="42"/>
      <c r="H2302" s="42"/>
      <c r="I2302" s="42"/>
      <c r="J2302" s="42"/>
      <c r="K2302" s="42"/>
      <c r="L2302" s="42"/>
      <c r="M2302" s="42"/>
    </row>
    <row r="2303" spans="1:13" x14ac:dyDescent="0.2">
      <c r="A2303" s="42"/>
      <c r="B2303" s="42"/>
      <c r="C2303" s="42"/>
      <c r="D2303" s="42"/>
      <c r="E2303" s="42"/>
      <c r="F2303" s="42"/>
      <c r="G2303" s="42"/>
      <c r="H2303" s="42"/>
      <c r="I2303" s="42"/>
      <c r="J2303" s="42"/>
      <c r="K2303" s="42"/>
      <c r="L2303" s="42"/>
      <c r="M2303" s="42"/>
    </row>
    <row r="2304" spans="1:13" x14ac:dyDescent="0.2">
      <c r="A2304" s="42"/>
      <c r="B2304" s="42"/>
      <c r="C2304" s="42"/>
      <c r="D2304" s="42"/>
      <c r="E2304" s="42"/>
      <c r="F2304" s="42"/>
      <c r="G2304" s="42"/>
      <c r="H2304" s="42"/>
      <c r="I2304" s="42"/>
      <c r="J2304" s="42"/>
      <c r="K2304" s="42"/>
      <c r="L2304" s="42"/>
      <c r="M2304" s="42"/>
    </row>
    <row r="2305" spans="1:13" x14ac:dyDescent="0.2">
      <c r="A2305" s="42"/>
      <c r="B2305" s="42"/>
      <c r="C2305" s="42"/>
      <c r="D2305" s="42"/>
      <c r="E2305" s="42"/>
      <c r="F2305" s="42"/>
      <c r="G2305" s="42"/>
      <c r="H2305" s="42"/>
      <c r="I2305" s="42"/>
      <c r="J2305" s="42"/>
      <c r="K2305" s="42"/>
      <c r="L2305" s="42"/>
      <c r="M2305" s="42"/>
    </row>
    <row r="2306" spans="1:13" x14ac:dyDescent="0.2">
      <c r="A2306" s="42"/>
      <c r="B2306" s="42"/>
      <c r="C2306" s="42"/>
      <c r="D2306" s="42"/>
      <c r="E2306" s="42"/>
      <c r="F2306" s="42"/>
      <c r="G2306" s="42"/>
      <c r="H2306" s="42"/>
      <c r="I2306" s="42"/>
      <c r="J2306" s="42"/>
      <c r="K2306" s="42"/>
      <c r="L2306" s="42"/>
      <c r="M2306" s="42"/>
    </row>
    <row r="2307" spans="1:13" x14ac:dyDescent="0.2">
      <c r="A2307" s="42"/>
      <c r="B2307" s="42"/>
      <c r="C2307" s="42"/>
      <c r="D2307" s="42"/>
      <c r="E2307" s="42"/>
      <c r="F2307" s="42"/>
      <c r="G2307" s="42"/>
      <c r="H2307" s="42"/>
      <c r="I2307" s="42"/>
      <c r="J2307" s="42"/>
      <c r="K2307" s="42"/>
      <c r="L2307" s="42"/>
      <c r="M2307" s="42"/>
    </row>
    <row r="2308" spans="1:13" x14ac:dyDescent="0.2">
      <c r="A2308" s="42"/>
      <c r="B2308" s="42"/>
      <c r="C2308" s="42"/>
      <c r="D2308" s="42"/>
      <c r="E2308" s="42"/>
      <c r="F2308" s="42"/>
      <c r="G2308" s="42"/>
      <c r="H2308" s="42"/>
      <c r="I2308" s="42"/>
      <c r="J2308" s="42"/>
      <c r="K2308" s="42"/>
      <c r="L2308" s="42"/>
      <c r="M2308" s="42"/>
    </row>
    <row r="2309" spans="1:13" x14ac:dyDescent="0.2">
      <c r="A2309" s="42"/>
      <c r="B2309" s="42"/>
      <c r="C2309" s="42"/>
      <c r="D2309" s="42"/>
      <c r="E2309" s="42"/>
      <c r="F2309" s="42"/>
      <c r="G2309" s="42"/>
      <c r="H2309" s="42"/>
      <c r="I2309" s="42"/>
      <c r="J2309" s="42"/>
      <c r="K2309" s="42"/>
      <c r="L2309" s="42"/>
      <c r="M2309" s="42"/>
    </row>
    <row r="2310" spans="1:13" x14ac:dyDescent="0.2">
      <c r="A2310" s="42"/>
      <c r="B2310" s="42"/>
      <c r="C2310" s="42"/>
      <c r="D2310" s="42"/>
      <c r="E2310" s="42"/>
      <c r="F2310" s="42"/>
      <c r="G2310" s="42"/>
      <c r="H2310" s="42"/>
      <c r="I2310" s="42"/>
      <c r="J2310" s="42"/>
      <c r="K2310" s="42"/>
      <c r="L2310" s="42"/>
      <c r="M2310" s="42"/>
    </row>
    <row r="2311" spans="1:13" x14ac:dyDescent="0.2">
      <c r="A2311" s="42"/>
      <c r="B2311" s="42"/>
      <c r="C2311" s="42"/>
      <c r="D2311" s="42"/>
      <c r="E2311" s="42"/>
      <c r="F2311" s="42"/>
      <c r="G2311" s="42"/>
      <c r="H2311" s="42"/>
      <c r="I2311" s="42"/>
      <c r="J2311" s="42"/>
      <c r="K2311" s="42"/>
      <c r="L2311" s="42"/>
      <c r="M2311" s="42"/>
    </row>
    <row r="2312" spans="1:13" x14ac:dyDescent="0.2">
      <c r="A2312" s="42"/>
      <c r="B2312" s="42"/>
      <c r="C2312" s="42"/>
      <c r="D2312" s="42"/>
      <c r="E2312" s="42"/>
      <c r="F2312" s="42"/>
      <c r="G2312" s="42"/>
      <c r="H2312" s="42"/>
      <c r="I2312" s="42"/>
      <c r="J2312" s="42"/>
      <c r="K2312" s="42"/>
      <c r="L2312" s="42"/>
      <c r="M2312" s="42"/>
    </row>
    <row r="2313" spans="1:13" x14ac:dyDescent="0.2">
      <c r="A2313" s="42"/>
      <c r="B2313" s="42"/>
      <c r="C2313" s="42"/>
      <c r="D2313" s="42"/>
      <c r="E2313" s="42"/>
      <c r="F2313" s="42"/>
      <c r="G2313" s="42"/>
      <c r="H2313" s="42"/>
      <c r="I2313" s="42"/>
      <c r="J2313" s="42"/>
      <c r="K2313" s="42"/>
      <c r="L2313" s="42"/>
      <c r="M2313" s="42"/>
    </row>
    <row r="2314" spans="1:13" x14ac:dyDescent="0.2">
      <c r="A2314" s="42"/>
      <c r="B2314" s="42"/>
      <c r="C2314" s="42"/>
      <c r="D2314" s="42"/>
      <c r="E2314" s="42"/>
      <c r="F2314" s="42"/>
      <c r="G2314" s="42"/>
      <c r="H2314" s="42"/>
      <c r="I2314" s="42"/>
      <c r="J2314" s="42"/>
      <c r="K2314" s="42"/>
      <c r="L2314" s="42"/>
      <c r="M2314" s="42"/>
    </row>
    <row r="2315" spans="1:13" x14ac:dyDescent="0.2">
      <c r="A2315" s="42"/>
      <c r="B2315" s="42"/>
      <c r="C2315" s="42"/>
      <c r="D2315" s="42"/>
      <c r="E2315" s="42"/>
      <c r="F2315" s="42"/>
      <c r="G2315" s="42"/>
      <c r="H2315" s="42"/>
      <c r="I2315" s="42"/>
      <c r="J2315" s="42"/>
      <c r="K2315" s="42"/>
      <c r="L2315" s="42"/>
      <c r="M2315" s="42"/>
    </row>
    <row r="2316" spans="1:13" x14ac:dyDescent="0.2">
      <c r="A2316" s="42"/>
      <c r="B2316" s="42"/>
      <c r="C2316" s="42"/>
      <c r="D2316" s="42"/>
      <c r="E2316" s="42"/>
      <c r="F2316" s="42"/>
      <c r="G2316" s="42"/>
      <c r="H2316" s="42"/>
      <c r="I2316" s="42"/>
      <c r="J2316" s="42"/>
      <c r="K2316" s="42"/>
      <c r="L2316" s="42"/>
      <c r="M2316" s="42"/>
    </row>
    <row r="2317" spans="1:13" x14ac:dyDescent="0.2">
      <c r="A2317" s="42"/>
      <c r="B2317" s="42"/>
      <c r="C2317" s="42"/>
      <c r="D2317" s="42"/>
      <c r="E2317" s="42"/>
      <c r="F2317" s="42"/>
      <c r="G2317" s="42"/>
      <c r="H2317" s="42"/>
      <c r="I2317" s="42"/>
      <c r="J2317" s="42"/>
      <c r="K2317" s="42"/>
      <c r="L2317" s="42"/>
      <c r="M2317" s="42"/>
    </row>
    <row r="2318" spans="1:13" x14ac:dyDescent="0.2">
      <c r="A2318" s="42"/>
      <c r="B2318" s="42"/>
      <c r="C2318" s="42"/>
      <c r="D2318" s="42"/>
      <c r="E2318" s="42"/>
      <c r="F2318" s="42"/>
      <c r="G2318" s="42"/>
      <c r="H2318" s="42"/>
      <c r="I2318" s="42"/>
      <c r="J2318" s="42"/>
      <c r="K2318" s="42"/>
      <c r="L2318" s="42"/>
      <c r="M2318" s="42"/>
    </row>
    <row r="2319" spans="1:13" x14ac:dyDescent="0.2">
      <c r="A2319" s="42"/>
      <c r="B2319" s="42"/>
      <c r="C2319" s="42"/>
      <c r="D2319" s="42"/>
      <c r="E2319" s="42"/>
      <c r="F2319" s="42"/>
      <c r="G2319" s="42"/>
      <c r="H2319" s="42"/>
      <c r="I2319" s="42"/>
      <c r="J2319" s="42"/>
      <c r="K2319" s="42"/>
      <c r="L2319" s="42"/>
      <c r="M2319" s="42"/>
    </row>
    <row r="2320" spans="1:13" x14ac:dyDescent="0.2">
      <c r="A2320" s="42"/>
      <c r="B2320" s="42"/>
      <c r="C2320" s="42"/>
      <c r="D2320" s="42"/>
      <c r="E2320" s="42"/>
      <c r="F2320" s="42"/>
      <c r="G2320" s="42"/>
      <c r="H2320" s="42"/>
      <c r="I2320" s="42"/>
      <c r="J2320" s="42"/>
      <c r="K2320" s="42"/>
      <c r="L2320" s="42"/>
      <c r="M2320" s="42"/>
    </row>
    <row r="2321" spans="1:13" x14ac:dyDescent="0.2">
      <c r="A2321" s="42"/>
      <c r="B2321" s="42"/>
      <c r="C2321" s="42"/>
      <c r="D2321" s="42"/>
      <c r="E2321" s="42"/>
      <c r="F2321" s="42"/>
      <c r="G2321" s="42"/>
      <c r="H2321" s="42"/>
      <c r="I2321" s="42"/>
      <c r="J2321" s="42"/>
      <c r="K2321" s="42"/>
      <c r="L2321" s="42"/>
      <c r="M2321" s="42"/>
    </row>
    <row r="2322" spans="1:13" x14ac:dyDescent="0.2">
      <c r="A2322" s="42"/>
      <c r="B2322" s="42"/>
      <c r="C2322" s="42"/>
      <c r="D2322" s="42"/>
      <c r="E2322" s="42"/>
      <c r="F2322" s="42"/>
      <c r="G2322" s="42"/>
      <c r="H2322" s="42"/>
      <c r="I2322" s="42"/>
      <c r="J2322" s="42"/>
      <c r="K2322" s="42"/>
      <c r="L2322" s="42"/>
      <c r="M2322" s="42"/>
    </row>
    <row r="2323" spans="1:13" x14ac:dyDescent="0.2">
      <c r="A2323" s="42"/>
      <c r="B2323" s="42"/>
      <c r="C2323" s="42"/>
      <c r="D2323" s="42"/>
      <c r="E2323" s="42"/>
      <c r="F2323" s="42"/>
      <c r="G2323" s="42"/>
      <c r="H2323" s="42"/>
      <c r="I2323" s="42"/>
      <c r="J2323" s="42"/>
      <c r="K2323" s="42"/>
      <c r="L2323" s="42"/>
      <c r="M2323" s="42"/>
    </row>
    <row r="2324" spans="1:13" x14ac:dyDescent="0.2">
      <c r="A2324" s="42"/>
      <c r="B2324" s="42"/>
      <c r="C2324" s="42"/>
      <c r="D2324" s="42"/>
      <c r="E2324" s="42"/>
      <c r="F2324" s="42"/>
      <c r="G2324" s="42"/>
      <c r="H2324" s="42"/>
      <c r="I2324" s="42"/>
      <c r="J2324" s="42"/>
      <c r="K2324" s="42"/>
      <c r="L2324" s="42"/>
      <c r="M2324" s="42"/>
    </row>
    <row r="2325" spans="1:13" x14ac:dyDescent="0.2">
      <c r="A2325" s="42"/>
      <c r="B2325" s="42"/>
      <c r="C2325" s="42"/>
      <c r="D2325" s="42"/>
      <c r="E2325" s="42"/>
      <c r="F2325" s="42"/>
      <c r="G2325" s="42"/>
      <c r="H2325" s="42"/>
      <c r="I2325" s="42"/>
      <c r="J2325" s="42"/>
      <c r="K2325" s="42"/>
      <c r="L2325" s="42"/>
      <c r="M2325" s="42"/>
    </row>
    <row r="2326" spans="1:13" x14ac:dyDescent="0.2">
      <c r="A2326" s="42"/>
      <c r="B2326" s="42"/>
      <c r="C2326" s="42"/>
      <c r="D2326" s="42"/>
      <c r="E2326" s="42"/>
      <c r="F2326" s="42"/>
      <c r="G2326" s="42"/>
      <c r="H2326" s="42"/>
      <c r="I2326" s="42"/>
      <c r="J2326" s="42"/>
      <c r="K2326" s="42"/>
      <c r="L2326" s="42"/>
      <c r="M2326" s="42"/>
    </row>
    <row r="2327" spans="1:13" x14ac:dyDescent="0.2">
      <c r="A2327" s="42"/>
      <c r="B2327" s="42"/>
      <c r="C2327" s="42"/>
      <c r="D2327" s="42"/>
      <c r="E2327" s="42"/>
      <c r="F2327" s="42"/>
      <c r="G2327" s="42"/>
      <c r="H2327" s="42"/>
      <c r="I2327" s="42"/>
      <c r="J2327" s="42"/>
      <c r="K2327" s="42"/>
      <c r="L2327" s="42"/>
      <c r="M2327" s="42"/>
    </row>
    <row r="2328" spans="1:13" x14ac:dyDescent="0.2">
      <c r="A2328" s="42"/>
      <c r="B2328" s="42"/>
      <c r="C2328" s="42"/>
      <c r="D2328" s="42"/>
      <c r="E2328" s="42"/>
      <c r="F2328" s="42"/>
      <c r="G2328" s="42"/>
      <c r="H2328" s="42"/>
      <c r="I2328" s="42"/>
      <c r="J2328" s="42"/>
      <c r="K2328" s="42"/>
      <c r="L2328" s="42"/>
      <c r="M2328" s="42"/>
    </row>
    <row r="2329" spans="1:13" x14ac:dyDescent="0.2">
      <c r="A2329" s="42"/>
      <c r="B2329" s="42"/>
      <c r="C2329" s="42"/>
      <c r="D2329" s="42"/>
      <c r="E2329" s="42"/>
      <c r="F2329" s="42"/>
      <c r="G2329" s="42"/>
      <c r="H2329" s="42"/>
      <c r="I2329" s="42"/>
      <c r="J2329" s="42"/>
      <c r="K2329" s="42"/>
      <c r="L2329" s="42"/>
      <c r="M2329" s="42"/>
    </row>
    <row r="2330" spans="1:13" x14ac:dyDescent="0.2">
      <c r="A2330" s="42"/>
      <c r="B2330" s="42"/>
      <c r="C2330" s="42"/>
      <c r="D2330" s="42"/>
      <c r="E2330" s="42"/>
      <c r="F2330" s="42"/>
      <c r="G2330" s="42"/>
      <c r="H2330" s="42"/>
      <c r="I2330" s="42"/>
      <c r="J2330" s="42"/>
      <c r="K2330" s="42"/>
      <c r="L2330" s="42"/>
      <c r="M2330" s="42"/>
    </row>
    <row r="2331" spans="1:13" x14ac:dyDescent="0.2">
      <c r="A2331" s="42"/>
      <c r="B2331" s="42"/>
      <c r="C2331" s="42"/>
      <c r="D2331" s="42"/>
      <c r="E2331" s="42"/>
      <c r="F2331" s="42"/>
      <c r="G2331" s="42"/>
      <c r="H2331" s="42"/>
      <c r="I2331" s="42"/>
      <c r="J2331" s="42"/>
      <c r="K2331" s="42"/>
      <c r="L2331" s="42"/>
      <c r="M2331" s="42"/>
    </row>
    <row r="2332" spans="1:13" x14ac:dyDescent="0.2">
      <c r="A2332" s="42"/>
      <c r="B2332" s="42"/>
      <c r="C2332" s="42"/>
      <c r="D2332" s="42"/>
      <c r="E2332" s="42"/>
      <c r="F2332" s="42"/>
      <c r="G2332" s="42"/>
      <c r="H2332" s="42"/>
      <c r="I2332" s="42"/>
      <c r="J2332" s="42"/>
      <c r="K2332" s="42"/>
      <c r="L2332" s="42"/>
      <c r="M2332" s="42"/>
    </row>
    <row r="2333" spans="1:13" x14ac:dyDescent="0.2">
      <c r="A2333" s="42"/>
      <c r="B2333" s="42"/>
      <c r="C2333" s="42"/>
      <c r="D2333" s="42"/>
      <c r="E2333" s="42"/>
      <c r="F2333" s="42"/>
      <c r="G2333" s="42"/>
      <c r="H2333" s="42"/>
      <c r="I2333" s="42"/>
      <c r="J2333" s="42"/>
      <c r="K2333" s="42"/>
      <c r="L2333" s="42"/>
      <c r="M2333" s="42"/>
    </row>
    <row r="2334" spans="1:13" x14ac:dyDescent="0.2">
      <c r="A2334" s="42"/>
      <c r="B2334" s="42"/>
      <c r="C2334" s="42"/>
      <c r="D2334" s="42"/>
      <c r="E2334" s="42"/>
      <c r="F2334" s="42"/>
      <c r="G2334" s="42"/>
      <c r="H2334" s="42"/>
      <c r="I2334" s="42"/>
      <c r="J2334" s="42"/>
      <c r="K2334" s="42"/>
      <c r="L2334" s="42"/>
      <c r="M2334" s="42"/>
    </row>
    <row r="2335" spans="1:13" x14ac:dyDescent="0.2">
      <c r="A2335" s="42"/>
      <c r="B2335" s="42"/>
      <c r="C2335" s="42"/>
      <c r="D2335" s="42"/>
      <c r="E2335" s="42"/>
      <c r="F2335" s="42"/>
      <c r="G2335" s="42"/>
      <c r="H2335" s="42"/>
      <c r="I2335" s="42"/>
      <c r="J2335" s="42"/>
      <c r="K2335" s="42"/>
      <c r="L2335" s="42"/>
      <c r="M2335" s="42"/>
    </row>
    <row r="2336" spans="1:13" x14ac:dyDescent="0.2">
      <c r="A2336" s="42"/>
      <c r="B2336" s="42"/>
      <c r="C2336" s="42"/>
      <c r="D2336" s="42"/>
      <c r="E2336" s="42"/>
      <c r="F2336" s="42"/>
      <c r="G2336" s="42"/>
      <c r="H2336" s="42"/>
      <c r="I2336" s="42"/>
      <c r="J2336" s="42"/>
      <c r="K2336" s="42"/>
      <c r="L2336" s="42"/>
      <c r="M2336" s="42"/>
    </row>
    <row r="2337" spans="1:13" x14ac:dyDescent="0.2">
      <c r="A2337" s="42"/>
      <c r="B2337" s="42"/>
      <c r="C2337" s="42"/>
      <c r="D2337" s="42"/>
      <c r="E2337" s="42"/>
      <c r="F2337" s="42"/>
      <c r="G2337" s="42"/>
      <c r="H2337" s="42"/>
      <c r="I2337" s="42"/>
      <c r="J2337" s="42"/>
      <c r="K2337" s="42"/>
      <c r="L2337" s="42"/>
      <c r="M2337" s="42"/>
    </row>
    <row r="2338" spans="1:13" x14ac:dyDescent="0.2">
      <c r="A2338" s="42"/>
      <c r="B2338" s="42"/>
      <c r="C2338" s="42"/>
      <c r="D2338" s="42"/>
      <c r="E2338" s="42"/>
      <c r="F2338" s="42"/>
      <c r="G2338" s="42"/>
      <c r="H2338" s="42"/>
      <c r="I2338" s="42"/>
      <c r="J2338" s="42"/>
      <c r="K2338" s="42"/>
      <c r="L2338" s="42"/>
      <c r="M2338" s="42"/>
    </row>
    <row r="2339" spans="1:13" x14ac:dyDescent="0.2">
      <c r="A2339" s="42"/>
      <c r="B2339" s="42"/>
      <c r="C2339" s="42"/>
      <c r="D2339" s="42"/>
      <c r="E2339" s="42"/>
      <c r="F2339" s="42"/>
      <c r="G2339" s="42"/>
      <c r="H2339" s="42"/>
      <c r="I2339" s="42"/>
      <c r="J2339" s="42"/>
      <c r="K2339" s="42"/>
      <c r="L2339" s="42"/>
      <c r="M2339" s="42"/>
    </row>
    <row r="2340" spans="1:13" x14ac:dyDescent="0.2">
      <c r="A2340" s="42"/>
      <c r="B2340" s="42"/>
      <c r="C2340" s="42"/>
      <c r="D2340" s="42"/>
      <c r="E2340" s="42"/>
      <c r="F2340" s="42"/>
      <c r="G2340" s="42"/>
      <c r="H2340" s="42"/>
      <c r="I2340" s="42"/>
      <c r="J2340" s="42"/>
      <c r="K2340" s="42"/>
      <c r="L2340" s="42"/>
      <c r="M2340" s="42"/>
    </row>
    <row r="2341" spans="1:13" x14ac:dyDescent="0.2">
      <c r="A2341" s="42"/>
      <c r="B2341" s="42"/>
      <c r="C2341" s="42"/>
      <c r="D2341" s="42"/>
      <c r="E2341" s="42"/>
      <c r="F2341" s="42"/>
      <c r="G2341" s="42"/>
      <c r="H2341" s="42"/>
      <c r="I2341" s="42"/>
      <c r="J2341" s="42"/>
      <c r="K2341" s="42"/>
      <c r="L2341" s="42"/>
      <c r="M2341" s="42"/>
    </row>
    <row r="2342" spans="1:13" x14ac:dyDescent="0.2">
      <c r="A2342" s="42"/>
      <c r="B2342" s="42"/>
      <c r="C2342" s="42"/>
      <c r="D2342" s="42"/>
      <c r="E2342" s="42"/>
      <c r="F2342" s="42"/>
      <c r="G2342" s="42"/>
      <c r="H2342" s="42"/>
      <c r="I2342" s="42"/>
      <c r="J2342" s="42"/>
      <c r="K2342" s="42"/>
      <c r="L2342" s="42"/>
      <c r="M2342" s="42"/>
    </row>
    <row r="2343" spans="1:13" x14ac:dyDescent="0.2">
      <c r="A2343" s="42"/>
      <c r="B2343" s="42"/>
      <c r="C2343" s="42"/>
      <c r="D2343" s="42"/>
      <c r="E2343" s="42"/>
      <c r="F2343" s="42"/>
      <c r="G2343" s="42"/>
      <c r="H2343" s="42"/>
      <c r="I2343" s="42"/>
      <c r="J2343" s="42"/>
      <c r="K2343" s="42"/>
      <c r="L2343" s="42"/>
      <c r="M2343" s="42"/>
    </row>
    <row r="2344" spans="1:13" x14ac:dyDescent="0.2">
      <c r="A2344" s="42"/>
      <c r="B2344" s="42"/>
      <c r="C2344" s="42"/>
      <c r="D2344" s="42"/>
      <c r="E2344" s="42"/>
      <c r="F2344" s="42"/>
      <c r="G2344" s="42"/>
      <c r="H2344" s="42"/>
      <c r="I2344" s="42"/>
      <c r="J2344" s="42"/>
      <c r="K2344" s="42"/>
      <c r="L2344" s="42"/>
      <c r="M2344" s="42"/>
    </row>
    <row r="2345" spans="1:13" x14ac:dyDescent="0.2">
      <c r="A2345" s="42"/>
      <c r="B2345" s="42"/>
      <c r="C2345" s="42"/>
      <c r="D2345" s="42"/>
      <c r="E2345" s="42"/>
      <c r="F2345" s="42"/>
      <c r="G2345" s="42"/>
      <c r="H2345" s="42"/>
      <c r="I2345" s="42"/>
      <c r="J2345" s="42"/>
      <c r="K2345" s="42"/>
      <c r="L2345" s="42"/>
      <c r="M2345" s="42"/>
    </row>
    <row r="2346" spans="1:13" x14ac:dyDescent="0.2">
      <c r="A2346" s="42"/>
      <c r="B2346" s="42"/>
      <c r="C2346" s="42"/>
      <c r="D2346" s="42"/>
      <c r="E2346" s="42"/>
      <c r="F2346" s="42"/>
      <c r="G2346" s="42"/>
      <c r="H2346" s="42"/>
      <c r="I2346" s="42"/>
      <c r="J2346" s="42"/>
      <c r="K2346" s="42"/>
      <c r="L2346" s="42"/>
      <c r="M2346" s="42"/>
    </row>
    <row r="2347" spans="1:13" x14ac:dyDescent="0.2">
      <c r="A2347" s="42"/>
      <c r="B2347" s="42"/>
      <c r="C2347" s="42"/>
      <c r="D2347" s="42"/>
      <c r="E2347" s="42"/>
      <c r="F2347" s="42"/>
      <c r="G2347" s="42"/>
      <c r="H2347" s="42"/>
      <c r="I2347" s="42"/>
      <c r="J2347" s="42"/>
      <c r="K2347" s="42"/>
      <c r="L2347" s="42"/>
      <c r="M2347" s="42"/>
    </row>
    <row r="2348" spans="1:13" x14ac:dyDescent="0.2">
      <c r="A2348" s="42"/>
      <c r="B2348" s="42"/>
      <c r="C2348" s="42"/>
      <c r="D2348" s="42"/>
      <c r="E2348" s="42"/>
      <c r="F2348" s="42"/>
      <c r="G2348" s="42"/>
      <c r="H2348" s="42"/>
      <c r="I2348" s="42"/>
      <c r="J2348" s="42"/>
      <c r="K2348" s="42"/>
      <c r="L2348" s="42"/>
      <c r="M2348" s="42"/>
    </row>
    <row r="2349" spans="1:13" x14ac:dyDescent="0.2">
      <c r="A2349" s="42"/>
      <c r="B2349" s="42"/>
      <c r="C2349" s="42"/>
      <c r="D2349" s="42"/>
      <c r="E2349" s="42"/>
      <c r="F2349" s="42"/>
      <c r="G2349" s="42"/>
      <c r="H2349" s="42"/>
      <c r="I2349" s="42"/>
      <c r="J2349" s="42"/>
      <c r="K2349" s="42"/>
      <c r="L2349" s="42"/>
      <c r="M2349" s="42"/>
    </row>
    <row r="2350" spans="1:13" x14ac:dyDescent="0.2">
      <c r="A2350" s="42"/>
      <c r="B2350" s="42"/>
      <c r="C2350" s="42"/>
      <c r="D2350" s="42"/>
      <c r="E2350" s="42"/>
      <c r="F2350" s="42"/>
      <c r="G2350" s="42"/>
      <c r="H2350" s="42"/>
      <c r="I2350" s="42"/>
      <c r="J2350" s="42"/>
      <c r="K2350" s="42"/>
      <c r="L2350" s="42"/>
      <c r="M2350" s="42"/>
    </row>
    <row r="2351" spans="1:13" x14ac:dyDescent="0.2">
      <c r="A2351" s="42"/>
      <c r="B2351" s="42"/>
      <c r="C2351" s="42"/>
      <c r="D2351" s="42"/>
      <c r="E2351" s="42"/>
      <c r="F2351" s="42"/>
      <c r="G2351" s="42"/>
      <c r="H2351" s="42"/>
      <c r="I2351" s="42"/>
      <c r="J2351" s="42"/>
      <c r="K2351" s="42"/>
      <c r="L2351" s="42"/>
      <c r="M2351" s="42"/>
    </row>
    <row r="2352" spans="1:13" x14ac:dyDescent="0.2">
      <c r="A2352" s="42"/>
      <c r="B2352" s="42"/>
      <c r="C2352" s="42"/>
      <c r="D2352" s="42"/>
      <c r="E2352" s="42"/>
      <c r="F2352" s="42"/>
      <c r="G2352" s="42"/>
      <c r="H2352" s="42"/>
      <c r="I2352" s="42"/>
      <c r="J2352" s="42"/>
      <c r="K2352" s="42"/>
      <c r="L2352" s="42"/>
      <c r="M2352" s="42"/>
    </row>
    <row r="2353" spans="1:13" x14ac:dyDescent="0.2">
      <c r="A2353" s="42"/>
      <c r="B2353" s="42"/>
      <c r="C2353" s="42"/>
      <c r="D2353" s="42"/>
      <c r="E2353" s="42"/>
      <c r="F2353" s="42"/>
      <c r="G2353" s="42"/>
      <c r="H2353" s="42"/>
      <c r="I2353" s="42"/>
      <c r="J2353" s="42"/>
      <c r="K2353" s="42"/>
      <c r="L2353" s="42"/>
      <c r="M2353" s="42"/>
    </row>
    <row r="2354" spans="1:13" x14ac:dyDescent="0.2">
      <c r="A2354" s="42"/>
      <c r="B2354" s="42"/>
      <c r="C2354" s="42"/>
      <c r="D2354" s="42"/>
      <c r="E2354" s="42"/>
      <c r="F2354" s="42"/>
      <c r="G2354" s="42"/>
      <c r="H2354" s="42"/>
      <c r="I2354" s="42"/>
      <c r="J2354" s="42"/>
      <c r="K2354" s="42"/>
      <c r="L2354" s="42"/>
      <c r="M2354" s="42"/>
    </row>
    <row r="2355" spans="1:13" x14ac:dyDescent="0.2">
      <c r="A2355" s="42"/>
      <c r="B2355" s="42"/>
      <c r="C2355" s="42"/>
      <c r="D2355" s="42"/>
      <c r="E2355" s="42"/>
      <c r="F2355" s="42"/>
      <c r="G2355" s="42"/>
      <c r="H2355" s="42"/>
      <c r="I2355" s="42"/>
      <c r="J2355" s="42"/>
      <c r="K2355" s="42"/>
      <c r="L2355" s="42"/>
      <c r="M2355" s="42"/>
    </row>
    <row r="2356" spans="1:13" x14ac:dyDescent="0.2">
      <c r="A2356" s="42"/>
      <c r="B2356" s="42"/>
      <c r="C2356" s="42"/>
      <c r="D2356" s="42"/>
      <c r="E2356" s="42"/>
      <c r="F2356" s="42"/>
      <c r="G2356" s="42"/>
      <c r="H2356" s="42"/>
      <c r="I2356" s="42"/>
      <c r="J2356" s="42"/>
      <c r="K2356" s="42"/>
      <c r="L2356" s="42"/>
      <c r="M2356" s="42"/>
    </row>
    <row r="2357" spans="1:13" x14ac:dyDescent="0.2">
      <c r="A2357" s="42"/>
      <c r="B2357" s="42"/>
      <c r="C2357" s="42"/>
      <c r="D2357" s="42"/>
      <c r="E2357" s="42"/>
      <c r="F2357" s="42"/>
      <c r="G2357" s="42"/>
      <c r="H2357" s="42"/>
      <c r="I2357" s="42"/>
      <c r="J2357" s="42"/>
      <c r="K2357" s="42"/>
      <c r="L2357" s="42"/>
      <c r="M2357" s="42"/>
    </row>
    <row r="2358" spans="1:13" x14ac:dyDescent="0.2">
      <c r="A2358" s="42"/>
      <c r="B2358" s="42"/>
      <c r="C2358" s="42"/>
      <c r="D2358" s="42"/>
      <c r="E2358" s="42"/>
      <c r="F2358" s="42"/>
      <c r="G2358" s="42"/>
      <c r="H2358" s="42"/>
      <c r="I2358" s="42"/>
      <c r="J2358" s="42"/>
      <c r="K2358" s="42"/>
      <c r="L2358" s="42"/>
      <c r="M2358" s="42"/>
    </row>
    <row r="2359" spans="1:13" x14ac:dyDescent="0.2">
      <c r="A2359" s="42"/>
      <c r="B2359" s="42"/>
      <c r="C2359" s="42"/>
      <c r="D2359" s="42"/>
      <c r="E2359" s="42"/>
      <c r="F2359" s="42"/>
      <c r="G2359" s="42"/>
      <c r="H2359" s="42"/>
      <c r="I2359" s="42"/>
      <c r="J2359" s="42"/>
      <c r="K2359" s="42"/>
      <c r="L2359" s="42"/>
      <c r="M2359" s="42"/>
    </row>
    <row r="2360" spans="1:13" x14ac:dyDescent="0.2">
      <c r="A2360" s="42"/>
      <c r="B2360" s="42"/>
      <c r="C2360" s="42"/>
      <c r="D2360" s="42"/>
      <c r="E2360" s="42"/>
      <c r="F2360" s="42"/>
      <c r="G2360" s="42"/>
      <c r="H2360" s="42"/>
      <c r="I2360" s="42"/>
      <c r="J2360" s="42"/>
      <c r="K2360" s="42"/>
      <c r="L2360" s="42"/>
      <c r="M2360" s="42"/>
    </row>
    <row r="2361" spans="1:13" x14ac:dyDescent="0.2">
      <c r="A2361" s="42"/>
      <c r="B2361" s="42"/>
      <c r="C2361" s="42"/>
      <c r="D2361" s="42"/>
      <c r="E2361" s="42"/>
      <c r="F2361" s="42"/>
      <c r="G2361" s="42"/>
      <c r="H2361" s="42"/>
      <c r="I2361" s="42"/>
      <c r="J2361" s="42"/>
      <c r="K2361" s="42"/>
      <c r="L2361" s="42"/>
      <c r="M2361" s="42"/>
    </row>
    <row r="2362" spans="1:13" x14ac:dyDescent="0.2">
      <c r="A2362" s="42"/>
      <c r="B2362" s="42"/>
      <c r="C2362" s="42"/>
      <c r="D2362" s="42"/>
      <c r="E2362" s="42"/>
      <c r="F2362" s="42"/>
      <c r="G2362" s="42"/>
      <c r="H2362" s="42"/>
      <c r="I2362" s="42"/>
      <c r="J2362" s="42"/>
      <c r="K2362" s="42"/>
      <c r="L2362" s="42"/>
      <c r="M2362" s="42"/>
    </row>
    <row r="2363" spans="1:13" x14ac:dyDescent="0.2">
      <c r="A2363" s="42"/>
      <c r="B2363" s="42"/>
      <c r="C2363" s="42"/>
      <c r="D2363" s="42"/>
      <c r="E2363" s="42"/>
      <c r="F2363" s="42"/>
      <c r="G2363" s="42"/>
      <c r="H2363" s="42"/>
      <c r="I2363" s="42"/>
      <c r="J2363" s="42"/>
      <c r="K2363" s="42"/>
      <c r="L2363" s="42"/>
      <c r="M2363" s="42"/>
    </row>
    <row r="2364" spans="1:13" x14ac:dyDescent="0.2">
      <c r="A2364" s="42"/>
      <c r="B2364" s="42"/>
      <c r="C2364" s="42"/>
      <c r="D2364" s="42"/>
      <c r="E2364" s="42"/>
      <c r="F2364" s="42"/>
      <c r="G2364" s="42"/>
      <c r="H2364" s="42"/>
      <c r="I2364" s="42"/>
      <c r="J2364" s="42"/>
      <c r="K2364" s="42"/>
      <c r="L2364" s="42"/>
      <c r="M2364" s="42"/>
    </row>
    <row r="2365" spans="1:13" x14ac:dyDescent="0.2">
      <c r="A2365" s="42"/>
      <c r="B2365" s="42"/>
      <c r="C2365" s="42"/>
      <c r="D2365" s="42"/>
      <c r="E2365" s="42"/>
      <c r="F2365" s="42"/>
      <c r="G2365" s="42"/>
      <c r="H2365" s="42"/>
      <c r="I2365" s="42"/>
      <c r="J2365" s="42"/>
      <c r="K2365" s="42"/>
      <c r="L2365" s="42"/>
      <c r="M2365" s="42"/>
    </row>
    <row r="2366" spans="1:13" x14ac:dyDescent="0.2">
      <c r="A2366" s="42"/>
      <c r="B2366" s="42"/>
      <c r="C2366" s="42"/>
      <c r="D2366" s="42"/>
      <c r="E2366" s="42"/>
      <c r="F2366" s="42"/>
      <c r="G2366" s="42"/>
      <c r="H2366" s="42"/>
      <c r="I2366" s="42"/>
      <c r="J2366" s="42"/>
      <c r="K2366" s="42"/>
      <c r="L2366" s="42"/>
      <c r="M2366" s="42"/>
    </row>
    <row r="2367" spans="1:13" x14ac:dyDescent="0.2">
      <c r="A2367" s="42"/>
      <c r="B2367" s="42"/>
      <c r="C2367" s="42"/>
      <c r="D2367" s="42"/>
      <c r="E2367" s="42"/>
      <c r="F2367" s="42"/>
      <c r="G2367" s="42"/>
      <c r="H2367" s="42"/>
      <c r="I2367" s="42"/>
      <c r="J2367" s="42"/>
      <c r="K2367" s="42"/>
      <c r="L2367" s="42"/>
      <c r="M2367" s="42"/>
    </row>
    <row r="2368" spans="1:13" x14ac:dyDescent="0.2">
      <c r="A2368" s="42"/>
      <c r="B2368" s="42"/>
      <c r="C2368" s="42"/>
      <c r="D2368" s="42"/>
      <c r="E2368" s="42"/>
      <c r="F2368" s="42"/>
      <c r="G2368" s="42"/>
      <c r="H2368" s="42"/>
      <c r="I2368" s="42"/>
      <c r="J2368" s="42"/>
      <c r="K2368" s="42"/>
      <c r="L2368" s="42"/>
      <c r="M2368" s="42"/>
    </row>
    <row r="2369" spans="1:13" x14ac:dyDescent="0.2">
      <c r="A2369" s="42"/>
      <c r="B2369" s="42"/>
      <c r="C2369" s="42"/>
      <c r="D2369" s="42"/>
      <c r="E2369" s="42"/>
      <c r="F2369" s="42"/>
      <c r="G2369" s="42"/>
      <c r="H2369" s="42"/>
      <c r="I2369" s="42"/>
      <c r="J2369" s="42"/>
      <c r="K2369" s="42"/>
      <c r="L2369" s="42"/>
      <c r="M2369" s="42"/>
    </row>
    <row r="2370" spans="1:13" x14ac:dyDescent="0.2">
      <c r="A2370" s="42"/>
      <c r="B2370" s="42"/>
      <c r="C2370" s="42"/>
      <c r="D2370" s="42"/>
      <c r="E2370" s="42"/>
      <c r="F2370" s="42"/>
      <c r="G2370" s="42"/>
      <c r="H2370" s="42"/>
      <c r="I2370" s="42"/>
      <c r="J2370" s="42"/>
      <c r="K2370" s="42"/>
      <c r="L2370" s="42"/>
      <c r="M2370" s="42"/>
    </row>
    <row r="2371" spans="1:13" x14ac:dyDescent="0.2">
      <c r="A2371" s="42"/>
      <c r="B2371" s="42"/>
      <c r="C2371" s="42"/>
      <c r="D2371" s="42"/>
      <c r="E2371" s="42"/>
      <c r="F2371" s="42"/>
      <c r="G2371" s="42"/>
      <c r="H2371" s="42"/>
      <c r="I2371" s="42"/>
      <c r="J2371" s="42"/>
      <c r="K2371" s="42"/>
      <c r="L2371" s="42"/>
      <c r="M2371" s="42"/>
    </row>
    <row r="2372" spans="1:13" x14ac:dyDescent="0.2">
      <c r="A2372" s="42"/>
      <c r="B2372" s="42"/>
      <c r="C2372" s="42"/>
      <c r="D2372" s="42"/>
      <c r="E2372" s="42"/>
      <c r="F2372" s="42"/>
      <c r="G2372" s="42"/>
      <c r="H2372" s="42"/>
      <c r="I2372" s="42"/>
      <c r="J2372" s="42"/>
      <c r="K2372" s="42"/>
      <c r="L2372" s="42"/>
      <c r="M2372" s="42"/>
    </row>
    <row r="2373" spans="1:13" x14ac:dyDescent="0.2">
      <c r="A2373" s="42"/>
      <c r="B2373" s="42"/>
      <c r="C2373" s="42"/>
      <c r="D2373" s="42"/>
      <c r="E2373" s="42"/>
      <c r="F2373" s="42"/>
      <c r="G2373" s="42"/>
      <c r="H2373" s="42"/>
      <c r="I2373" s="42"/>
      <c r="J2373" s="42"/>
      <c r="K2373" s="42"/>
      <c r="L2373" s="42"/>
      <c r="M2373" s="42"/>
    </row>
    <row r="2374" spans="1:13" x14ac:dyDescent="0.2">
      <c r="A2374" s="42"/>
      <c r="B2374" s="42"/>
      <c r="C2374" s="42"/>
      <c r="D2374" s="42"/>
      <c r="E2374" s="42"/>
      <c r="F2374" s="42"/>
      <c r="G2374" s="42"/>
      <c r="H2374" s="42"/>
      <c r="I2374" s="42"/>
      <c r="J2374" s="42"/>
      <c r="K2374" s="42"/>
      <c r="L2374" s="42"/>
      <c r="M2374" s="42"/>
    </row>
    <row r="2375" spans="1:13" x14ac:dyDescent="0.2">
      <c r="A2375" s="42"/>
      <c r="B2375" s="42"/>
      <c r="C2375" s="42"/>
      <c r="D2375" s="42"/>
      <c r="E2375" s="42"/>
      <c r="F2375" s="42"/>
      <c r="G2375" s="42"/>
      <c r="H2375" s="42"/>
      <c r="I2375" s="42"/>
      <c r="J2375" s="42"/>
      <c r="K2375" s="42"/>
      <c r="L2375" s="42"/>
      <c r="M2375" s="42"/>
    </row>
    <row r="2376" spans="1:13" x14ac:dyDescent="0.2">
      <c r="A2376" s="42"/>
      <c r="B2376" s="42"/>
      <c r="C2376" s="42"/>
      <c r="D2376" s="42"/>
      <c r="E2376" s="42"/>
      <c r="F2376" s="42"/>
      <c r="G2376" s="42"/>
      <c r="H2376" s="42"/>
      <c r="I2376" s="42"/>
      <c r="J2376" s="42"/>
      <c r="K2376" s="42"/>
      <c r="L2376" s="42"/>
      <c r="M2376" s="42"/>
    </row>
    <row r="2377" spans="1:13" x14ac:dyDescent="0.2">
      <c r="A2377" s="42"/>
      <c r="B2377" s="42"/>
      <c r="C2377" s="42"/>
      <c r="D2377" s="42"/>
      <c r="E2377" s="42"/>
      <c r="F2377" s="42"/>
      <c r="G2377" s="42"/>
      <c r="H2377" s="42"/>
      <c r="I2377" s="42"/>
      <c r="J2377" s="42"/>
      <c r="K2377" s="42"/>
      <c r="L2377" s="42"/>
      <c r="M2377" s="42"/>
    </row>
    <row r="2378" spans="1:13" x14ac:dyDescent="0.2">
      <c r="A2378" s="42"/>
      <c r="B2378" s="42"/>
      <c r="C2378" s="42"/>
      <c r="D2378" s="42"/>
      <c r="E2378" s="42"/>
      <c r="F2378" s="42"/>
      <c r="G2378" s="42"/>
      <c r="H2378" s="42"/>
      <c r="I2378" s="42"/>
      <c r="J2378" s="42"/>
      <c r="K2378" s="42"/>
      <c r="L2378" s="42"/>
      <c r="M2378" s="42"/>
    </row>
    <row r="2379" spans="1:13" x14ac:dyDescent="0.2">
      <c r="A2379" s="42"/>
      <c r="B2379" s="42"/>
      <c r="C2379" s="42"/>
      <c r="D2379" s="42"/>
      <c r="E2379" s="42"/>
      <c r="F2379" s="42"/>
      <c r="G2379" s="42"/>
      <c r="H2379" s="42"/>
      <c r="I2379" s="42"/>
      <c r="J2379" s="42"/>
      <c r="K2379" s="42"/>
      <c r="L2379" s="42"/>
      <c r="M2379" s="42"/>
    </row>
    <row r="2380" spans="1:13" x14ac:dyDescent="0.2">
      <c r="A2380" s="42"/>
      <c r="B2380" s="42"/>
      <c r="C2380" s="42"/>
      <c r="D2380" s="42"/>
      <c r="E2380" s="42"/>
      <c r="F2380" s="42"/>
      <c r="G2380" s="42"/>
      <c r="H2380" s="42"/>
      <c r="I2380" s="42"/>
      <c r="J2380" s="42"/>
      <c r="K2380" s="42"/>
      <c r="L2380" s="42"/>
      <c r="M2380" s="42"/>
    </row>
    <row r="2381" spans="1:13" x14ac:dyDescent="0.2">
      <c r="A2381" s="42"/>
      <c r="B2381" s="42"/>
      <c r="C2381" s="42"/>
      <c r="D2381" s="42"/>
      <c r="E2381" s="42"/>
      <c r="F2381" s="42"/>
      <c r="G2381" s="42"/>
      <c r="H2381" s="42"/>
      <c r="I2381" s="42"/>
      <c r="J2381" s="42"/>
      <c r="K2381" s="42"/>
      <c r="L2381" s="42"/>
      <c r="M2381" s="42"/>
    </row>
    <row r="2382" spans="1:13" x14ac:dyDescent="0.2">
      <c r="A2382" s="42"/>
      <c r="B2382" s="42"/>
      <c r="C2382" s="42"/>
      <c r="D2382" s="42"/>
      <c r="E2382" s="42"/>
      <c r="F2382" s="42"/>
      <c r="G2382" s="42"/>
      <c r="H2382" s="42"/>
      <c r="I2382" s="42"/>
      <c r="J2382" s="42"/>
      <c r="K2382" s="42"/>
      <c r="L2382" s="42"/>
      <c r="M2382" s="42"/>
    </row>
    <row r="2383" spans="1:13" x14ac:dyDescent="0.2">
      <c r="A2383" s="42"/>
      <c r="B2383" s="42"/>
      <c r="C2383" s="42"/>
      <c r="D2383" s="42"/>
      <c r="E2383" s="42"/>
      <c r="F2383" s="42"/>
      <c r="G2383" s="42"/>
      <c r="H2383" s="42"/>
      <c r="I2383" s="42"/>
      <c r="J2383" s="42"/>
      <c r="K2383" s="42"/>
      <c r="L2383" s="42"/>
      <c r="M2383" s="42"/>
    </row>
    <row r="2384" spans="1:13" x14ac:dyDescent="0.2">
      <c r="A2384" s="42"/>
      <c r="B2384" s="42"/>
      <c r="C2384" s="42"/>
      <c r="D2384" s="42"/>
      <c r="E2384" s="42"/>
      <c r="F2384" s="42"/>
      <c r="G2384" s="42"/>
      <c r="H2384" s="42"/>
      <c r="I2384" s="42"/>
      <c r="J2384" s="42"/>
      <c r="K2384" s="42"/>
      <c r="L2384" s="42"/>
      <c r="M2384" s="42"/>
    </row>
    <row r="2385" spans="1:13" x14ac:dyDescent="0.2">
      <c r="A2385" s="42"/>
      <c r="B2385" s="42"/>
      <c r="C2385" s="42"/>
      <c r="D2385" s="42"/>
      <c r="E2385" s="42"/>
      <c r="F2385" s="42"/>
      <c r="G2385" s="42"/>
      <c r="H2385" s="42"/>
      <c r="I2385" s="42"/>
      <c r="J2385" s="42"/>
      <c r="K2385" s="42"/>
      <c r="L2385" s="42"/>
      <c r="M2385" s="42"/>
    </row>
    <row r="2386" spans="1:13" x14ac:dyDescent="0.2">
      <c r="A2386" s="42"/>
      <c r="B2386" s="42"/>
      <c r="C2386" s="42"/>
      <c r="D2386" s="42"/>
      <c r="E2386" s="42"/>
      <c r="F2386" s="42"/>
      <c r="G2386" s="42"/>
      <c r="H2386" s="42"/>
      <c r="I2386" s="42"/>
      <c r="J2386" s="42"/>
      <c r="K2386" s="42"/>
      <c r="L2386" s="42"/>
      <c r="M2386" s="42"/>
    </row>
    <row r="2387" spans="1:13" x14ac:dyDescent="0.2">
      <c r="A2387" s="42"/>
      <c r="B2387" s="42"/>
      <c r="C2387" s="42"/>
      <c r="D2387" s="42"/>
      <c r="E2387" s="42"/>
      <c r="F2387" s="42"/>
      <c r="G2387" s="42"/>
      <c r="H2387" s="42"/>
      <c r="I2387" s="42"/>
      <c r="J2387" s="42"/>
      <c r="K2387" s="42"/>
      <c r="L2387" s="42"/>
      <c r="M2387" s="42"/>
    </row>
    <row r="2388" spans="1:13" x14ac:dyDescent="0.2">
      <c r="A2388" s="42"/>
      <c r="B2388" s="42"/>
      <c r="C2388" s="42"/>
      <c r="D2388" s="42"/>
      <c r="E2388" s="42"/>
      <c r="F2388" s="42"/>
      <c r="G2388" s="42"/>
      <c r="H2388" s="42"/>
      <c r="I2388" s="42"/>
      <c r="J2388" s="42"/>
      <c r="K2388" s="42"/>
      <c r="L2388" s="42"/>
      <c r="M2388" s="42"/>
    </row>
    <row r="2389" spans="1:13" x14ac:dyDescent="0.2">
      <c r="A2389" s="42"/>
      <c r="B2389" s="42"/>
      <c r="C2389" s="42"/>
      <c r="D2389" s="42"/>
      <c r="E2389" s="42"/>
      <c r="F2389" s="42"/>
      <c r="G2389" s="42"/>
      <c r="H2389" s="42"/>
      <c r="I2389" s="42"/>
      <c r="J2389" s="42"/>
      <c r="K2389" s="42"/>
      <c r="L2389" s="42"/>
      <c r="M2389" s="42"/>
    </row>
    <row r="2390" spans="1:13" x14ac:dyDescent="0.2">
      <c r="A2390" s="42"/>
      <c r="B2390" s="42"/>
      <c r="C2390" s="42"/>
      <c r="D2390" s="42"/>
      <c r="E2390" s="42"/>
      <c r="F2390" s="42"/>
      <c r="G2390" s="42"/>
      <c r="H2390" s="42"/>
      <c r="I2390" s="42"/>
      <c r="J2390" s="42"/>
      <c r="K2390" s="42"/>
      <c r="L2390" s="42"/>
      <c r="M2390" s="42"/>
    </row>
    <row r="2391" spans="1:13" x14ac:dyDescent="0.2">
      <c r="A2391" s="42"/>
      <c r="B2391" s="42"/>
      <c r="C2391" s="42"/>
      <c r="D2391" s="42"/>
      <c r="E2391" s="42"/>
      <c r="F2391" s="42"/>
      <c r="G2391" s="42"/>
      <c r="H2391" s="42"/>
      <c r="I2391" s="42"/>
      <c r="J2391" s="42"/>
      <c r="K2391" s="42"/>
      <c r="L2391" s="42"/>
      <c r="M2391" s="42"/>
    </row>
    <row r="2392" spans="1:13" x14ac:dyDescent="0.2">
      <c r="A2392" s="42"/>
      <c r="B2392" s="42"/>
      <c r="C2392" s="42"/>
      <c r="D2392" s="42"/>
      <c r="E2392" s="42"/>
      <c r="F2392" s="42"/>
      <c r="G2392" s="42"/>
      <c r="H2392" s="42"/>
      <c r="I2392" s="42"/>
      <c r="J2392" s="42"/>
      <c r="K2392" s="42"/>
      <c r="L2392" s="42"/>
      <c r="M2392" s="42"/>
    </row>
    <row r="2393" spans="1:13" x14ac:dyDescent="0.2">
      <c r="A2393" s="42"/>
      <c r="B2393" s="42"/>
      <c r="C2393" s="42"/>
      <c r="D2393" s="42"/>
      <c r="E2393" s="42"/>
      <c r="F2393" s="42"/>
      <c r="G2393" s="42"/>
      <c r="H2393" s="42"/>
      <c r="I2393" s="42"/>
      <c r="J2393" s="42"/>
      <c r="K2393" s="42"/>
      <c r="L2393" s="42"/>
      <c r="M2393" s="42"/>
    </row>
    <row r="2394" spans="1:13" x14ac:dyDescent="0.2">
      <c r="A2394" s="42"/>
      <c r="B2394" s="42"/>
      <c r="C2394" s="42"/>
      <c r="D2394" s="42"/>
      <c r="E2394" s="42"/>
      <c r="F2394" s="42"/>
      <c r="G2394" s="42"/>
      <c r="H2394" s="42"/>
      <c r="I2394" s="42"/>
      <c r="J2394" s="42"/>
      <c r="K2394" s="42"/>
      <c r="L2394" s="42"/>
      <c r="M2394" s="42"/>
    </row>
    <row r="2395" spans="1:13" x14ac:dyDescent="0.2">
      <c r="A2395" s="42"/>
      <c r="B2395" s="42"/>
      <c r="C2395" s="42"/>
      <c r="D2395" s="42"/>
      <c r="E2395" s="42"/>
      <c r="F2395" s="42"/>
      <c r="G2395" s="42"/>
      <c r="H2395" s="42"/>
      <c r="I2395" s="42"/>
      <c r="J2395" s="42"/>
      <c r="K2395" s="42"/>
      <c r="L2395" s="42"/>
      <c r="M2395" s="42"/>
    </row>
    <row r="2396" spans="1:13" x14ac:dyDescent="0.2">
      <c r="A2396" s="42"/>
      <c r="B2396" s="42"/>
      <c r="C2396" s="42"/>
      <c r="D2396" s="42"/>
      <c r="E2396" s="42"/>
      <c r="F2396" s="42"/>
      <c r="G2396" s="42"/>
      <c r="H2396" s="42"/>
      <c r="I2396" s="42"/>
      <c r="J2396" s="42"/>
      <c r="K2396" s="42"/>
      <c r="L2396" s="42"/>
      <c r="M2396" s="42"/>
    </row>
    <row r="2397" spans="1:13" x14ac:dyDescent="0.2">
      <c r="A2397" s="42"/>
      <c r="B2397" s="42"/>
      <c r="C2397" s="42"/>
      <c r="D2397" s="42"/>
      <c r="E2397" s="42"/>
      <c r="F2397" s="42"/>
      <c r="G2397" s="42"/>
      <c r="H2397" s="42"/>
      <c r="I2397" s="42"/>
      <c r="J2397" s="42"/>
      <c r="K2397" s="42"/>
      <c r="L2397" s="42"/>
      <c r="M2397" s="42"/>
    </row>
    <row r="2398" spans="1:13" x14ac:dyDescent="0.2">
      <c r="A2398" s="42"/>
      <c r="B2398" s="42"/>
      <c r="C2398" s="42"/>
      <c r="D2398" s="42"/>
      <c r="E2398" s="42"/>
      <c r="F2398" s="42"/>
      <c r="G2398" s="42"/>
      <c r="H2398" s="42"/>
      <c r="I2398" s="42"/>
      <c r="J2398" s="42"/>
      <c r="K2398" s="42"/>
      <c r="L2398" s="42"/>
      <c r="M2398" s="42"/>
    </row>
    <row r="2399" spans="1:13" x14ac:dyDescent="0.2">
      <c r="A2399" s="42"/>
      <c r="B2399" s="42"/>
      <c r="C2399" s="42"/>
      <c r="D2399" s="42"/>
      <c r="E2399" s="42"/>
      <c r="F2399" s="42"/>
      <c r="G2399" s="42"/>
      <c r="H2399" s="42"/>
      <c r="I2399" s="42"/>
      <c r="J2399" s="42"/>
      <c r="K2399" s="42"/>
      <c r="L2399" s="42"/>
      <c r="M2399" s="42"/>
    </row>
    <row r="2400" spans="1:13" x14ac:dyDescent="0.2">
      <c r="A2400" s="42"/>
      <c r="B2400" s="42"/>
      <c r="C2400" s="42"/>
      <c r="D2400" s="42"/>
      <c r="E2400" s="42"/>
      <c r="F2400" s="42"/>
      <c r="G2400" s="42"/>
      <c r="H2400" s="42"/>
      <c r="I2400" s="42"/>
      <c r="J2400" s="42"/>
      <c r="K2400" s="42"/>
      <c r="L2400" s="42"/>
      <c r="M2400" s="42"/>
    </row>
    <row r="2401" spans="1:13" x14ac:dyDescent="0.2">
      <c r="A2401" s="42"/>
      <c r="B2401" s="42"/>
      <c r="C2401" s="42"/>
      <c r="D2401" s="42"/>
      <c r="E2401" s="42"/>
      <c r="F2401" s="42"/>
      <c r="G2401" s="42"/>
      <c r="H2401" s="42"/>
      <c r="I2401" s="42"/>
      <c r="J2401" s="42"/>
      <c r="K2401" s="42"/>
      <c r="L2401" s="42"/>
      <c r="M2401" s="42"/>
    </row>
    <row r="2402" spans="1:13" x14ac:dyDescent="0.2">
      <c r="A2402" s="42"/>
      <c r="B2402" s="42"/>
      <c r="C2402" s="42"/>
      <c r="D2402" s="42"/>
      <c r="E2402" s="42"/>
      <c r="F2402" s="42"/>
      <c r="G2402" s="42"/>
      <c r="H2402" s="42"/>
      <c r="I2402" s="42"/>
      <c r="J2402" s="42"/>
      <c r="K2402" s="42"/>
      <c r="L2402" s="42"/>
      <c r="M2402" s="42"/>
    </row>
    <row r="2403" spans="1:13" x14ac:dyDescent="0.2">
      <c r="A2403" s="42"/>
      <c r="B2403" s="42"/>
      <c r="C2403" s="42"/>
      <c r="D2403" s="42"/>
      <c r="E2403" s="42"/>
      <c r="F2403" s="42"/>
      <c r="G2403" s="42"/>
      <c r="H2403" s="42"/>
      <c r="I2403" s="42"/>
      <c r="J2403" s="42"/>
      <c r="K2403" s="42"/>
      <c r="L2403" s="42"/>
      <c r="M2403" s="42"/>
    </row>
    <row r="2404" spans="1:13" x14ac:dyDescent="0.2">
      <c r="A2404" s="42"/>
      <c r="B2404" s="42"/>
      <c r="C2404" s="42"/>
      <c r="D2404" s="42"/>
      <c r="E2404" s="42"/>
      <c r="F2404" s="42"/>
      <c r="G2404" s="42"/>
      <c r="H2404" s="42"/>
      <c r="I2404" s="42"/>
      <c r="J2404" s="42"/>
      <c r="K2404" s="42"/>
      <c r="L2404" s="42"/>
      <c r="M2404" s="42"/>
    </row>
    <row r="2405" spans="1:13" x14ac:dyDescent="0.2">
      <c r="A2405" s="42"/>
      <c r="B2405" s="42"/>
      <c r="C2405" s="42"/>
      <c r="D2405" s="42"/>
      <c r="E2405" s="42"/>
      <c r="F2405" s="42"/>
      <c r="G2405" s="42"/>
      <c r="H2405" s="42"/>
      <c r="I2405" s="42"/>
      <c r="J2405" s="42"/>
      <c r="K2405" s="42"/>
      <c r="L2405" s="42"/>
      <c r="M2405" s="42"/>
    </row>
    <row r="2406" spans="1:13" x14ac:dyDescent="0.2">
      <c r="A2406" s="42"/>
      <c r="B2406" s="42"/>
      <c r="C2406" s="42"/>
      <c r="D2406" s="42"/>
      <c r="E2406" s="42"/>
      <c r="F2406" s="42"/>
      <c r="G2406" s="42"/>
      <c r="H2406" s="42"/>
      <c r="I2406" s="42"/>
      <c r="J2406" s="42"/>
      <c r="K2406" s="42"/>
      <c r="L2406" s="42"/>
      <c r="M2406" s="42"/>
    </row>
    <row r="2407" spans="1:13" x14ac:dyDescent="0.2">
      <c r="A2407" s="42"/>
      <c r="B2407" s="42"/>
      <c r="C2407" s="42"/>
      <c r="D2407" s="42"/>
      <c r="E2407" s="42"/>
      <c r="F2407" s="42"/>
      <c r="G2407" s="42"/>
      <c r="H2407" s="42"/>
      <c r="I2407" s="42"/>
      <c r="J2407" s="42"/>
      <c r="K2407" s="42"/>
      <c r="L2407" s="42"/>
      <c r="M2407" s="42"/>
    </row>
    <row r="2408" spans="1:13" x14ac:dyDescent="0.2">
      <c r="A2408" s="42"/>
      <c r="B2408" s="42"/>
      <c r="C2408" s="42"/>
      <c r="D2408" s="42"/>
      <c r="E2408" s="42"/>
      <c r="F2408" s="42"/>
      <c r="G2408" s="42"/>
      <c r="H2408" s="42"/>
      <c r="I2408" s="42"/>
      <c r="J2408" s="42"/>
      <c r="K2408" s="42"/>
      <c r="L2408" s="42"/>
      <c r="M2408" s="42"/>
    </row>
    <row r="2409" spans="1:13" x14ac:dyDescent="0.2">
      <c r="A2409" s="42"/>
      <c r="B2409" s="42"/>
      <c r="C2409" s="42"/>
      <c r="D2409" s="42"/>
      <c r="E2409" s="42"/>
      <c r="F2409" s="42"/>
      <c r="G2409" s="42"/>
      <c r="H2409" s="42"/>
      <c r="I2409" s="42"/>
      <c r="J2409" s="42"/>
      <c r="K2409" s="42"/>
      <c r="L2409" s="42"/>
      <c r="M2409" s="42"/>
    </row>
    <row r="2410" spans="1:13" x14ac:dyDescent="0.2">
      <c r="A2410" s="42"/>
      <c r="B2410" s="42"/>
      <c r="C2410" s="42"/>
      <c r="D2410" s="42"/>
      <c r="E2410" s="42"/>
      <c r="F2410" s="42"/>
      <c r="G2410" s="42"/>
      <c r="H2410" s="42"/>
      <c r="I2410" s="42"/>
      <c r="J2410" s="42"/>
      <c r="K2410" s="42"/>
      <c r="L2410" s="42"/>
      <c r="M2410" s="42"/>
    </row>
    <row r="2411" spans="1:13" x14ac:dyDescent="0.2">
      <c r="A2411" s="42"/>
      <c r="B2411" s="42"/>
      <c r="C2411" s="42"/>
      <c r="D2411" s="42"/>
      <c r="E2411" s="42"/>
      <c r="F2411" s="42"/>
      <c r="G2411" s="42"/>
      <c r="H2411" s="42"/>
      <c r="I2411" s="42"/>
      <c r="J2411" s="42"/>
      <c r="K2411" s="42"/>
      <c r="L2411" s="42"/>
      <c r="M2411" s="42"/>
    </row>
    <row r="2412" spans="1:13" x14ac:dyDescent="0.2">
      <c r="A2412" s="42"/>
      <c r="B2412" s="42"/>
      <c r="C2412" s="42"/>
      <c r="D2412" s="42"/>
      <c r="E2412" s="42"/>
      <c r="F2412" s="42"/>
      <c r="G2412" s="42"/>
      <c r="H2412" s="42"/>
      <c r="I2412" s="42"/>
      <c r="J2412" s="42"/>
      <c r="K2412" s="42"/>
      <c r="L2412" s="42"/>
      <c r="M2412" s="42"/>
    </row>
    <row r="2413" spans="1:13" x14ac:dyDescent="0.2">
      <c r="A2413" s="42"/>
      <c r="B2413" s="42"/>
      <c r="C2413" s="42"/>
      <c r="D2413" s="42"/>
      <c r="E2413" s="42"/>
      <c r="F2413" s="42"/>
      <c r="G2413" s="42"/>
      <c r="H2413" s="42"/>
      <c r="I2413" s="42"/>
      <c r="J2413" s="42"/>
      <c r="K2413" s="42"/>
      <c r="L2413" s="42"/>
      <c r="M2413" s="42"/>
    </row>
    <row r="2414" spans="1:13" x14ac:dyDescent="0.2">
      <c r="A2414" s="42"/>
      <c r="B2414" s="42"/>
      <c r="C2414" s="42"/>
      <c r="D2414" s="42"/>
      <c r="E2414" s="42"/>
      <c r="F2414" s="42"/>
      <c r="G2414" s="42"/>
      <c r="H2414" s="42"/>
      <c r="I2414" s="42"/>
      <c r="J2414" s="42"/>
      <c r="K2414" s="42"/>
      <c r="L2414" s="42"/>
      <c r="M2414" s="42"/>
    </row>
    <row r="2415" spans="1:13" x14ac:dyDescent="0.2">
      <c r="A2415" s="42"/>
      <c r="B2415" s="42"/>
      <c r="C2415" s="42"/>
      <c r="D2415" s="42"/>
      <c r="E2415" s="42"/>
      <c r="F2415" s="42"/>
      <c r="G2415" s="42"/>
      <c r="H2415" s="42"/>
      <c r="I2415" s="42"/>
      <c r="J2415" s="42"/>
      <c r="K2415" s="42"/>
      <c r="L2415" s="42"/>
      <c r="M2415" s="42"/>
    </row>
    <row r="2416" spans="1:13" x14ac:dyDescent="0.2">
      <c r="A2416" s="42"/>
      <c r="B2416" s="42"/>
      <c r="C2416" s="42"/>
      <c r="D2416" s="42"/>
      <c r="E2416" s="42"/>
      <c r="F2416" s="42"/>
      <c r="G2416" s="42"/>
      <c r="H2416" s="42"/>
      <c r="I2416" s="42"/>
      <c r="J2416" s="42"/>
      <c r="K2416" s="42"/>
      <c r="L2416" s="42"/>
      <c r="M2416" s="42"/>
    </row>
    <row r="2417" spans="1:13" x14ac:dyDescent="0.2">
      <c r="A2417" s="42"/>
      <c r="B2417" s="42"/>
      <c r="C2417" s="42"/>
      <c r="D2417" s="42"/>
      <c r="E2417" s="42"/>
      <c r="F2417" s="42"/>
      <c r="G2417" s="42"/>
      <c r="H2417" s="42"/>
      <c r="I2417" s="42"/>
      <c r="J2417" s="42"/>
      <c r="K2417" s="42"/>
      <c r="L2417" s="42"/>
      <c r="M2417" s="42"/>
    </row>
    <row r="2418" spans="1:13" x14ac:dyDescent="0.2">
      <c r="A2418" s="42"/>
      <c r="B2418" s="42"/>
      <c r="C2418" s="42"/>
      <c r="D2418" s="42"/>
      <c r="E2418" s="42"/>
      <c r="F2418" s="42"/>
      <c r="G2418" s="42"/>
      <c r="H2418" s="42"/>
      <c r="I2418" s="42"/>
      <c r="J2418" s="42"/>
      <c r="K2418" s="42"/>
      <c r="L2418" s="42"/>
      <c r="M2418" s="42"/>
    </row>
    <row r="2419" spans="1:13" x14ac:dyDescent="0.2">
      <c r="A2419" s="42"/>
      <c r="B2419" s="42"/>
      <c r="C2419" s="42"/>
      <c r="D2419" s="42"/>
      <c r="E2419" s="42"/>
      <c r="F2419" s="42"/>
      <c r="G2419" s="42"/>
      <c r="H2419" s="42"/>
      <c r="I2419" s="42"/>
      <c r="J2419" s="42"/>
      <c r="K2419" s="42"/>
      <c r="L2419" s="42"/>
      <c r="M2419" s="42"/>
    </row>
    <row r="2420" spans="1:13" x14ac:dyDescent="0.2">
      <c r="A2420" s="42"/>
      <c r="B2420" s="42"/>
      <c r="C2420" s="42"/>
      <c r="D2420" s="42"/>
      <c r="E2420" s="42"/>
      <c r="F2420" s="42"/>
      <c r="G2420" s="42"/>
      <c r="H2420" s="42"/>
      <c r="I2420" s="42"/>
      <c r="J2420" s="42"/>
      <c r="K2420" s="42"/>
      <c r="L2420" s="42"/>
      <c r="M2420" s="42"/>
    </row>
    <row r="2421" spans="1:13" x14ac:dyDescent="0.2">
      <c r="A2421" s="42"/>
      <c r="B2421" s="42"/>
      <c r="C2421" s="42"/>
      <c r="D2421" s="42"/>
      <c r="E2421" s="42"/>
      <c r="F2421" s="42"/>
      <c r="G2421" s="42"/>
      <c r="H2421" s="42"/>
      <c r="I2421" s="42"/>
      <c r="J2421" s="42"/>
      <c r="K2421" s="42"/>
      <c r="L2421" s="42"/>
      <c r="M2421" s="42"/>
    </row>
    <row r="2422" spans="1:13" x14ac:dyDescent="0.2">
      <c r="A2422" s="42"/>
      <c r="B2422" s="42"/>
      <c r="C2422" s="42"/>
      <c r="D2422" s="42"/>
      <c r="E2422" s="42"/>
      <c r="F2422" s="42"/>
      <c r="G2422" s="42"/>
      <c r="H2422" s="42"/>
      <c r="I2422" s="42"/>
      <c r="J2422" s="42"/>
      <c r="K2422" s="42"/>
      <c r="L2422" s="42"/>
      <c r="M2422" s="42"/>
    </row>
    <row r="2423" spans="1:13" x14ac:dyDescent="0.2">
      <c r="A2423" s="42"/>
      <c r="B2423" s="42"/>
      <c r="C2423" s="42"/>
      <c r="D2423" s="42"/>
      <c r="E2423" s="42"/>
      <c r="F2423" s="42"/>
      <c r="G2423" s="42"/>
      <c r="H2423" s="42"/>
      <c r="I2423" s="42"/>
      <c r="J2423" s="42"/>
      <c r="K2423" s="42"/>
      <c r="L2423" s="42"/>
      <c r="M2423" s="42"/>
    </row>
    <row r="2424" spans="1:13" x14ac:dyDescent="0.2">
      <c r="A2424" s="42"/>
      <c r="B2424" s="42"/>
      <c r="C2424" s="42"/>
      <c r="D2424" s="42"/>
      <c r="E2424" s="42"/>
      <c r="F2424" s="42"/>
      <c r="G2424" s="42"/>
      <c r="H2424" s="42"/>
      <c r="I2424" s="42"/>
      <c r="J2424" s="42"/>
      <c r="K2424" s="42"/>
      <c r="L2424" s="42"/>
      <c r="M2424" s="42"/>
    </row>
    <row r="2425" spans="1:13" x14ac:dyDescent="0.2">
      <c r="A2425" s="42"/>
      <c r="B2425" s="42"/>
      <c r="C2425" s="42"/>
      <c r="D2425" s="42"/>
      <c r="E2425" s="42"/>
      <c r="F2425" s="42"/>
      <c r="G2425" s="42"/>
      <c r="H2425" s="42"/>
      <c r="I2425" s="42"/>
      <c r="J2425" s="42"/>
      <c r="K2425" s="42"/>
      <c r="L2425" s="42"/>
      <c r="M2425" s="42"/>
    </row>
    <row r="2426" spans="1:13" x14ac:dyDescent="0.2">
      <c r="A2426" s="42"/>
      <c r="B2426" s="42"/>
      <c r="C2426" s="42"/>
      <c r="D2426" s="42"/>
      <c r="E2426" s="42"/>
      <c r="F2426" s="42"/>
      <c r="G2426" s="42"/>
      <c r="H2426" s="42"/>
      <c r="I2426" s="42"/>
      <c r="J2426" s="42"/>
      <c r="K2426" s="42"/>
      <c r="L2426" s="42"/>
      <c r="M2426" s="42"/>
    </row>
    <row r="2427" spans="1:13" x14ac:dyDescent="0.2">
      <c r="A2427" s="42"/>
      <c r="B2427" s="42"/>
      <c r="C2427" s="42"/>
      <c r="D2427" s="42"/>
      <c r="E2427" s="42"/>
      <c r="F2427" s="42"/>
      <c r="G2427" s="42"/>
      <c r="H2427" s="42"/>
      <c r="I2427" s="42"/>
      <c r="J2427" s="42"/>
      <c r="K2427" s="42"/>
      <c r="L2427" s="42"/>
      <c r="M2427" s="42"/>
    </row>
    <row r="2428" spans="1:13" x14ac:dyDescent="0.2">
      <c r="A2428" s="42"/>
      <c r="B2428" s="42"/>
      <c r="C2428" s="42"/>
      <c r="D2428" s="42"/>
      <c r="E2428" s="42"/>
      <c r="F2428" s="42"/>
      <c r="G2428" s="42"/>
      <c r="H2428" s="42"/>
      <c r="I2428" s="42"/>
      <c r="J2428" s="42"/>
      <c r="K2428" s="42"/>
      <c r="L2428" s="42"/>
      <c r="M2428" s="42"/>
    </row>
    <row r="2429" spans="1:13" x14ac:dyDescent="0.2">
      <c r="A2429" s="42"/>
      <c r="B2429" s="42"/>
      <c r="C2429" s="42"/>
      <c r="D2429" s="42"/>
      <c r="E2429" s="42"/>
      <c r="F2429" s="42"/>
      <c r="G2429" s="42"/>
      <c r="H2429" s="42"/>
      <c r="I2429" s="42"/>
      <c r="J2429" s="42"/>
      <c r="K2429" s="42"/>
      <c r="L2429" s="42"/>
      <c r="M2429" s="42"/>
    </row>
    <row r="2430" spans="1:13" x14ac:dyDescent="0.2">
      <c r="A2430" s="42"/>
      <c r="B2430" s="42"/>
      <c r="C2430" s="42"/>
      <c r="D2430" s="42"/>
      <c r="E2430" s="42"/>
      <c r="F2430" s="42"/>
      <c r="G2430" s="42"/>
      <c r="H2430" s="42"/>
      <c r="I2430" s="42"/>
      <c r="J2430" s="42"/>
      <c r="K2430" s="42"/>
      <c r="L2430" s="42"/>
      <c r="M2430" s="42"/>
    </row>
    <row r="2431" spans="1:13" x14ac:dyDescent="0.2">
      <c r="A2431" s="42"/>
      <c r="B2431" s="42"/>
      <c r="C2431" s="42"/>
      <c r="D2431" s="42"/>
      <c r="E2431" s="42"/>
      <c r="F2431" s="42"/>
      <c r="G2431" s="42"/>
      <c r="H2431" s="42"/>
      <c r="I2431" s="42"/>
      <c r="J2431" s="42"/>
      <c r="K2431" s="42"/>
      <c r="L2431" s="42"/>
      <c r="M2431" s="42"/>
    </row>
    <row r="2432" spans="1:13" x14ac:dyDescent="0.2">
      <c r="A2432" s="42"/>
      <c r="B2432" s="42"/>
      <c r="C2432" s="42"/>
      <c r="D2432" s="42"/>
      <c r="E2432" s="42"/>
      <c r="F2432" s="42"/>
      <c r="G2432" s="42"/>
      <c r="H2432" s="42"/>
      <c r="I2432" s="42"/>
      <c r="J2432" s="42"/>
      <c r="K2432" s="42"/>
      <c r="L2432" s="42"/>
      <c r="M2432" s="42"/>
    </row>
    <row r="2433" spans="1:13" x14ac:dyDescent="0.2">
      <c r="A2433" s="42"/>
      <c r="B2433" s="42"/>
      <c r="C2433" s="42"/>
      <c r="D2433" s="42"/>
      <c r="E2433" s="42"/>
      <c r="F2433" s="42"/>
      <c r="G2433" s="42"/>
      <c r="H2433" s="42"/>
      <c r="I2433" s="42"/>
      <c r="J2433" s="42"/>
      <c r="K2433" s="42"/>
      <c r="L2433" s="42"/>
      <c r="M2433" s="42"/>
    </row>
    <row r="2434" spans="1:13" x14ac:dyDescent="0.2">
      <c r="A2434" s="42"/>
      <c r="B2434" s="42"/>
      <c r="C2434" s="42"/>
      <c r="D2434" s="42"/>
      <c r="E2434" s="42"/>
      <c r="F2434" s="42"/>
      <c r="G2434" s="42"/>
      <c r="H2434" s="42"/>
      <c r="I2434" s="42"/>
      <c r="J2434" s="42"/>
      <c r="K2434" s="42"/>
      <c r="L2434" s="42"/>
      <c r="M2434" s="42"/>
    </row>
    <row r="2435" spans="1:13" x14ac:dyDescent="0.2">
      <c r="A2435" s="42"/>
      <c r="B2435" s="42"/>
      <c r="C2435" s="42"/>
      <c r="D2435" s="42"/>
      <c r="E2435" s="42"/>
      <c r="F2435" s="42"/>
      <c r="G2435" s="42"/>
      <c r="H2435" s="42"/>
      <c r="I2435" s="42"/>
      <c r="J2435" s="42"/>
      <c r="K2435" s="42"/>
      <c r="L2435" s="42"/>
      <c r="M2435" s="42"/>
    </row>
    <row r="2436" spans="1:13" x14ac:dyDescent="0.2">
      <c r="A2436" s="42"/>
      <c r="B2436" s="42"/>
      <c r="C2436" s="42"/>
      <c r="D2436" s="42"/>
      <c r="E2436" s="42"/>
      <c r="F2436" s="42"/>
      <c r="G2436" s="42"/>
      <c r="H2436" s="42"/>
      <c r="I2436" s="42"/>
      <c r="J2436" s="42"/>
      <c r="K2436" s="42"/>
      <c r="L2436" s="42"/>
      <c r="M2436" s="42"/>
    </row>
    <row r="2437" spans="1:13" x14ac:dyDescent="0.2">
      <c r="A2437" s="42"/>
      <c r="B2437" s="42"/>
      <c r="C2437" s="42"/>
      <c r="D2437" s="42"/>
      <c r="E2437" s="42"/>
      <c r="F2437" s="42"/>
      <c r="G2437" s="42"/>
      <c r="H2437" s="42"/>
      <c r="I2437" s="42"/>
      <c r="J2437" s="42"/>
      <c r="K2437" s="42"/>
      <c r="L2437" s="42"/>
      <c r="M2437" s="42"/>
    </row>
    <row r="2438" spans="1:13" x14ac:dyDescent="0.2">
      <c r="A2438" s="42"/>
      <c r="B2438" s="42"/>
      <c r="C2438" s="42"/>
      <c r="D2438" s="42"/>
      <c r="E2438" s="42"/>
      <c r="F2438" s="42"/>
      <c r="G2438" s="42"/>
      <c r="H2438" s="42"/>
      <c r="I2438" s="42"/>
      <c r="J2438" s="42"/>
      <c r="K2438" s="42"/>
      <c r="L2438" s="42"/>
      <c r="M2438" s="42"/>
    </row>
    <row r="2439" spans="1:13" x14ac:dyDescent="0.2">
      <c r="A2439" s="42"/>
      <c r="B2439" s="42"/>
      <c r="C2439" s="42"/>
      <c r="D2439" s="42"/>
      <c r="E2439" s="42"/>
      <c r="F2439" s="42"/>
      <c r="G2439" s="42"/>
      <c r="H2439" s="42"/>
      <c r="I2439" s="42"/>
      <c r="J2439" s="42"/>
      <c r="K2439" s="42"/>
      <c r="L2439" s="42"/>
      <c r="M2439" s="42"/>
    </row>
    <row r="2440" spans="1:13" x14ac:dyDescent="0.2">
      <c r="A2440" s="42"/>
      <c r="B2440" s="42"/>
      <c r="C2440" s="42"/>
      <c r="D2440" s="42"/>
      <c r="E2440" s="42"/>
      <c r="F2440" s="42"/>
      <c r="G2440" s="42"/>
      <c r="H2440" s="42"/>
      <c r="I2440" s="42"/>
      <c r="J2440" s="42"/>
      <c r="K2440" s="42"/>
      <c r="L2440" s="42"/>
      <c r="M2440" s="42"/>
    </row>
    <row r="2441" spans="1:13" x14ac:dyDescent="0.2">
      <c r="A2441" s="42"/>
      <c r="B2441" s="42"/>
      <c r="C2441" s="42"/>
      <c r="D2441" s="42"/>
      <c r="E2441" s="42"/>
      <c r="F2441" s="42"/>
      <c r="G2441" s="42"/>
      <c r="H2441" s="42"/>
      <c r="I2441" s="42"/>
      <c r="J2441" s="42"/>
      <c r="K2441" s="42"/>
      <c r="L2441" s="42"/>
      <c r="M2441" s="42"/>
    </row>
    <row r="2442" spans="1:13" x14ac:dyDescent="0.2">
      <c r="A2442" s="42"/>
      <c r="B2442" s="42"/>
      <c r="C2442" s="42"/>
      <c r="D2442" s="42"/>
      <c r="E2442" s="42"/>
      <c r="F2442" s="42"/>
      <c r="G2442" s="42"/>
      <c r="H2442" s="42"/>
      <c r="I2442" s="42"/>
      <c r="J2442" s="42"/>
      <c r="K2442" s="42"/>
      <c r="L2442" s="42"/>
      <c r="M2442" s="42"/>
    </row>
    <row r="2443" spans="1:13" x14ac:dyDescent="0.2">
      <c r="A2443" s="42"/>
      <c r="B2443" s="42"/>
      <c r="C2443" s="42"/>
      <c r="D2443" s="42"/>
      <c r="E2443" s="42"/>
      <c r="F2443" s="42"/>
      <c r="G2443" s="42"/>
      <c r="H2443" s="42"/>
      <c r="I2443" s="42"/>
      <c r="J2443" s="42"/>
      <c r="K2443" s="42"/>
      <c r="L2443" s="42"/>
      <c r="M2443" s="42"/>
    </row>
    <row r="2444" spans="1:13" x14ac:dyDescent="0.2">
      <c r="A2444" s="42"/>
      <c r="B2444" s="42"/>
      <c r="C2444" s="42"/>
      <c r="D2444" s="42"/>
      <c r="E2444" s="42"/>
      <c r="F2444" s="42"/>
      <c r="G2444" s="42"/>
      <c r="H2444" s="42"/>
      <c r="I2444" s="42"/>
      <c r="J2444" s="42"/>
      <c r="K2444" s="42"/>
      <c r="L2444" s="42"/>
      <c r="M2444" s="42"/>
    </row>
    <row r="2445" spans="1:13" x14ac:dyDescent="0.2">
      <c r="A2445" s="42"/>
      <c r="B2445" s="42"/>
      <c r="C2445" s="42"/>
      <c r="D2445" s="42"/>
      <c r="E2445" s="42"/>
      <c r="F2445" s="42"/>
      <c r="G2445" s="42"/>
      <c r="H2445" s="42"/>
      <c r="I2445" s="42"/>
      <c r="J2445" s="42"/>
      <c r="K2445" s="42"/>
      <c r="L2445" s="42"/>
      <c r="M2445" s="42"/>
    </row>
    <row r="2446" spans="1:13" x14ac:dyDescent="0.2">
      <c r="A2446" s="42"/>
      <c r="B2446" s="42"/>
      <c r="C2446" s="42"/>
      <c r="D2446" s="42"/>
      <c r="E2446" s="42"/>
      <c r="F2446" s="42"/>
      <c r="G2446" s="42"/>
      <c r="H2446" s="42"/>
      <c r="I2446" s="42"/>
      <c r="J2446" s="42"/>
      <c r="K2446" s="42"/>
      <c r="L2446" s="42"/>
      <c r="M2446" s="42"/>
    </row>
    <row r="2447" spans="1:13" x14ac:dyDescent="0.2">
      <c r="A2447" s="42"/>
      <c r="B2447" s="42"/>
      <c r="C2447" s="42"/>
      <c r="D2447" s="42"/>
      <c r="E2447" s="42"/>
      <c r="F2447" s="42"/>
      <c r="G2447" s="42"/>
      <c r="H2447" s="42"/>
      <c r="I2447" s="42"/>
      <c r="J2447" s="42"/>
      <c r="K2447" s="42"/>
      <c r="L2447" s="42"/>
      <c r="M2447" s="42"/>
    </row>
    <row r="2448" spans="1:13" x14ac:dyDescent="0.2">
      <c r="A2448" s="42"/>
      <c r="B2448" s="42"/>
      <c r="C2448" s="42"/>
      <c r="D2448" s="42"/>
      <c r="E2448" s="42"/>
      <c r="F2448" s="42"/>
      <c r="G2448" s="42"/>
      <c r="H2448" s="42"/>
      <c r="I2448" s="42"/>
      <c r="J2448" s="42"/>
      <c r="K2448" s="42"/>
      <c r="L2448" s="42"/>
      <c r="M2448" s="42"/>
    </row>
    <row r="2449" spans="1:13" x14ac:dyDescent="0.2">
      <c r="A2449" s="42"/>
      <c r="B2449" s="42"/>
      <c r="C2449" s="42"/>
      <c r="D2449" s="42"/>
      <c r="E2449" s="42"/>
      <c r="F2449" s="42"/>
      <c r="G2449" s="42"/>
      <c r="H2449" s="42"/>
      <c r="I2449" s="42"/>
      <c r="J2449" s="42"/>
      <c r="K2449" s="42"/>
      <c r="L2449" s="42"/>
      <c r="M2449" s="42"/>
    </row>
    <row r="2450" spans="1:13" x14ac:dyDescent="0.2">
      <c r="A2450" s="42"/>
      <c r="B2450" s="42"/>
      <c r="C2450" s="42"/>
      <c r="D2450" s="42"/>
      <c r="E2450" s="42"/>
      <c r="F2450" s="42"/>
      <c r="G2450" s="42"/>
      <c r="H2450" s="42"/>
      <c r="I2450" s="42"/>
      <c r="J2450" s="42"/>
      <c r="K2450" s="42"/>
      <c r="L2450" s="42"/>
      <c r="M2450" s="42"/>
    </row>
    <row r="2451" spans="1:13" x14ac:dyDescent="0.2">
      <c r="A2451" s="42"/>
      <c r="B2451" s="42"/>
      <c r="C2451" s="42"/>
      <c r="D2451" s="42"/>
      <c r="E2451" s="42"/>
      <c r="F2451" s="42"/>
      <c r="G2451" s="42"/>
      <c r="H2451" s="42"/>
      <c r="I2451" s="42"/>
      <c r="J2451" s="42"/>
      <c r="K2451" s="42"/>
      <c r="L2451" s="42"/>
      <c r="M2451" s="42"/>
    </row>
    <row r="2452" spans="1:13" x14ac:dyDescent="0.2">
      <c r="A2452" s="42"/>
      <c r="B2452" s="42"/>
      <c r="C2452" s="42"/>
      <c r="D2452" s="42"/>
      <c r="E2452" s="42"/>
      <c r="F2452" s="42"/>
      <c r="G2452" s="42"/>
      <c r="H2452" s="42"/>
      <c r="I2452" s="42"/>
      <c r="J2452" s="42"/>
      <c r="K2452" s="42"/>
      <c r="L2452" s="42"/>
      <c r="M2452" s="42"/>
    </row>
    <row r="2453" spans="1:13" x14ac:dyDescent="0.2">
      <c r="A2453" s="42"/>
      <c r="B2453" s="42"/>
      <c r="C2453" s="42"/>
      <c r="D2453" s="42"/>
      <c r="E2453" s="42"/>
      <c r="F2453" s="42"/>
      <c r="G2453" s="42"/>
      <c r="H2453" s="42"/>
      <c r="I2453" s="42"/>
      <c r="J2453" s="42"/>
      <c r="K2453" s="42"/>
      <c r="L2453" s="42"/>
      <c r="M2453" s="42"/>
    </row>
    <row r="2454" spans="1:13" x14ac:dyDescent="0.2">
      <c r="A2454" s="42"/>
      <c r="B2454" s="42"/>
      <c r="C2454" s="42"/>
      <c r="D2454" s="42"/>
      <c r="E2454" s="42"/>
      <c r="F2454" s="42"/>
      <c r="G2454" s="42"/>
      <c r="H2454" s="42"/>
      <c r="I2454" s="42"/>
      <c r="J2454" s="42"/>
      <c r="K2454" s="42"/>
      <c r="L2454" s="42"/>
      <c r="M2454" s="42"/>
    </row>
    <row r="2455" spans="1:13" x14ac:dyDescent="0.2">
      <c r="A2455" s="42"/>
      <c r="B2455" s="42"/>
      <c r="C2455" s="42"/>
      <c r="D2455" s="42"/>
      <c r="E2455" s="42"/>
      <c r="F2455" s="42"/>
      <c r="G2455" s="42"/>
      <c r="H2455" s="42"/>
      <c r="I2455" s="42"/>
      <c r="J2455" s="42"/>
      <c r="K2455" s="42"/>
      <c r="L2455" s="42"/>
      <c r="M2455" s="42"/>
    </row>
    <row r="2456" spans="1:13" x14ac:dyDescent="0.2">
      <c r="A2456" s="42"/>
      <c r="B2456" s="42"/>
      <c r="C2456" s="42"/>
      <c r="D2456" s="42"/>
      <c r="E2456" s="42"/>
      <c r="F2456" s="42"/>
      <c r="G2456" s="42"/>
      <c r="H2456" s="42"/>
      <c r="I2456" s="42"/>
      <c r="J2456" s="42"/>
      <c r="K2456" s="42"/>
      <c r="L2456" s="42"/>
      <c r="M2456" s="42"/>
    </row>
    <row r="2457" spans="1:13" x14ac:dyDescent="0.2">
      <c r="A2457" s="42"/>
      <c r="B2457" s="42"/>
      <c r="C2457" s="42"/>
      <c r="D2457" s="42"/>
      <c r="E2457" s="42"/>
      <c r="F2457" s="42"/>
      <c r="G2457" s="42"/>
      <c r="H2457" s="42"/>
      <c r="I2457" s="42"/>
      <c r="J2457" s="42"/>
      <c r="K2457" s="42"/>
      <c r="L2457" s="42"/>
      <c r="M2457" s="42"/>
    </row>
    <row r="2458" spans="1:13" x14ac:dyDescent="0.2">
      <c r="A2458" s="42"/>
      <c r="B2458" s="42"/>
      <c r="C2458" s="42"/>
      <c r="D2458" s="42"/>
      <c r="E2458" s="42"/>
      <c r="F2458" s="42"/>
      <c r="G2458" s="42"/>
      <c r="H2458" s="42"/>
      <c r="I2458" s="42"/>
      <c r="J2458" s="42"/>
      <c r="K2458" s="42"/>
      <c r="L2458" s="42"/>
      <c r="M2458" s="42"/>
    </row>
    <row r="2459" spans="1:13" x14ac:dyDescent="0.2">
      <c r="A2459" s="42"/>
      <c r="B2459" s="42"/>
      <c r="C2459" s="42"/>
      <c r="D2459" s="42"/>
      <c r="E2459" s="42"/>
      <c r="F2459" s="42"/>
      <c r="G2459" s="42"/>
      <c r="H2459" s="42"/>
      <c r="I2459" s="42"/>
      <c r="J2459" s="42"/>
      <c r="K2459" s="42"/>
      <c r="L2459" s="42"/>
      <c r="M2459" s="42"/>
    </row>
    <row r="2460" spans="1:13" x14ac:dyDescent="0.2">
      <c r="A2460" s="42"/>
      <c r="B2460" s="42"/>
      <c r="C2460" s="42"/>
      <c r="D2460" s="42"/>
      <c r="E2460" s="42"/>
      <c r="F2460" s="42"/>
      <c r="G2460" s="42"/>
      <c r="H2460" s="42"/>
      <c r="I2460" s="42"/>
      <c r="J2460" s="42"/>
      <c r="K2460" s="42"/>
      <c r="L2460" s="42"/>
      <c r="M2460" s="42"/>
    </row>
    <row r="2461" spans="1:13" x14ac:dyDescent="0.2">
      <c r="A2461" s="42"/>
      <c r="B2461" s="42"/>
      <c r="C2461" s="42"/>
      <c r="D2461" s="42"/>
      <c r="E2461" s="42"/>
      <c r="F2461" s="42"/>
      <c r="G2461" s="42"/>
      <c r="H2461" s="42"/>
      <c r="I2461" s="42"/>
      <c r="J2461" s="42"/>
      <c r="K2461" s="42"/>
      <c r="L2461" s="42"/>
      <c r="M2461" s="42"/>
    </row>
    <row r="2462" spans="1:13" x14ac:dyDescent="0.2">
      <c r="A2462" s="42"/>
      <c r="B2462" s="42"/>
      <c r="C2462" s="42"/>
      <c r="D2462" s="42"/>
      <c r="E2462" s="42"/>
      <c r="F2462" s="42"/>
      <c r="G2462" s="42"/>
      <c r="H2462" s="42"/>
      <c r="I2462" s="42"/>
      <c r="J2462" s="42"/>
      <c r="K2462" s="42"/>
      <c r="L2462" s="42"/>
      <c r="M2462" s="42"/>
    </row>
    <row r="2463" spans="1:13" x14ac:dyDescent="0.2">
      <c r="A2463" s="42"/>
      <c r="B2463" s="42"/>
      <c r="C2463" s="42"/>
      <c r="D2463" s="42"/>
      <c r="E2463" s="42"/>
      <c r="F2463" s="42"/>
      <c r="G2463" s="42"/>
      <c r="H2463" s="42"/>
      <c r="I2463" s="42"/>
      <c r="J2463" s="42"/>
      <c r="K2463" s="42"/>
      <c r="L2463" s="42"/>
      <c r="M2463" s="42"/>
    </row>
    <row r="2464" spans="1:13" x14ac:dyDescent="0.2">
      <c r="A2464" s="42"/>
      <c r="B2464" s="42"/>
      <c r="C2464" s="42"/>
      <c r="D2464" s="42"/>
      <c r="E2464" s="42"/>
      <c r="F2464" s="42"/>
      <c r="G2464" s="42"/>
      <c r="H2464" s="42"/>
      <c r="I2464" s="42"/>
      <c r="J2464" s="42"/>
      <c r="K2464" s="42"/>
      <c r="L2464" s="42"/>
      <c r="M2464" s="42"/>
    </row>
    <row r="2465" spans="1:13" x14ac:dyDescent="0.2">
      <c r="A2465" s="42"/>
      <c r="B2465" s="42"/>
      <c r="C2465" s="42"/>
      <c r="D2465" s="42"/>
      <c r="E2465" s="42"/>
      <c r="F2465" s="42"/>
      <c r="G2465" s="42"/>
      <c r="H2465" s="42"/>
      <c r="I2465" s="42"/>
      <c r="J2465" s="42"/>
      <c r="K2465" s="42"/>
      <c r="L2465" s="42"/>
      <c r="M2465" s="42"/>
    </row>
    <row r="2466" spans="1:13" x14ac:dyDescent="0.2">
      <c r="A2466" s="42"/>
      <c r="B2466" s="42"/>
      <c r="C2466" s="42"/>
      <c r="D2466" s="42"/>
      <c r="E2466" s="42"/>
      <c r="F2466" s="42"/>
      <c r="G2466" s="42"/>
      <c r="H2466" s="42"/>
      <c r="I2466" s="42"/>
      <c r="J2466" s="42"/>
      <c r="K2466" s="42"/>
      <c r="L2466" s="42"/>
      <c r="M2466" s="42"/>
    </row>
    <row r="2467" spans="1:13" x14ac:dyDescent="0.2">
      <c r="A2467" s="42"/>
      <c r="B2467" s="42"/>
      <c r="C2467" s="42"/>
      <c r="D2467" s="42"/>
      <c r="E2467" s="42"/>
      <c r="F2467" s="42"/>
      <c r="G2467" s="42"/>
      <c r="H2467" s="42"/>
      <c r="I2467" s="42"/>
      <c r="J2467" s="42"/>
      <c r="K2467" s="42"/>
      <c r="L2467" s="42"/>
      <c r="M2467" s="42"/>
    </row>
    <row r="2468" spans="1:13" x14ac:dyDescent="0.2">
      <c r="A2468" s="42"/>
      <c r="B2468" s="42"/>
      <c r="C2468" s="42"/>
      <c r="D2468" s="42"/>
      <c r="E2468" s="42"/>
      <c r="F2468" s="42"/>
      <c r="G2468" s="42"/>
      <c r="H2468" s="42"/>
      <c r="I2468" s="42"/>
      <c r="J2468" s="42"/>
      <c r="K2468" s="42"/>
      <c r="L2468" s="42"/>
      <c r="M2468" s="42"/>
    </row>
    <row r="2469" spans="1:13" x14ac:dyDescent="0.2">
      <c r="A2469" s="42"/>
      <c r="B2469" s="42"/>
      <c r="C2469" s="42"/>
      <c r="D2469" s="42"/>
      <c r="E2469" s="42"/>
      <c r="F2469" s="42"/>
      <c r="G2469" s="42"/>
      <c r="H2469" s="42"/>
      <c r="I2469" s="42"/>
      <c r="J2469" s="42"/>
      <c r="K2469" s="42"/>
      <c r="L2469" s="42"/>
      <c r="M2469" s="42"/>
    </row>
    <row r="2470" spans="1:13" x14ac:dyDescent="0.2">
      <c r="A2470" s="42"/>
      <c r="B2470" s="42"/>
      <c r="C2470" s="42"/>
      <c r="D2470" s="42"/>
      <c r="E2470" s="42"/>
      <c r="F2470" s="42"/>
      <c r="G2470" s="42"/>
      <c r="H2470" s="42"/>
      <c r="I2470" s="42"/>
      <c r="J2470" s="42"/>
      <c r="K2470" s="42"/>
      <c r="L2470" s="42"/>
      <c r="M2470" s="42"/>
    </row>
    <row r="2471" spans="1:13" x14ac:dyDescent="0.2">
      <c r="A2471" s="42"/>
      <c r="B2471" s="42"/>
      <c r="C2471" s="42"/>
      <c r="D2471" s="42"/>
      <c r="E2471" s="42"/>
      <c r="F2471" s="42"/>
      <c r="G2471" s="42"/>
      <c r="H2471" s="42"/>
      <c r="I2471" s="42"/>
      <c r="J2471" s="42"/>
      <c r="K2471" s="42"/>
      <c r="L2471" s="42"/>
      <c r="M2471" s="42"/>
    </row>
    <row r="2472" spans="1:13" x14ac:dyDescent="0.2">
      <c r="A2472" s="42"/>
      <c r="B2472" s="42"/>
      <c r="C2472" s="42"/>
      <c r="D2472" s="42"/>
      <c r="E2472" s="42"/>
      <c r="F2472" s="42"/>
      <c r="G2472" s="42"/>
      <c r="H2472" s="42"/>
      <c r="I2472" s="42"/>
      <c r="J2472" s="42"/>
      <c r="K2472" s="42"/>
      <c r="L2472" s="42"/>
      <c r="M2472" s="42"/>
    </row>
    <row r="2473" spans="1:13" x14ac:dyDescent="0.2">
      <c r="A2473" s="42"/>
      <c r="B2473" s="42"/>
      <c r="C2473" s="42"/>
      <c r="D2473" s="42"/>
      <c r="E2473" s="42"/>
      <c r="F2473" s="42"/>
      <c r="G2473" s="42"/>
      <c r="H2473" s="42"/>
      <c r="I2473" s="42"/>
      <c r="J2473" s="42"/>
      <c r="K2473" s="42"/>
      <c r="L2473" s="42"/>
      <c r="M2473" s="42"/>
    </row>
    <row r="2474" spans="1:13" x14ac:dyDescent="0.2">
      <c r="A2474" s="42"/>
      <c r="B2474" s="42"/>
      <c r="C2474" s="42"/>
      <c r="D2474" s="42"/>
      <c r="E2474" s="42"/>
      <c r="F2474" s="42"/>
      <c r="G2474" s="42"/>
      <c r="H2474" s="42"/>
      <c r="I2474" s="42"/>
      <c r="J2474" s="42"/>
      <c r="K2474" s="42"/>
      <c r="L2474" s="42"/>
      <c r="M2474" s="42"/>
    </row>
    <row r="2475" spans="1:13" x14ac:dyDescent="0.2">
      <c r="A2475" s="42"/>
      <c r="B2475" s="42"/>
      <c r="C2475" s="42"/>
      <c r="D2475" s="42"/>
      <c r="E2475" s="42"/>
      <c r="F2475" s="42"/>
      <c r="G2475" s="42"/>
      <c r="H2475" s="42"/>
      <c r="I2475" s="42"/>
      <c r="J2475" s="42"/>
      <c r="K2475" s="42"/>
      <c r="L2475" s="42"/>
      <c r="M2475" s="42"/>
    </row>
    <row r="2476" spans="1:13" x14ac:dyDescent="0.2">
      <c r="A2476" s="42"/>
      <c r="B2476" s="42"/>
      <c r="C2476" s="42"/>
      <c r="D2476" s="42"/>
      <c r="E2476" s="42"/>
      <c r="F2476" s="42"/>
      <c r="G2476" s="42"/>
      <c r="H2476" s="42"/>
      <c r="I2476" s="42"/>
      <c r="J2476" s="42"/>
      <c r="K2476" s="42"/>
      <c r="L2476" s="42"/>
      <c r="M2476" s="42"/>
    </row>
    <row r="2477" spans="1:13" x14ac:dyDescent="0.2">
      <c r="A2477" s="42"/>
      <c r="B2477" s="42"/>
      <c r="C2477" s="42"/>
      <c r="D2477" s="42"/>
      <c r="E2477" s="42"/>
      <c r="F2477" s="42"/>
      <c r="G2477" s="42"/>
      <c r="H2477" s="42"/>
      <c r="I2477" s="42"/>
      <c r="J2477" s="42"/>
      <c r="K2477" s="42"/>
      <c r="L2477" s="42"/>
      <c r="M2477" s="42"/>
    </row>
    <row r="2478" spans="1:13" x14ac:dyDescent="0.2">
      <c r="A2478" s="42"/>
      <c r="B2478" s="42"/>
      <c r="C2478" s="42"/>
      <c r="D2478" s="42"/>
      <c r="E2478" s="42"/>
      <c r="F2478" s="42"/>
      <c r="G2478" s="42"/>
      <c r="H2478" s="42"/>
      <c r="I2478" s="42"/>
      <c r="J2478" s="42"/>
      <c r="K2478" s="42"/>
      <c r="L2478" s="42"/>
      <c r="M2478" s="42"/>
    </row>
    <row r="2479" spans="1:13" x14ac:dyDescent="0.2">
      <c r="A2479" s="42"/>
      <c r="B2479" s="42"/>
      <c r="C2479" s="42"/>
      <c r="D2479" s="42"/>
      <c r="E2479" s="42"/>
      <c r="F2479" s="42"/>
      <c r="G2479" s="42"/>
      <c r="H2479" s="42"/>
      <c r="I2479" s="42"/>
      <c r="J2479" s="42"/>
      <c r="K2479" s="42"/>
      <c r="L2479" s="42"/>
      <c r="M2479" s="42"/>
    </row>
    <row r="2480" spans="1:13" x14ac:dyDescent="0.2">
      <c r="A2480" s="42"/>
      <c r="B2480" s="42"/>
      <c r="C2480" s="42"/>
      <c r="D2480" s="42"/>
      <c r="E2480" s="42"/>
      <c r="F2480" s="42"/>
      <c r="G2480" s="42"/>
      <c r="H2480" s="42"/>
      <c r="I2480" s="42"/>
      <c r="J2480" s="42"/>
      <c r="K2480" s="42"/>
      <c r="L2480" s="42"/>
      <c r="M2480" s="42"/>
    </row>
    <row r="2481" spans="1:13" x14ac:dyDescent="0.2">
      <c r="A2481" s="42"/>
      <c r="B2481" s="42"/>
      <c r="C2481" s="42"/>
      <c r="D2481" s="42"/>
      <c r="E2481" s="42"/>
      <c r="F2481" s="42"/>
      <c r="G2481" s="42"/>
      <c r="H2481" s="42"/>
      <c r="I2481" s="42"/>
      <c r="J2481" s="42"/>
      <c r="K2481" s="42"/>
      <c r="L2481" s="42"/>
      <c r="M2481" s="42"/>
    </row>
    <row r="2482" spans="1:13" x14ac:dyDescent="0.2">
      <c r="A2482" s="42"/>
      <c r="B2482" s="42"/>
      <c r="C2482" s="42"/>
      <c r="D2482" s="42"/>
      <c r="E2482" s="42"/>
      <c r="F2482" s="42"/>
      <c r="G2482" s="42"/>
      <c r="H2482" s="42"/>
      <c r="I2482" s="42"/>
      <c r="J2482" s="42"/>
      <c r="K2482" s="42"/>
      <c r="L2482" s="42"/>
      <c r="M2482" s="42"/>
    </row>
    <row r="2483" spans="1:13" x14ac:dyDescent="0.2">
      <c r="A2483" s="42"/>
      <c r="B2483" s="42"/>
      <c r="C2483" s="42"/>
      <c r="D2483" s="42"/>
      <c r="E2483" s="42"/>
      <c r="F2483" s="42"/>
      <c r="G2483" s="42"/>
      <c r="H2483" s="42"/>
      <c r="I2483" s="42"/>
      <c r="J2483" s="42"/>
      <c r="K2483" s="42"/>
      <c r="L2483" s="42"/>
      <c r="M2483" s="42"/>
    </row>
    <row r="2484" spans="1:13" x14ac:dyDescent="0.2">
      <c r="A2484" s="42"/>
      <c r="B2484" s="42"/>
      <c r="C2484" s="42"/>
      <c r="D2484" s="42"/>
      <c r="E2484" s="42"/>
      <c r="F2484" s="42"/>
      <c r="G2484" s="42"/>
      <c r="H2484" s="42"/>
      <c r="I2484" s="42"/>
      <c r="J2484" s="42"/>
      <c r="K2484" s="42"/>
      <c r="L2484" s="42"/>
      <c r="M2484" s="42"/>
    </row>
    <row r="2485" spans="1:13" x14ac:dyDescent="0.2">
      <c r="A2485" s="42"/>
      <c r="B2485" s="42"/>
      <c r="C2485" s="42"/>
      <c r="D2485" s="42"/>
      <c r="E2485" s="42"/>
      <c r="F2485" s="42"/>
      <c r="G2485" s="42"/>
      <c r="H2485" s="42"/>
      <c r="I2485" s="42"/>
      <c r="J2485" s="42"/>
      <c r="K2485" s="42"/>
      <c r="L2485" s="42"/>
      <c r="M2485" s="42"/>
    </row>
    <row r="2486" spans="1:13" x14ac:dyDescent="0.2">
      <c r="A2486" s="42"/>
      <c r="B2486" s="42"/>
      <c r="C2486" s="42"/>
      <c r="D2486" s="42"/>
      <c r="E2486" s="42"/>
      <c r="F2486" s="42"/>
      <c r="G2486" s="42"/>
      <c r="H2486" s="42"/>
      <c r="I2486" s="42"/>
      <c r="J2486" s="42"/>
      <c r="K2486" s="42"/>
      <c r="L2486" s="42"/>
      <c r="M2486" s="42"/>
    </row>
    <row r="2487" spans="1:13" x14ac:dyDescent="0.2">
      <c r="A2487" s="42"/>
      <c r="B2487" s="42"/>
      <c r="C2487" s="42"/>
      <c r="D2487" s="42"/>
      <c r="E2487" s="42"/>
      <c r="F2487" s="42"/>
      <c r="G2487" s="42"/>
      <c r="H2487" s="42"/>
      <c r="I2487" s="42"/>
      <c r="J2487" s="42"/>
      <c r="K2487" s="42"/>
      <c r="L2487" s="42"/>
      <c r="M2487" s="42"/>
    </row>
    <row r="2488" spans="1:13" x14ac:dyDescent="0.2">
      <c r="A2488" s="42"/>
      <c r="B2488" s="42"/>
      <c r="C2488" s="42"/>
      <c r="D2488" s="42"/>
      <c r="E2488" s="42"/>
      <c r="F2488" s="42"/>
      <c r="G2488" s="42"/>
      <c r="H2488" s="42"/>
      <c r="I2488" s="42"/>
      <c r="J2488" s="42"/>
      <c r="K2488" s="42"/>
      <c r="L2488" s="42"/>
      <c r="M2488" s="42"/>
    </row>
    <row r="2489" spans="1:13" x14ac:dyDescent="0.2">
      <c r="A2489" s="42"/>
      <c r="B2489" s="42"/>
      <c r="C2489" s="42"/>
      <c r="D2489" s="42"/>
      <c r="E2489" s="42"/>
      <c r="F2489" s="42"/>
      <c r="G2489" s="42"/>
      <c r="H2489" s="42"/>
      <c r="I2489" s="42"/>
      <c r="J2489" s="42"/>
      <c r="K2489" s="42"/>
      <c r="L2489" s="42"/>
      <c r="M2489" s="42"/>
    </row>
    <row r="2490" spans="1:13" x14ac:dyDescent="0.2">
      <c r="A2490" s="42"/>
      <c r="B2490" s="42"/>
      <c r="C2490" s="42"/>
      <c r="D2490" s="42"/>
      <c r="E2490" s="42"/>
      <c r="F2490" s="42"/>
      <c r="G2490" s="42"/>
      <c r="H2490" s="42"/>
      <c r="I2490" s="42"/>
      <c r="J2490" s="42"/>
      <c r="K2490" s="42"/>
      <c r="L2490" s="42"/>
      <c r="M2490" s="42"/>
    </row>
    <row r="2491" spans="1:13" x14ac:dyDescent="0.2">
      <c r="A2491" s="42"/>
      <c r="B2491" s="42"/>
      <c r="C2491" s="42"/>
      <c r="D2491" s="42"/>
      <c r="E2491" s="42"/>
      <c r="F2491" s="42"/>
      <c r="G2491" s="42"/>
      <c r="H2491" s="42"/>
      <c r="I2491" s="42"/>
      <c r="J2491" s="42"/>
      <c r="K2491" s="42"/>
      <c r="L2491" s="42"/>
      <c r="M2491" s="42"/>
    </row>
    <row r="2492" spans="1:13" x14ac:dyDescent="0.2">
      <c r="A2492" s="42"/>
      <c r="B2492" s="42"/>
      <c r="C2492" s="42"/>
      <c r="D2492" s="42"/>
      <c r="E2492" s="42"/>
      <c r="F2492" s="42"/>
      <c r="G2492" s="42"/>
      <c r="H2492" s="42"/>
      <c r="I2492" s="42"/>
      <c r="J2492" s="42"/>
      <c r="K2492" s="42"/>
      <c r="L2492" s="42"/>
      <c r="M2492" s="42"/>
    </row>
    <row r="2493" spans="1:13" x14ac:dyDescent="0.2">
      <c r="A2493" s="42"/>
      <c r="B2493" s="42"/>
      <c r="C2493" s="42"/>
      <c r="D2493" s="42"/>
      <c r="E2493" s="42"/>
      <c r="F2493" s="42"/>
      <c r="G2493" s="42"/>
      <c r="H2493" s="42"/>
      <c r="I2493" s="42"/>
      <c r="J2493" s="42"/>
      <c r="K2493" s="42"/>
      <c r="L2493" s="42"/>
      <c r="M2493" s="42"/>
    </row>
    <row r="2494" spans="1:13" x14ac:dyDescent="0.2">
      <c r="A2494" s="42"/>
      <c r="B2494" s="42"/>
      <c r="C2494" s="42"/>
      <c r="D2494" s="42"/>
      <c r="E2494" s="42"/>
      <c r="F2494" s="42"/>
      <c r="G2494" s="42"/>
      <c r="H2494" s="42"/>
      <c r="I2494" s="42"/>
      <c r="J2494" s="42"/>
      <c r="K2494" s="42"/>
      <c r="L2494" s="42"/>
      <c r="M2494" s="42"/>
    </row>
    <row r="2495" spans="1:13" x14ac:dyDescent="0.2">
      <c r="A2495" s="42"/>
      <c r="B2495" s="42"/>
      <c r="C2495" s="42"/>
      <c r="D2495" s="42"/>
      <c r="E2495" s="42"/>
      <c r="F2495" s="42"/>
      <c r="G2495" s="42"/>
      <c r="H2495" s="42"/>
      <c r="I2495" s="42"/>
      <c r="J2495" s="42"/>
      <c r="K2495" s="42"/>
      <c r="L2495" s="42"/>
      <c r="M2495" s="42"/>
    </row>
    <row r="2496" spans="1:13" x14ac:dyDescent="0.2">
      <c r="A2496" s="42"/>
      <c r="B2496" s="42"/>
      <c r="C2496" s="42"/>
      <c r="D2496" s="42"/>
      <c r="E2496" s="42"/>
      <c r="F2496" s="42"/>
      <c r="G2496" s="42"/>
      <c r="H2496" s="42"/>
      <c r="I2496" s="42"/>
      <c r="J2496" s="42"/>
      <c r="K2496" s="42"/>
      <c r="L2496" s="42"/>
      <c r="M2496" s="42"/>
    </row>
    <row r="2497" spans="1:13" x14ac:dyDescent="0.2">
      <c r="A2497" s="42"/>
      <c r="B2497" s="42"/>
      <c r="C2497" s="42"/>
      <c r="D2497" s="42"/>
      <c r="E2497" s="42"/>
      <c r="F2497" s="42"/>
      <c r="G2497" s="42"/>
      <c r="H2497" s="42"/>
      <c r="I2497" s="42"/>
      <c r="J2497" s="42"/>
      <c r="K2497" s="42"/>
      <c r="L2497" s="42"/>
      <c r="M2497" s="42"/>
    </row>
    <row r="2498" spans="1:13" x14ac:dyDescent="0.2">
      <c r="A2498" s="42"/>
      <c r="B2498" s="42"/>
      <c r="C2498" s="42"/>
      <c r="D2498" s="42"/>
      <c r="E2498" s="42"/>
      <c r="F2498" s="42"/>
      <c r="G2498" s="42"/>
      <c r="H2498" s="42"/>
      <c r="I2498" s="42"/>
      <c r="J2498" s="42"/>
      <c r="K2498" s="42"/>
      <c r="L2498" s="42"/>
      <c r="M2498" s="42"/>
    </row>
    <row r="2499" spans="1:13" x14ac:dyDescent="0.2">
      <c r="A2499" s="42"/>
      <c r="B2499" s="42"/>
      <c r="C2499" s="42"/>
      <c r="D2499" s="42"/>
      <c r="E2499" s="42"/>
      <c r="F2499" s="42"/>
      <c r="G2499" s="42"/>
      <c r="H2499" s="42"/>
      <c r="I2499" s="42"/>
      <c r="J2499" s="42"/>
      <c r="K2499" s="42"/>
      <c r="L2499" s="42"/>
      <c r="M2499" s="42"/>
    </row>
    <row r="2500" spans="1:13" x14ac:dyDescent="0.2">
      <c r="A2500" s="42"/>
      <c r="B2500" s="42"/>
      <c r="C2500" s="42"/>
      <c r="D2500" s="42"/>
      <c r="E2500" s="42"/>
      <c r="F2500" s="42"/>
      <c r="G2500" s="42"/>
      <c r="H2500" s="42"/>
      <c r="I2500" s="42"/>
      <c r="J2500" s="42"/>
      <c r="K2500" s="42"/>
      <c r="L2500" s="42"/>
      <c r="M2500" s="42"/>
    </row>
    <row r="2501" spans="1:13" x14ac:dyDescent="0.2">
      <c r="A2501" s="42"/>
      <c r="B2501" s="42"/>
      <c r="C2501" s="42"/>
      <c r="D2501" s="42"/>
      <c r="E2501" s="42"/>
      <c r="F2501" s="42"/>
      <c r="G2501" s="42"/>
      <c r="H2501" s="42"/>
      <c r="I2501" s="42"/>
      <c r="J2501" s="42"/>
      <c r="K2501" s="42"/>
      <c r="L2501" s="42"/>
      <c r="M2501" s="42"/>
    </row>
    <row r="2502" spans="1:13" x14ac:dyDescent="0.2">
      <c r="A2502" s="42"/>
      <c r="B2502" s="42"/>
      <c r="C2502" s="42"/>
      <c r="D2502" s="42"/>
      <c r="E2502" s="42"/>
      <c r="F2502" s="42"/>
      <c r="G2502" s="42"/>
      <c r="H2502" s="42"/>
      <c r="I2502" s="42"/>
      <c r="J2502" s="42"/>
      <c r="K2502" s="42"/>
      <c r="L2502" s="42"/>
      <c r="M2502" s="42"/>
    </row>
    <row r="2503" spans="1:13" x14ac:dyDescent="0.2">
      <c r="A2503" s="42"/>
      <c r="B2503" s="42"/>
      <c r="C2503" s="42"/>
      <c r="D2503" s="42"/>
      <c r="E2503" s="42"/>
      <c r="F2503" s="42"/>
      <c r="G2503" s="42"/>
      <c r="H2503" s="42"/>
      <c r="I2503" s="42"/>
      <c r="J2503" s="42"/>
      <c r="K2503" s="42"/>
      <c r="L2503" s="42"/>
      <c r="M2503" s="42"/>
    </row>
    <row r="2504" spans="1:13" x14ac:dyDescent="0.2">
      <c r="A2504" s="42"/>
      <c r="B2504" s="42"/>
      <c r="C2504" s="42"/>
      <c r="D2504" s="42"/>
      <c r="E2504" s="42"/>
      <c r="F2504" s="42"/>
      <c r="G2504" s="42"/>
      <c r="H2504" s="42"/>
      <c r="I2504" s="42"/>
      <c r="J2504" s="42"/>
      <c r="K2504" s="42"/>
      <c r="L2504" s="42"/>
      <c r="M2504" s="42"/>
    </row>
    <row r="2505" spans="1:13" x14ac:dyDescent="0.2">
      <c r="A2505" s="42"/>
      <c r="B2505" s="42"/>
      <c r="C2505" s="42"/>
      <c r="D2505" s="42"/>
      <c r="E2505" s="42"/>
      <c r="F2505" s="42"/>
      <c r="G2505" s="42"/>
      <c r="H2505" s="42"/>
      <c r="I2505" s="42"/>
      <c r="J2505" s="42"/>
      <c r="K2505" s="42"/>
      <c r="L2505" s="42"/>
      <c r="M2505" s="42"/>
    </row>
    <row r="2506" spans="1:13" x14ac:dyDescent="0.2">
      <c r="A2506" s="42"/>
      <c r="B2506" s="42"/>
      <c r="C2506" s="42"/>
      <c r="D2506" s="42"/>
      <c r="E2506" s="42"/>
      <c r="F2506" s="42"/>
      <c r="G2506" s="42"/>
      <c r="H2506" s="42"/>
      <c r="I2506" s="42"/>
      <c r="J2506" s="42"/>
      <c r="K2506" s="42"/>
      <c r="L2506" s="42"/>
      <c r="M2506" s="42"/>
    </row>
    <row r="2507" spans="1:13" x14ac:dyDescent="0.2">
      <c r="A2507" s="42"/>
      <c r="B2507" s="42"/>
      <c r="C2507" s="42"/>
      <c r="D2507" s="42"/>
      <c r="E2507" s="42"/>
      <c r="F2507" s="42"/>
      <c r="G2507" s="42"/>
      <c r="H2507" s="42"/>
      <c r="I2507" s="42"/>
      <c r="J2507" s="42"/>
      <c r="K2507" s="42"/>
      <c r="L2507" s="42"/>
      <c r="M2507" s="42"/>
    </row>
    <row r="2508" spans="1:13" x14ac:dyDescent="0.2">
      <c r="A2508" s="42"/>
      <c r="B2508" s="42"/>
      <c r="C2508" s="42"/>
      <c r="D2508" s="42"/>
      <c r="E2508" s="42"/>
      <c r="F2508" s="42"/>
      <c r="G2508" s="42"/>
      <c r="H2508" s="42"/>
      <c r="I2508" s="42"/>
      <c r="J2508" s="42"/>
      <c r="K2508" s="42"/>
      <c r="L2508" s="42"/>
      <c r="M2508" s="42"/>
    </row>
    <row r="2509" spans="1:13" x14ac:dyDescent="0.2">
      <c r="A2509" s="42"/>
      <c r="B2509" s="42"/>
      <c r="C2509" s="42"/>
      <c r="D2509" s="42"/>
      <c r="E2509" s="42"/>
      <c r="F2509" s="42"/>
      <c r="G2509" s="42"/>
      <c r="H2509" s="42"/>
      <c r="I2509" s="42"/>
      <c r="J2509" s="42"/>
      <c r="K2509" s="42"/>
      <c r="L2509" s="42"/>
      <c r="M2509" s="42"/>
    </row>
    <row r="2510" spans="1:13" x14ac:dyDescent="0.2">
      <c r="A2510" s="42"/>
      <c r="B2510" s="42"/>
      <c r="C2510" s="42"/>
      <c r="D2510" s="42"/>
      <c r="E2510" s="42"/>
      <c r="F2510" s="42"/>
      <c r="G2510" s="42"/>
      <c r="H2510" s="42"/>
      <c r="I2510" s="42"/>
      <c r="J2510" s="42"/>
      <c r="K2510" s="42"/>
      <c r="L2510" s="42"/>
      <c r="M2510" s="42"/>
    </row>
    <row r="2511" spans="1:13" x14ac:dyDescent="0.2">
      <c r="A2511" s="42"/>
      <c r="B2511" s="42"/>
      <c r="C2511" s="42"/>
      <c r="D2511" s="42"/>
      <c r="E2511" s="42"/>
      <c r="F2511" s="42"/>
      <c r="G2511" s="42"/>
      <c r="H2511" s="42"/>
      <c r="I2511" s="42"/>
      <c r="J2511" s="42"/>
      <c r="K2511" s="42"/>
      <c r="L2511" s="42"/>
      <c r="M2511" s="42"/>
    </row>
    <row r="2512" spans="1:13" x14ac:dyDescent="0.2">
      <c r="A2512" s="42"/>
      <c r="B2512" s="42"/>
      <c r="C2512" s="42"/>
      <c r="D2512" s="42"/>
      <c r="E2512" s="42"/>
      <c r="F2512" s="42"/>
      <c r="G2512" s="42"/>
      <c r="H2512" s="42"/>
      <c r="I2512" s="42"/>
      <c r="J2512" s="42"/>
      <c r="K2512" s="42"/>
      <c r="L2512" s="42"/>
      <c r="M2512" s="42"/>
    </row>
    <row r="2513" spans="1:13" x14ac:dyDescent="0.2">
      <c r="A2513" s="42"/>
      <c r="B2513" s="42"/>
      <c r="C2513" s="42"/>
      <c r="D2513" s="42"/>
      <c r="E2513" s="42"/>
      <c r="F2513" s="42"/>
      <c r="G2513" s="42"/>
      <c r="H2513" s="42"/>
      <c r="I2513" s="42"/>
      <c r="J2513" s="42"/>
      <c r="K2513" s="42"/>
      <c r="L2513" s="42"/>
      <c r="M2513" s="42"/>
    </row>
    <row r="2514" spans="1:13" x14ac:dyDescent="0.2">
      <c r="A2514" s="42"/>
      <c r="B2514" s="42"/>
      <c r="C2514" s="42"/>
      <c r="D2514" s="42"/>
      <c r="E2514" s="42"/>
      <c r="F2514" s="42"/>
      <c r="G2514" s="42"/>
      <c r="H2514" s="42"/>
      <c r="I2514" s="42"/>
      <c r="J2514" s="42"/>
      <c r="K2514" s="42"/>
      <c r="L2514" s="42"/>
      <c r="M2514" s="42"/>
    </row>
    <row r="2515" spans="1:13" x14ac:dyDescent="0.2">
      <c r="A2515" s="42"/>
      <c r="B2515" s="42"/>
      <c r="C2515" s="42"/>
      <c r="D2515" s="42"/>
      <c r="E2515" s="42"/>
      <c r="F2515" s="42"/>
      <c r="G2515" s="42"/>
      <c r="H2515" s="42"/>
      <c r="I2515" s="42"/>
      <c r="J2515" s="42"/>
      <c r="K2515" s="42"/>
      <c r="L2515" s="42"/>
      <c r="M2515" s="42"/>
    </row>
    <row r="2516" spans="1:13" x14ac:dyDescent="0.2">
      <c r="A2516" s="42"/>
      <c r="B2516" s="42"/>
      <c r="C2516" s="42"/>
      <c r="D2516" s="42"/>
      <c r="E2516" s="42"/>
      <c r="F2516" s="42"/>
      <c r="G2516" s="42"/>
      <c r="H2516" s="42"/>
      <c r="I2516" s="42"/>
      <c r="J2516" s="42"/>
      <c r="K2516" s="42"/>
      <c r="L2516" s="42"/>
      <c r="M2516" s="42"/>
    </row>
    <row r="2517" spans="1:13" x14ac:dyDescent="0.2">
      <c r="A2517" s="42"/>
      <c r="B2517" s="42"/>
      <c r="C2517" s="42"/>
      <c r="D2517" s="42"/>
      <c r="E2517" s="42"/>
      <c r="F2517" s="42"/>
      <c r="G2517" s="42"/>
      <c r="H2517" s="42"/>
      <c r="I2517" s="42"/>
      <c r="J2517" s="42"/>
      <c r="K2517" s="42"/>
      <c r="L2517" s="42"/>
      <c r="M2517" s="42"/>
    </row>
    <row r="2518" spans="1:13" x14ac:dyDescent="0.2">
      <c r="A2518" s="42"/>
      <c r="B2518" s="42"/>
      <c r="C2518" s="42"/>
      <c r="D2518" s="42"/>
      <c r="E2518" s="42"/>
      <c r="F2518" s="42"/>
      <c r="G2518" s="42"/>
      <c r="H2518" s="42"/>
      <c r="I2518" s="42"/>
      <c r="J2518" s="42"/>
      <c r="K2518" s="42"/>
      <c r="L2518" s="42"/>
      <c r="M2518" s="42"/>
    </row>
    <row r="2519" spans="1:13" x14ac:dyDescent="0.2">
      <c r="A2519" s="42"/>
      <c r="B2519" s="42"/>
      <c r="C2519" s="42"/>
      <c r="D2519" s="42"/>
      <c r="E2519" s="42"/>
      <c r="F2519" s="42"/>
      <c r="G2519" s="42"/>
      <c r="H2519" s="42"/>
      <c r="I2519" s="42"/>
      <c r="J2519" s="42"/>
      <c r="K2519" s="42"/>
      <c r="L2519" s="42"/>
      <c r="M2519" s="42"/>
    </row>
    <row r="2520" spans="1:13" x14ac:dyDescent="0.2">
      <c r="A2520" s="42"/>
      <c r="B2520" s="42"/>
      <c r="C2520" s="42"/>
      <c r="D2520" s="42"/>
      <c r="E2520" s="42"/>
      <c r="F2520" s="42"/>
      <c r="G2520" s="42"/>
      <c r="H2520" s="42"/>
      <c r="I2520" s="42"/>
      <c r="J2520" s="42"/>
      <c r="K2520" s="42"/>
      <c r="L2520" s="42"/>
      <c r="M2520" s="42"/>
    </row>
    <row r="2521" spans="1:13" x14ac:dyDescent="0.2">
      <c r="A2521" s="42"/>
      <c r="B2521" s="42"/>
      <c r="C2521" s="42"/>
      <c r="D2521" s="42"/>
      <c r="E2521" s="42"/>
      <c r="F2521" s="42"/>
      <c r="G2521" s="42"/>
      <c r="H2521" s="42"/>
      <c r="I2521" s="42"/>
      <c r="J2521" s="42"/>
      <c r="K2521" s="42"/>
      <c r="L2521" s="42"/>
      <c r="M2521" s="42"/>
    </row>
    <row r="2522" spans="1:13" x14ac:dyDescent="0.2">
      <c r="A2522" s="42"/>
      <c r="B2522" s="42"/>
      <c r="C2522" s="42"/>
      <c r="D2522" s="42"/>
      <c r="E2522" s="42"/>
      <c r="F2522" s="42"/>
      <c r="G2522" s="42"/>
      <c r="H2522" s="42"/>
      <c r="I2522" s="42"/>
      <c r="J2522" s="42"/>
      <c r="K2522" s="42"/>
      <c r="L2522" s="42"/>
      <c r="M2522" s="42"/>
    </row>
    <row r="2523" spans="1:13" x14ac:dyDescent="0.2">
      <c r="A2523" s="42"/>
      <c r="B2523" s="42"/>
      <c r="C2523" s="42"/>
      <c r="D2523" s="42"/>
      <c r="E2523" s="42"/>
      <c r="F2523" s="42"/>
      <c r="G2523" s="42"/>
      <c r="H2523" s="42"/>
      <c r="I2523" s="42"/>
      <c r="J2523" s="42"/>
      <c r="K2523" s="42"/>
      <c r="L2523" s="42"/>
      <c r="M2523" s="42"/>
    </row>
    <row r="2524" spans="1:13" x14ac:dyDescent="0.2">
      <c r="A2524" s="42"/>
      <c r="B2524" s="42"/>
      <c r="C2524" s="42"/>
      <c r="D2524" s="42"/>
      <c r="E2524" s="42"/>
      <c r="F2524" s="42"/>
      <c r="G2524" s="42"/>
      <c r="H2524" s="42"/>
      <c r="I2524" s="42"/>
      <c r="J2524" s="42"/>
      <c r="K2524" s="42"/>
      <c r="L2524" s="42"/>
      <c r="M2524" s="42"/>
    </row>
    <row r="2525" spans="1:13" x14ac:dyDescent="0.2">
      <c r="A2525" s="42"/>
      <c r="B2525" s="42"/>
      <c r="C2525" s="42"/>
      <c r="D2525" s="42"/>
      <c r="E2525" s="42"/>
      <c r="F2525" s="42"/>
      <c r="G2525" s="42"/>
      <c r="H2525" s="42"/>
      <c r="I2525" s="42"/>
      <c r="J2525" s="42"/>
      <c r="K2525" s="42"/>
      <c r="L2525" s="42"/>
      <c r="M2525" s="42"/>
    </row>
    <row r="2526" spans="1:13" x14ac:dyDescent="0.2">
      <c r="A2526" s="42"/>
      <c r="B2526" s="42"/>
      <c r="C2526" s="42"/>
      <c r="D2526" s="42"/>
      <c r="E2526" s="42"/>
      <c r="F2526" s="42"/>
      <c r="G2526" s="42"/>
      <c r="H2526" s="42"/>
      <c r="I2526" s="42"/>
      <c r="J2526" s="42"/>
      <c r="K2526" s="42"/>
      <c r="L2526" s="42"/>
      <c r="M2526" s="42"/>
    </row>
    <row r="2527" spans="1:13" x14ac:dyDescent="0.2">
      <c r="A2527" s="42"/>
      <c r="B2527" s="42"/>
      <c r="C2527" s="42"/>
      <c r="D2527" s="42"/>
      <c r="E2527" s="42"/>
      <c r="F2527" s="42"/>
      <c r="G2527" s="42"/>
      <c r="H2527" s="42"/>
      <c r="I2527" s="42"/>
      <c r="J2527" s="42"/>
      <c r="K2527" s="42"/>
      <c r="L2527" s="42"/>
      <c r="M2527" s="42"/>
    </row>
    <row r="2528" spans="1:13" x14ac:dyDescent="0.2">
      <c r="A2528" s="42"/>
      <c r="B2528" s="42"/>
      <c r="C2528" s="42"/>
      <c r="D2528" s="42"/>
      <c r="E2528" s="42"/>
      <c r="F2528" s="42"/>
      <c r="G2528" s="42"/>
      <c r="H2528" s="42"/>
      <c r="I2528" s="42"/>
      <c r="J2528" s="42"/>
      <c r="K2528" s="42"/>
      <c r="L2528" s="42"/>
      <c r="M2528" s="42"/>
    </row>
    <row r="2529" spans="1:13" x14ac:dyDescent="0.2">
      <c r="A2529" s="42"/>
      <c r="B2529" s="42"/>
      <c r="C2529" s="42"/>
      <c r="D2529" s="42"/>
      <c r="E2529" s="42"/>
      <c r="F2529" s="42"/>
      <c r="G2529" s="42"/>
      <c r="H2529" s="42"/>
      <c r="I2529" s="42"/>
      <c r="J2529" s="42"/>
      <c r="K2529" s="42"/>
      <c r="L2529" s="42"/>
      <c r="M2529" s="42"/>
    </row>
    <row r="2530" spans="1:13" x14ac:dyDescent="0.2">
      <c r="A2530" s="42"/>
      <c r="B2530" s="42"/>
      <c r="C2530" s="42"/>
      <c r="D2530" s="42"/>
      <c r="E2530" s="42"/>
      <c r="F2530" s="42"/>
      <c r="G2530" s="42"/>
      <c r="H2530" s="42"/>
      <c r="I2530" s="42"/>
      <c r="J2530" s="42"/>
      <c r="K2530" s="42"/>
      <c r="L2530" s="42"/>
      <c r="M2530" s="42"/>
    </row>
    <row r="2531" spans="1:13" x14ac:dyDescent="0.2">
      <c r="A2531" s="42"/>
      <c r="B2531" s="42"/>
      <c r="C2531" s="42"/>
      <c r="D2531" s="42"/>
      <c r="E2531" s="42"/>
      <c r="F2531" s="42"/>
      <c r="G2531" s="42"/>
      <c r="H2531" s="42"/>
      <c r="I2531" s="42"/>
      <c r="J2531" s="42"/>
      <c r="K2531" s="42"/>
      <c r="L2531" s="42"/>
      <c r="M2531" s="42"/>
    </row>
    <row r="2532" spans="1:13" x14ac:dyDescent="0.2">
      <c r="A2532" s="42"/>
      <c r="B2532" s="42"/>
      <c r="C2532" s="42"/>
      <c r="D2532" s="42"/>
      <c r="E2532" s="42"/>
      <c r="F2532" s="42"/>
      <c r="G2532" s="42"/>
      <c r="H2532" s="42"/>
      <c r="I2532" s="42"/>
      <c r="J2532" s="42"/>
      <c r="K2532" s="42"/>
      <c r="L2532" s="42"/>
      <c r="M2532" s="42"/>
    </row>
    <row r="2533" spans="1:13" x14ac:dyDescent="0.2">
      <c r="A2533" s="42"/>
      <c r="B2533" s="42"/>
      <c r="C2533" s="42"/>
      <c r="D2533" s="42"/>
      <c r="E2533" s="42"/>
      <c r="F2533" s="42"/>
      <c r="G2533" s="42"/>
      <c r="H2533" s="42"/>
      <c r="I2533" s="42"/>
      <c r="J2533" s="42"/>
      <c r="K2533" s="42"/>
      <c r="L2533" s="42"/>
      <c r="M2533" s="42"/>
    </row>
    <row r="2534" spans="1:13" x14ac:dyDescent="0.2">
      <c r="A2534" s="42"/>
      <c r="B2534" s="42"/>
      <c r="C2534" s="42"/>
      <c r="D2534" s="42"/>
      <c r="E2534" s="42"/>
      <c r="F2534" s="42"/>
      <c r="G2534" s="42"/>
      <c r="H2534" s="42"/>
      <c r="I2534" s="42"/>
      <c r="J2534" s="42"/>
      <c r="K2534" s="42"/>
      <c r="L2534" s="42"/>
      <c r="M2534" s="42"/>
    </row>
    <row r="2535" spans="1:13" x14ac:dyDescent="0.2">
      <c r="A2535" s="42"/>
      <c r="B2535" s="42"/>
      <c r="C2535" s="42"/>
      <c r="D2535" s="42"/>
      <c r="E2535" s="42"/>
      <c r="F2535" s="42"/>
      <c r="G2535" s="42"/>
      <c r="H2535" s="42"/>
      <c r="I2535" s="42"/>
      <c r="J2535" s="42"/>
      <c r="K2535" s="42"/>
      <c r="L2535" s="42"/>
      <c r="M2535" s="42"/>
    </row>
    <row r="2536" spans="1:13" x14ac:dyDescent="0.2">
      <c r="A2536" s="42"/>
      <c r="B2536" s="42"/>
      <c r="C2536" s="42"/>
      <c r="D2536" s="42"/>
      <c r="E2536" s="42"/>
      <c r="F2536" s="42"/>
      <c r="G2536" s="42"/>
      <c r="H2536" s="42"/>
      <c r="I2536" s="42"/>
      <c r="J2536" s="42"/>
      <c r="K2536" s="42"/>
      <c r="L2536" s="42"/>
      <c r="M2536" s="42"/>
    </row>
    <row r="2537" spans="1:13" x14ac:dyDescent="0.2">
      <c r="A2537" s="42"/>
      <c r="B2537" s="42"/>
      <c r="C2537" s="42"/>
      <c r="D2537" s="42"/>
      <c r="E2537" s="42"/>
      <c r="F2537" s="42"/>
      <c r="G2537" s="42"/>
      <c r="H2537" s="42"/>
      <c r="I2537" s="42"/>
      <c r="J2537" s="42"/>
      <c r="K2537" s="42"/>
      <c r="L2537" s="42"/>
      <c r="M2537" s="42"/>
    </row>
    <row r="2538" spans="1:13" x14ac:dyDescent="0.2">
      <c r="A2538" s="42"/>
      <c r="B2538" s="42"/>
      <c r="C2538" s="42"/>
      <c r="D2538" s="42"/>
      <c r="E2538" s="42"/>
      <c r="F2538" s="42"/>
      <c r="G2538" s="42"/>
      <c r="H2538" s="42"/>
      <c r="I2538" s="42"/>
      <c r="J2538" s="42"/>
      <c r="K2538" s="42"/>
      <c r="L2538" s="42"/>
      <c r="M2538" s="42"/>
    </row>
    <row r="2539" spans="1:13" x14ac:dyDescent="0.2">
      <c r="A2539" s="42"/>
      <c r="B2539" s="42"/>
      <c r="C2539" s="42"/>
      <c r="D2539" s="42"/>
      <c r="E2539" s="42"/>
      <c r="F2539" s="42"/>
      <c r="G2539" s="42"/>
      <c r="H2539" s="42"/>
      <c r="I2539" s="42"/>
      <c r="J2539" s="42"/>
      <c r="K2539" s="42"/>
      <c r="L2539" s="42"/>
      <c r="M2539" s="42"/>
    </row>
    <row r="2540" spans="1:13" x14ac:dyDescent="0.2">
      <c r="A2540" s="42"/>
      <c r="B2540" s="42"/>
      <c r="C2540" s="42"/>
      <c r="D2540" s="42"/>
      <c r="E2540" s="42"/>
      <c r="F2540" s="42"/>
      <c r="G2540" s="42"/>
      <c r="H2540" s="42"/>
      <c r="I2540" s="42"/>
      <c r="J2540" s="42"/>
      <c r="K2540" s="42"/>
      <c r="L2540" s="42"/>
      <c r="M2540" s="42"/>
    </row>
    <row r="2541" spans="1:13" x14ac:dyDescent="0.2">
      <c r="A2541" s="42"/>
      <c r="B2541" s="42"/>
      <c r="C2541" s="42"/>
      <c r="D2541" s="42"/>
      <c r="E2541" s="42"/>
      <c r="F2541" s="42"/>
      <c r="G2541" s="42"/>
      <c r="H2541" s="42"/>
      <c r="I2541" s="42"/>
      <c r="J2541" s="42"/>
      <c r="K2541" s="42"/>
      <c r="L2541" s="42"/>
      <c r="M2541" s="42"/>
    </row>
    <row r="2542" spans="1:13" x14ac:dyDescent="0.2">
      <c r="A2542" s="42"/>
      <c r="B2542" s="42"/>
      <c r="C2542" s="42"/>
      <c r="D2542" s="42"/>
      <c r="E2542" s="42"/>
      <c r="F2542" s="42"/>
      <c r="G2542" s="42"/>
      <c r="H2542" s="42"/>
      <c r="I2542" s="42"/>
      <c r="J2542" s="42"/>
      <c r="K2542" s="42"/>
      <c r="L2542" s="42"/>
      <c r="M2542" s="42"/>
    </row>
    <row r="2543" spans="1:13" x14ac:dyDescent="0.2">
      <c r="A2543" s="42"/>
      <c r="B2543" s="42"/>
      <c r="C2543" s="42"/>
      <c r="D2543" s="42"/>
      <c r="E2543" s="42"/>
      <c r="F2543" s="42"/>
      <c r="G2543" s="42"/>
      <c r="H2543" s="42"/>
      <c r="I2543" s="42"/>
      <c r="J2543" s="42"/>
      <c r="K2543" s="42"/>
      <c r="L2543" s="42"/>
      <c r="M2543" s="42"/>
    </row>
    <row r="2544" spans="1:13" x14ac:dyDescent="0.2">
      <c r="A2544" s="42"/>
      <c r="B2544" s="42"/>
      <c r="C2544" s="42"/>
      <c r="D2544" s="42"/>
      <c r="E2544" s="42"/>
      <c r="F2544" s="42"/>
      <c r="G2544" s="42"/>
      <c r="H2544" s="42"/>
      <c r="I2544" s="42"/>
      <c r="J2544" s="42"/>
      <c r="K2544" s="42"/>
      <c r="L2544" s="42"/>
      <c r="M2544" s="42"/>
    </row>
    <row r="2545" spans="1:13" x14ac:dyDescent="0.2">
      <c r="A2545" s="42"/>
      <c r="B2545" s="42"/>
      <c r="C2545" s="42"/>
      <c r="D2545" s="42"/>
      <c r="E2545" s="42"/>
      <c r="F2545" s="42"/>
      <c r="G2545" s="42"/>
      <c r="H2545" s="42"/>
      <c r="I2545" s="42"/>
      <c r="J2545" s="42"/>
      <c r="K2545" s="42"/>
      <c r="L2545" s="42"/>
      <c r="M2545" s="42"/>
    </row>
    <row r="2546" spans="1:13" x14ac:dyDescent="0.2">
      <c r="A2546" s="42"/>
      <c r="B2546" s="42"/>
      <c r="C2546" s="42"/>
      <c r="D2546" s="42"/>
      <c r="E2546" s="42"/>
      <c r="F2546" s="42"/>
      <c r="G2546" s="42"/>
      <c r="H2546" s="42"/>
      <c r="I2546" s="42"/>
      <c r="J2546" s="42"/>
      <c r="K2546" s="42"/>
      <c r="L2546" s="42"/>
      <c r="M2546" s="42"/>
    </row>
    <row r="2547" spans="1:13" x14ac:dyDescent="0.2">
      <c r="A2547" s="42"/>
      <c r="B2547" s="42"/>
      <c r="C2547" s="42"/>
      <c r="D2547" s="42"/>
      <c r="E2547" s="42"/>
      <c r="F2547" s="42"/>
      <c r="G2547" s="42"/>
      <c r="H2547" s="42"/>
      <c r="I2547" s="42"/>
      <c r="J2547" s="42"/>
      <c r="K2547" s="42"/>
      <c r="L2547" s="42"/>
      <c r="M2547" s="42"/>
    </row>
    <row r="2548" spans="1:13" x14ac:dyDescent="0.2">
      <c r="A2548" s="42"/>
      <c r="B2548" s="42"/>
      <c r="C2548" s="42"/>
      <c r="D2548" s="42"/>
      <c r="E2548" s="42"/>
      <c r="F2548" s="42"/>
      <c r="G2548" s="42"/>
      <c r="H2548" s="42"/>
      <c r="I2548" s="42"/>
      <c r="J2548" s="42"/>
      <c r="K2548" s="42"/>
      <c r="L2548" s="42"/>
      <c r="M2548" s="42"/>
    </row>
    <row r="2549" spans="1:13" x14ac:dyDescent="0.2">
      <c r="A2549" s="42"/>
      <c r="B2549" s="42"/>
      <c r="C2549" s="42"/>
      <c r="D2549" s="42"/>
      <c r="E2549" s="42"/>
      <c r="F2549" s="42"/>
      <c r="G2549" s="42"/>
      <c r="H2549" s="42"/>
      <c r="I2549" s="42"/>
      <c r="J2549" s="42"/>
      <c r="K2549" s="42"/>
      <c r="L2549" s="42"/>
      <c r="M2549" s="42"/>
    </row>
    <row r="2550" spans="1:13" x14ac:dyDescent="0.2">
      <c r="A2550" s="42"/>
      <c r="B2550" s="42"/>
      <c r="C2550" s="42"/>
      <c r="D2550" s="42"/>
      <c r="E2550" s="42"/>
      <c r="F2550" s="42"/>
      <c r="G2550" s="42"/>
      <c r="H2550" s="42"/>
      <c r="I2550" s="42"/>
      <c r="J2550" s="42"/>
      <c r="K2550" s="42"/>
      <c r="L2550" s="42"/>
      <c r="M2550" s="42"/>
    </row>
    <row r="2551" spans="1:13" x14ac:dyDescent="0.2">
      <c r="A2551" s="42"/>
      <c r="B2551" s="42"/>
      <c r="C2551" s="42"/>
      <c r="D2551" s="42"/>
      <c r="E2551" s="42"/>
      <c r="F2551" s="42"/>
      <c r="G2551" s="42"/>
      <c r="H2551" s="42"/>
      <c r="I2551" s="42"/>
      <c r="J2551" s="42"/>
      <c r="K2551" s="42"/>
      <c r="L2551" s="42"/>
      <c r="M2551" s="42"/>
    </row>
    <row r="2552" spans="1:13" x14ac:dyDescent="0.2">
      <c r="A2552" s="42"/>
      <c r="B2552" s="42"/>
      <c r="C2552" s="42"/>
      <c r="D2552" s="42"/>
      <c r="E2552" s="42"/>
      <c r="F2552" s="42"/>
      <c r="G2552" s="42"/>
      <c r="H2552" s="42"/>
      <c r="I2552" s="42"/>
      <c r="J2552" s="42"/>
      <c r="K2552" s="42"/>
      <c r="L2552" s="42"/>
      <c r="M2552" s="42"/>
    </row>
    <row r="2553" spans="1:13" x14ac:dyDescent="0.2">
      <c r="A2553" s="42"/>
      <c r="B2553" s="42"/>
      <c r="C2553" s="42"/>
      <c r="D2553" s="42"/>
      <c r="E2553" s="42"/>
      <c r="F2553" s="42"/>
      <c r="G2553" s="42"/>
      <c r="H2553" s="42"/>
      <c r="I2553" s="42"/>
      <c r="J2553" s="42"/>
      <c r="K2553" s="42"/>
      <c r="L2553" s="42"/>
      <c r="M2553" s="42"/>
    </row>
    <row r="2554" spans="1:13" x14ac:dyDescent="0.2">
      <c r="A2554" s="42"/>
      <c r="B2554" s="42"/>
      <c r="C2554" s="42"/>
      <c r="D2554" s="42"/>
      <c r="E2554" s="42"/>
      <c r="F2554" s="42"/>
      <c r="G2554" s="42"/>
      <c r="H2554" s="42"/>
      <c r="I2554" s="42"/>
      <c r="J2554" s="42"/>
      <c r="K2554" s="42"/>
      <c r="L2554" s="42"/>
      <c r="M2554" s="42"/>
    </row>
    <row r="2555" spans="1:13" x14ac:dyDescent="0.2">
      <c r="A2555" s="42"/>
      <c r="B2555" s="42"/>
      <c r="C2555" s="42"/>
      <c r="D2555" s="42"/>
      <c r="E2555" s="42"/>
      <c r="F2555" s="42"/>
      <c r="G2555" s="42"/>
      <c r="H2555" s="42"/>
      <c r="I2555" s="42"/>
      <c r="J2555" s="42"/>
      <c r="K2555" s="42"/>
      <c r="L2555" s="42"/>
      <c r="M2555" s="42"/>
    </row>
    <row r="2556" spans="1:13" x14ac:dyDescent="0.2">
      <c r="A2556" s="42"/>
      <c r="B2556" s="42"/>
      <c r="C2556" s="42"/>
      <c r="D2556" s="42"/>
      <c r="E2556" s="42"/>
      <c r="F2556" s="42"/>
      <c r="G2556" s="42"/>
      <c r="H2556" s="42"/>
      <c r="I2556" s="42"/>
      <c r="J2556" s="42"/>
      <c r="K2556" s="42"/>
      <c r="L2556" s="42"/>
      <c r="M2556" s="42"/>
    </row>
    <row r="2557" spans="1:13" x14ac:dyDescent="0.2">
      <c r="A2557" s="42"/>
      <c r="B2557" s="42"/>
      <c r="C2557" s="42"/>
      <c r="D2557" s="42"/>
      <c r="E2557" s="42"/>
      <c r="F2557" s="42"/>
      <c r="G2557" s="42"/>
      <c r="H2557" s="42"/>
      <c r="I2557" s="42"/>
      <c r="J2557" s="42"/>
      <c r="K2557" s="42"/>
      <c r="L2557" s="42"/>
      <c r="M2557" s="42"/>
    </row>
    <row r="2558" spans="1:13" x14ac:dyDescent="0.2">
      <c r="A2558" s="42"/>
      <c r="B2558" s="42"/>
      <c r="C2558" s="42"/>
      <c r="D2558" s="42"/>
      <c r="E2558" s="42"/>
      <c r="F2558" s="42"/>
      <c r="G2558" s="42"/>
      <c r="H2558" s="42"/>
      <c r="I2558" s="42"/>
      <c r="J2558" s="42"/>
      <c r="K2558" s="42"/>
      <c r="L2558" s="42"/>
      <c r="M2558" s="42"/>
    </row>
    <row r="2559" spans="1:13" x14ac:dyDescent="0.2">
      <c r="A2559" s="42"/>
      <c r="B2559" s="42"/>
      <c r="C2559" s="42"/>
      <c r="D2559" s="42"/>
      <c r="E2559" s="42"/>
      <c r="F2559" s="42"/>
      <c r="G2559" s="42"/>
      <c r="H2559" s="42"/>
      <c r="I2559" s="42"/>
      <c r="J2559" s="42"/>
      <c r="K2559" s="42"/>
      <c r="L2559" s="42"/>
      <c r="M2559" s="42"/>
    </row>
    <row r="2560" spans="1:13" x14ac:dyDescent="0.2">
      <c r="A2560" s="42"/>
      <c r="B2560" s="42"/>
      <c r="C2560" s="42"/>
      <c r="D2560" s="42"/>
      <c r="E2560" s="42"/>
      <c r="F2560" s="42"/>
      <c r="G2560" s="42"/>
      <c r="H2560" s="42"/>
      <c r="I2560" s="42"/>
      <c r="J2560" s="42"/>
      <c r="K2560" s="42"/>
      <c r="L2560" s="42"/>
      <c r="M2560" s="42"/>
    </row>
    <row r="2561" spans="1:13" x14ac:dyDescent="0.2">
      <c r="A2561" s="42"/>
      <c r="B2561" s="42"/>
      <c r="C2561" s="42"/>
      <c r="D2561" s="42"/>
      <c r="E2561" s="42"/>
      <c r="F2561" s="42"/>
      <c r="G2561" s="42"/>
      <c r="H2561" s="42"/>
      <c r="I2561" s="42"/>
      <c r="J2561" s="42"/>
      <c r="K2561" s="42"/>
      <c r="L2561" s="42"/>
      <c r="M2561" s="42"/>
    </row>
    <row r="2562" spans="1:13" x14ac:dyDescent="0.2">
      <c r="A2562" s="42"/>
      <c r="B2562" s="42"/>
      <c r="C2562" s="42"/>
      <c r="D2562" s="42"/>
      <c r="E2562" s="42"/>
      <c r="F2562" s="42"/>
      <c r="G2562" s="42"/>
      <c r="H2562" s="42"/>
      <c r="I2562" s="42"/>
      <c r="J2562" s="42"/>
      <c r="K2562" s="42"/>
      <c r="L2562" s="42"/>
      <c r="M2562" s="42"/>
    </row>
    <row r="2563" spans="1:13" x14ac:dyDescent="0.2">
      <c r="A2563" s="42"/>
      <c r="B2563" s="42"/>
      <c r="C2563" s="42"/>
      <c r="D2563" s="42"/>
      <c r="E2563" s="42"/>
      <c r="F2563" s="42"/>
      <c r="G2563" s="42"/>
      <c r="H2563" s="42"/>
      <c r="I2563" s="42"/>
      <c r="J2563" s="42"/>
      <c r="K2563" s="42"/>
      <c r="L2563" s="42"/>
      <c r="M2563" s="42"/>
    </row>
    <row r="2564" spans="1:13" x14ac:dyDescent="0.2">
      <c r="A2564" s="42"/>
      <c r="B2564" s="42"/>
      <c r="C2564" s="42"/>
      <c r="D2564" s="42"/>
      <c r="E2564" s="42"/>
      <c r="F2564" s="42"/>
      <c r="G2564" s="42"/>
      <c r="H2564" s="42"/>
      <c r="I2564" s="42"/>
      <c r="J2564" s="42"/>
      <c r="K2564" s="42"/>
      <c r="L2564" s="42"/>
      <c r="M2564" s="42"/>
    </row>
    <row r="2565" spans="1:13" x14ac:dyDescent="0.2">
      <c r="A2565" s="42"/>
      <c r="B2565" s="42"/>
      <c r="C2565" s="42"/>
      <c r="D2565" s="42"/>
      <c r="E2565" s="42"/>
      <c r="F2565" s="42"/>
      <c r="G2565" s="42"/>
      <c r="H2565" s="42"/>
      <c r="I2565" s="42"/>
      <c r="J2565" s="42"/>
      <c r="K2565" s="42"/>
      <c r="L2565" s="42"/>
      <c r="M2565" s="42"/>
    </row>
    <row r="2566" spans="1:13" x14ac:dyDescent="0.2">
      <c r="A2566" s="42"/>
      <c r="B2566" s="42"/>
      <c r="C2566" s="42"/>
      <c r="D2566" s="42"/>
      <c r="E2566" s="42"/>
      <c r="F2566" s="42"/>
      <c r="G2566" s="42"/>
      <c r="H2566" s="42"/>
      <c r="I2566" s="42"/>
      <c r="J2566" s="42"/>
      <c r="K2566" s="42"/>
      <c r="L2566" s="42"/>
      <c r="M2566" s="42"/>
    </row>
    <row r="2567" spans="1:13" x14ac:dyDescent="0.2">
      <c r="A2567" s="42"/>
      <c r="B2567" s="42"/>
      <c r="C2567" s="42"/>
      <c r="D2567" s="42"/>
      <c r="E2567" s="42"/>
      <c r="F2567" s="42"/>
      <c r="G2567" s="42"/>
      <c r="H2567" s="42"/>
      <c r="I2567" s="42"/>
      <c r="J2567" s="42"/>
      <c r="K2567" s="42"/>
      <c r="L2567" s="42"/>
      <c r="M2567" s="42"/>
    </row>
    <row r="2568" spans="1:13" x14ac:dyDescent="0.2">
      <c r="A2568" s="42"/>
      <c r="B2568" s="42"/>
      <c r="C2568" s="42"/>
      <c r="D2568" s="42"/>
      <c r="E2568" s="42"/>
      <c r="F2568" s="42"/>
      <c r="G2568" s="42"/>
      <c r="H2568" s="42"/>
      <c r="I2568" s="42"/>
      <c r="J2568" s="42"/>
      <c r="K2568" s="42"/>
      <c r="L2568" s="42"/>
      <c r="M2568" s="42"/>
    </row>
    <row r="2569" spans="1:13" x14ac:dyDescent="0.2">
      <c r="A2569" s="42"/>
      <c r="B2569" s="42"/>
      <c r="C2569" s="42"/>
      <c r="D2569" s="42"/>
      <c r="E2569" s="42"/>
      <c r="F2569" s="42"/>
      <c r="G2569" s="42"/>
      <c r="H2569" s="42"/>
      <c r="I2569" s="42"/>
      <c r="J2569" s="42"/>
      <c r="K2569" s="42"/>
      <c r="L2569" s="42"/>
      <c r="M2569" s="42"/>
    </row>
    <row r="2570" spans="1:13" x14ac:dyDescent="0.2">
      <c r="A2570" s="42"/>
      <c r="B2570" s="42"/>
      <c r="C2570" s="42"/>
      <c r="D2570" s="42"/>
      <c r="E2570" s="42"/>
      <c r="F2570" s="42"/>
      <c r="G2570" s="42"/>
      <c r="H2570" s="42"/>
      <c r="I2570" s="42"/>
      <c r="J2570" s="42"/>
      <c r="K2570" s="42"/>
      <c r="L2570" s="42"/>
      <c r="M2570" s="42"/>
    </row>
    <row r="2571" spans="1:13" x14ac:dyDescent="0.2">
      <c r="A2571" s="42"/>
      <c r="B2571" s="42"/>
      <c r="C2571" s="42"/>
      <c r="D2571" s="42"/>
      <c r="E2571" s="42"/>
      <c r="F2571" s="42"/>
      <c r="G2571" s="42"/>
      <c r="H2571" s="42"/>
      <c r="I2571" s="42"/>
      <c r="J2571" s="42"/>
      <c r="K2571" s="42"/>
      <c r="L2571" s="42"/>
      <c r="M2571" s="42"/>
    </row>
    <row r="2572" spans="1:13" x14ac:dyDescent="0.2">
      <c r="A2572" s="42"/>
      <c r="B2572" s="42"/>
      <c r="C2572" s="42"/>
      <c r="D2572" s="42"/>
      <c r="E2572" s="42"/>
      <c r="F2572" s="42"/>
      <c r="G2572" s="42"/>
      <c r="H2572" s="42"/>
      <c r="I2572" s="42"/>
      <c r="J2572" s="42"/>
      <c r="K2572" s="42"/>
      <c r="L2572" s="42"/>
      <c r="M2572" s="42"/>
    </row>
    <row r="2573" spans="1:13" x14ac:dyDescent="0.2">
      <c r="A2573" s="42"/>
      <c r="B2573" s="42"/>
      <c r="C2573" s="42"/>
      <c r="D2573" s="42"/>
      <c r="E2573" s="42"/>
      <c r="F2573" s="42"/>
      <c r="G2573" s="42"/>
      <c r="H2573" s="42"/>
      <c r="I2573" s="42"/>
      <c r="J2573" s="42"/>
      <c r="K2573" s="42"/>
      <c r="L2573" s="42"/>
      <c r="M2573" s="42"/>
    </row>
    <row r="2574" spans="1:13" x14ac:dyDescent="0.2">
      <c r="A2574" s="42"/>
      <c r="B2574" s="42"/>
      <c r="C2574" s="42"/>
      <c r="D2574" s="42"/>
      <c r="E2574" s="42"/>
      <c r="F2574" s="42"/>
      <c r="G2574" s="42"/>
      <c r="H2574" s="42"/>
      <c r="I2574" s="42"/>
      <c r="J2574" s="42"/>
      <c r="K2574" s="42"/>
      <c r="L2574" s="42"/>
      <c r="M2574" s="42"/>
    </row>
    <row r="2575" spans="1:13" x14ac:dyDescent="0.2">
      <c r="A2575" s="42"/>
      <c r="B2575" s="42"/>
      <c r="C2575" s="42"/>
      <c r="D2575" s="42"/>
      <c r="E2575" s="42"/>
      <c r="F2575" s="42"/>
      <c r="G2575" s="42"/>
      <c r="H2575" s="42"/>
      <c r="I2575" s="42"/>
      <c r="J2575" s="42"/>
      <c r="K2575" s="42"/>
      <c r="L2575" s="42"/>
      <c r="M2575" s="42"/>
    </row>
    <row r="2576" spans="1:13" x14ac:dyDescent="0.2">
      <c r="A2576" s="42"/>
      <c r="B2576" s="42"/>
      <c r="C2576" s="42"/>
      <c r="D2576" s="42"/>
      <c r="E2576" s="42"/>
      <c r="F2576" s="42"/>
      <c r="G2576" s="42"/>
      <c r="H2576" s="42"/>
      <c r="I2576" s="42"/>
      <c r="J2576" s="42"/>
      <c r="K2576" s="42"/>
      <c r="L2576" s="42"/>
      <c r="M2576" s="42"/>
    </row>
    <row r="2577" spans="1:13" x14ac:dyDescent="0.2">
      <c r="A2577" s="42"/>
      <c r="B2577" s="42"/>
      <c r="C2577" s="42"/>
      <c r="D2577" s="42"/>
      <c r="E2577" s="42"/>
      <c r="F2577" s="42"/>
      <c r="G2577" s="42"/>
      <c r="H2577" s="42"/>
      <c r="I2577" s="42"/>
      <c r="J2577" s="42"/>
      <c r="K2577" s="42"/>
      <c r="L2577" s="42"/>
      <c r="M2577" s="42"/>
    </row>
    <row r="2578" spans="1:13" x14ac:dyDescent="0.2">
      <c r="A2578" s="42"/>
      <c r="B2578" s="42"/>
      <c r="C2578" s="42"/>
      <c r="D2578" s="42"/>
      <c r="E2578" s="42"/>
      <c r="F2578" s="42"/>
      <c r="G2578" s="42"/>
      <c r="H2578" s="42"/>
      <c r="I2578" s="42"/>
      <c r="J2578" s="42"/>
      <c r="K2578" s="42"/>
      <c r="L2578" s="42"/>
      <c r="M2578" s="42"/>
    </row>
    <row r="2579" spans="1:13" x14ac:dyDescent="0.2">
      <c r="A2579" s="42"/>
      <c r="B2579" s="42"/>
      <c r="C2579" s="42"/>
      <c r="D2579" s="42"/>
      <c r="E2579" s="42"/>
      <c r="F2579" s="42"/>
      <c r="G2579" s="42"/>
      <c r="H2579" s="42"/>
      <c r="I2579" s="42"/>
      <c r="J2579" s="42"/>
      <c r="K2579" s="42"/>
      <c r="L2579" s="42"/>
      <c r="M2579" s="42"/>
    </row>
    <row r="2580" spans="1:13" x14ac:dyDescent="0.2">
      <c r="A2580" s="42"/>
      <c r="B2580" s="42"/>
      <c r="C2580" s="42"/>
      <c r="D2580" s="42"/>
      <c r="E2580" s="42"/>
      <c r="F2580" s="42"/>
      <c r="G2580" s="42"/>
      <c r="H2580" s="42"/>
      <c r="I2580" s="42"/>
      <c r="J2580" s="42"/>
      <c r="K2580" s="42"/>
      <c r="L2580" s="42"/>
      <c r="M2580" s="42"/>
    </row>
    <row r="2581" spans="1:13" x14ac:dyDescent="0.2">
      <c r="A2581" s="42"/>
      <c r="B2581" s="42"/>
      <c r="C2581" s="42"/>
      <c r="D2581" s="42"/>
      <c r="E2581" s="42"/>
      <c r="F2581" s="42"/>
      <c r="G2581" s="42"/>
      <c r="H2581" s="42"/>
      <c r="I2581" s="42"/>
      <c r="J2581" s="42"/>
      <c r="K2581" s="42"/>
      <c r="L2581" s="42"/>
      <c r="M2581" s="42"/>
    </row>
    <row r="2582" spans="1:13" x14ac:dyDescent="0.2">
      <c r="A2582" s="42"/>
      <c r="B2582" s="42"/>
      <c r="C2582" s="42"/>
      <c r="D2582" s="42"/>
      <c r="E2582" s="42"/>
      <c r="F2582" s="42"/>
      <c r="G2582" s="42"/>
      <c r="H2582" s="42"/>
      <c r="I2582" s="42"/>
      <c r="J2582" s="42"/>
      <c r="K2582" s="42"/>
      <c r="L2582" s="42"/>
      <c r="M2582" s="42"/>
    </row>
    <row r="2583" spans="1:13" x14ac:dyDescent="0.2">
      <c r="A2583" s="42"/>
      <c r="B2583" s="42"/>
      <c r="C2583" s="42"/>
      <c r="D2583" s="42"/>
      <c r="E2583" s="42"/>
      <c r="F2583" s="42"/>
      <c r="G2583" s="42"/>
      <c r="H2583" s="42"/>
      <c r="I2583" s="42"/>
      <c r="J2583" s="42"/>
      <c r="K2583" s="42"/>
      <c r="L2583" s="42"/>
      <c r="M2583" s="42"/>
    </row>
    <row r="2584" spans="1:13" x14ac:dyDescent="0.2">
      <c r="A2584" s="42"/>
      <c r="B2584" s="42"/>
      <c r="C2584" s="42"/>
      <c r="D2584" s="42"/>
      <c r="E2584" s="42"/>
      <c r="F2584" s="42"/>
      <c r="G2584" s="42"/>
      <c r="H2584" s="42"/>
      <c r="I2584" s="42"/>
      <c r="J2584" s="42"/>
      <c r="K2584" s="42"/>
      <c r="L2584" s="42"/>
      <c r="M2584" s="42"/>
    </row>
    <row r="2585" spans="1:13" x14ac:dyDescent="0.2">
      <c r="A2585" s="42"/>
      <c r="B2585" s="42"/>
      <c r="C2585" s="42"/>
      <c r="D2585" s="42"/>
      <c r="E2585" s="42"/>
      <c r="F2585" s="42"/>
      <c r="G2585" s="42"/>
      <c r="H2585" s="42"/>
      <c r="I2585" s="42"/>
      <c r="J2585" s="42"/>
      <c r="K2585" s="42"/>
      <c r="L2585" s="42"/>
      <c r="M2585" s="42"/>
    </row>
    <row r="2586" spans="1:13" x14ac:dyDescent="0.2">
      <c r="A2586" s="42"/>
      <c r="B2586" s="42"/>
      <c r="C2586" s="42"/>
      <c r="D2586" s="42"/>
      <c r="E2586" s="42"/>
      <c r="F2586" s="42"/>
      <c r="G2586" s="42"/>
      <c r="H2586" s="42"/>
      <c r="I2586" s="42"/>
      <c r="J2586" s="42"/>
      <c r="K2586" s="42"/>
      <c r="L2586" s="42"/>
      <c r="M2586" s="42"/>
    </row>
    <row r="2587" spans="1:13" x14ac:dyDescent="0.2">
      <c r="A2587" s="42"/>
      <c r="B2587" s="42"/>
      <c r="C2587" s="42"/>
      <c r="D2587" s="42"/>
      <c r="E2587" s="42"/>
      <c r="F2587" s="42"/>
      <c r="G2587" s="42"/>
      <c r="H2587" s="42"/>
      <c r="I2587" s="42"/>
      <c r="J2587" s="42"/>
      <c r="K2587" s="42"/>
      <c r="L2587" s="42"/>
      <c r="M2587" s="42"/>
    </row>
    <row r="2588" spans="1:13" x14ac:dyDescent="0.2">
      <c r="A2588" s="42"/>
      <c r="B2588" s="42"/>
      <c r="C2588" s="42"/>
      <c r="D2588" s="42"/>
      <c r="E2588" s="42"/>
      <c r="F2588" s="42"/>
      <c r="G2588" s="42"/>
      <c r="H2588" s="42"/>
      <c r="I2588" s="42"/>
      <c r="J2588" s="42"/>
      <c r="K2588" s="42"/>
      <c r="L2588" s="42"/>
      <c r="M2588" s="42"/>
    </row>
    <row r="2589" spans="1:13" x14ac:dyDescent="0.2">
      <c r="A2589" s="42"/>
      <c r="B2589" s="42"/>
      <c r="C2589" s="42"/>
      <c r="D2589" s="42"/>
      <c r="E2589" s="42"/>
      <c r="F2589" s="42"/>
      <c r="G2589" s="42"/>
      <c r="H2589" s="42"/>
      <c r="I2589" s="42"/>
      <c r="J2589" s="42"/>
      <c r="K2589" s="42"/>
      <c r="L2589" s="42"/>
      <c r="M2589" s="42"/>
    </row>
    <row r="2590" spans="1:13" x14ac:dyDescent="0.2">
      <c r="A2590" s="42"/>
      <c r="B2590" s="42"/>
      <c r="C2590" s="42"/>
      <c r="D2590" s="42"/>
      <c r="E2590" s="42"/>
      <c r="F2590" s="42"/>
      <c r="G2590" s="42"/>
      <c r="H2590" s="42"/>
      <c r="I2590" s="42"/>
      <c r="J2590" s="42"/>
      <c r="K2590" s="42"/>
      <c r="L2590" s="42"/>
      <c r="M2590" s="42"/>
    </row>
    <row r="2591" spans="1:13" x14ac:dyDescent="0.2">
      <c r="A2591" s="42"/>
      <c r="B2591" s="42"/>
      <c r="C2591" s="42"/>
      <c r="D2591" s="42"/>
      <c r="E2591" s="42"/>
      <c r="F2591" s="42"/>
      <c r="G2591" s="42"/>
      <c r="H2591" s="42"/>
      <c r="I2591" s="42"/>
      <c r="J2591" s="42"/>
      <c r="K2591" s="42"/>
      <c r="L2591" s="42"/>
      <c r="M2591" s="42"/>
    </row>
    <row r="2592" spans="1:13" x14ac:dyDescent="0.2">
      <c r="A2592" s="42"/>
      <c r="B2592" s="42"/>
      <c r="C2592" s="42"/>
      <c r="D2592" s="42"/>
      <c r="E2592" s="42"/>
      <c r="F2592" s="42"/>
      <c r="G2592" s="42"/>
      <c r="H2592" s="42"/>
      <c r="I2592" s="42"/>
      <c r="J2592" s="42"/>
      <c r="K2592" s="42"/>
      <c r="L2592" s="42"/>
      <c r="M2592" s="42"/>
    </row>
    <row r="2593" spans="1:13" x14ac:dyDescent="0.2">
      <c r="A2593" s="42"/>
      <c r="B2593" s="42"/>
      <c r="C2593" s="42"/>
      <c r="D2593" s="42"/>
      <c r="E2593" s="42"/>
      <c r="F2593" s="42"/>
      <c r="G2593" s="42"/>
      <c r="H2593" s="42"/>
      <c r="I2593" s="42"/>
      <c r="J2593" s="42"/>
      <c r="K2593" s="42"/>
      <c r="L2593" s="42"/>
      <c r="M2593" s="42"/>
    </row>
    <row r="2594" spans="1:13" x14ac:dyDescent="0.2">
      <c r="A2594" s="42"/>
      <c r="B2594" s="42"/>
      <c r="C2594" s="42"/>
      <c r="D2594" s="42"/>
      <c r="E2594" s="42"/>
      <c r="F2594" s="42"/>
      <c r="G2594" s="42"/>
      <c r="H2594" s="42"/>
      <c r="I2594" s="42"/>
      <c r="J2594" s="42"/>
      <c r="K2594" s="42"/>
      <c r="L2594" s="42"/>
      <c r="M2594" s="42"/>
    </row>
    <row r="2595" spans="1:13" x14ac:dyDescent="0.2">
      <c r="A2595" s="42"/>
      <c r="B2595" s="42"/>
      <c r="C2595" s="42"/>
      <c r="D2595" s="42"/>
      <c r="E2595" s="42"/>
      <c r="F2595" s="42"/>
      <c r="G2595" s="42"/>
      <c r="H2595" s="42"/>
      <c r="I2595" s="42"/>
      <c r="J2595" s="42"/>
      <c r="K2595" s="42"/>
      <c r="L2595" s="42"/>
      <c r="M2595" s="42"/>
    </row>
    <row r="2596" spans="1:13" x14ac:dyDescent="0.2">
      <c r="A2596" s="42"/>
      <c r="B2596" s="42"/>
      <c r="C2596" s="42"/>
      <c r="D2596" s="42"/>
      <c r="E2596" s="42"/>
      <c r="F2596" s="42"/>
      <c r="G2596" s="42"/>
      <c r="H2596" s="42"/>
      <c r="I2596" s="42"/>
      <c r="J2596" s="42"/>
      <c r="K2596" s="42"/>
      <c r="L2596" s="42"/>
      <c r="M2596" s="42"/>
    </row>
    <row r="2597" spans="1:13" x14ac:dyDescent="0.2">
      <c r="A2597" s="42"/>
      <c r="B2597" s="42"/>
      <c r="C2597" s="42"/>
      <c r="D2597" s="42"/>
      <c r="E2597" s="42"/>
      <c r="F2597" s="42"/>
      <c r="G2597" s="42"/>
      <c r="H2597" s="42"/>
      <c r="I2597" s="42"/>
      <c r="J2597" s="42"/>
      <c r="K2597" s="42"/>
      <c r="L2597" s="42"/>
      <c r="M2597" s="42"/>
    </row>
    <row r="2598" spans="1:13" x14ac:dyDescent="0.2">
      <c r="A2598" s="42"/>
      <c r="B2598" s="42"/>
      <c r="C2598" s="42"/>
      <c r="D2598" s="42"/>
      <c r="E2598" s="42"/>
      <c r="F2598" s="42"/>
      <c r="G2598" s="42"/>
      <c r="H2598" s="42"/>
      <c r="I2598" s="42"/>
      <c r="J2598" s="42"/>
      <c r="K2598" s="42"/>
      <c r="L2598" s="42"/>
      <c r="M2598" s="42"/>
    </row>
    <row r="2599" spans="1:13" x14ac:dyDescent="0.2">
      <c r="A2599" s="42"/>
      <c r="B2599" s="42"/>
      <c r="C2599" s="42"/>
      <c r="D2599" s="42"/>
      <c r="E2599" s="42"/>
      <c r="F2599" s="42"/>
      <c r="G2599" s="42"/>
      <c r="H2599" s="42"/>
      <c r="I2599" s="42"/>
      <c r="J2599" s="42"/>
      <c r="K2599" s="42"/>
      <c r="L2599" s="42"/>
      <c r="M2599" s="42"/>
    </row>
    <row r="2600" spans="1:13" x14ac:dyDescent="0.2">
      <c r="A2600" s="42"/>
      <c r="B2600" s="42"/>
      <c r="C2600" s="42"/>
      <c r="D2600" s="42"/>
      <c r="E2600" s="42"/>
      <c r="F2600" s="42"/>
      <c r="G2600" s="42"/>
      <c r="H2600" s="42"/>
      <c r="I2600" s="42"/>
      <c r="J2600" s="42"/>
      <c r="K2600" s="42"/>
      <c r="L2600" s="42"/>
      <c r="M2600" s="42"/>
    </row>
    <row r="2601" spans="1:13" x14ac:dyDescent="0.2">
      <c r="A2601" s="42"/>
      <c r="B2601" s="42"/>
      <c r="C2601" s="42"/>
      <c r="D2601" s="42"/>
      <c r="E2601" s="42"/>
      <c r="F2601" s="42"/>
      <c r="G2601" s="42"/>
      <c r="H2601" s="42"/>
      <c r="I2601" s="42"/>
      <c r="J2601" s="42"/>
      <c r="K2601" s="42"/>
      <c r="L2601" s="42"/>
      <c r="M2601" s="42"/>
    </row>
    <row r="2602" spans="1:13" x14ac:dyDescent="0.2">
      <c r="A2602" s="42"/>
      <c r="B2602" s="42"/>
      <c r="C2602" s="42"/>
      <c r="D2602" s="42"/>
      <c r="E2602" s="42"/>
      <c r="F2602" s="42"/>
      <c r="G2602" s="42"/>
      <c r="H2602" s="42"/>
      <c r="I2602" s="42"/>
      <c r="J2602" s="42"/>
      <c r="K2602" s="42"/>
      <c r="L2602" s="42"/>
      <c r="M2602" s="42"/>
    </row>
    <row r="2603" spans="1:13" x14ac:dyDescent="0.2">
      <c r="A2603" s="42"/>
      <c r="B2603" s="42"/>
      <c r="C2603" s="42"/>
      <c r="D2603" s="42"/>
      <c r="E2603" s="42"/>
      <c r="F2603" s="42"/>
      <c r="G2603" s="42"/>
      <c r="H2603" s="42"/>
      <c r="I2603" s="42"/>
      <c r="J2603" s="42"/>
      <c r="K2603" s="42"/>
      <c r="L2603" s="42"/>
      <c r="M2603" s="42"/>
    </row>
    <row r="2604" spans="1:13" x14ac:dyDescent="0.2">
      <c r="A2604" s="42"/>
      <c r="B2604" s="42"/>
      <c r="C2604" s="42"/>
      <c r="D2604" s="42"/>
      <c r="E2604" s="42"/>
      <c r="F2604" s="42"/>
      <c r="G2604" s="42"/>
      <c r="H2604" s="42"/>
      <c r="I2604" s="42"/>
      <c r="J2604" s="42"/>
      <c r="K2604" s="42"/>
      <c r="L2604" s="42"/>
      <c r="M2604" s="42"/>
    </row>
    <row r="2605" spans="1:13" x14ac:dyDescent="0.2">
      <c r="A2605" s="42"/>
      <c r="B2605" s="42"/>
      <c r="C2605" s="42"/>
      <c r="D2605" s="42"/>
      <c r="E2605" s="42"/>
      <c r="F2605" s="42"/>
      <c r="G2605" s="42"/>
      <c r="H2605" s="42"/>
      <c r="I2605" s="42"/>
      <c r="J2605" s="42"/>
      <c r="K2605" s="42"/>
      <c r="L2605" s="42"/>
      <c r="M2605" s="42"/>
    </row>
    <row r="2606" spans="1:13" x14ac:dyDescent="0.2">
      <c r="A2606" s="42"/>
      <c r="B2606" s="42"/>
      <c r="C2606" s="42"/>
      <c r="D2606" s="42"/>
      <c r="E2606" s="42"/>
      <c r="F2606" s="42"/>
      <c r="G2606" s="42"/>
      <c r="H2606" s="42"/>
      <c r="I2606" s="42"/>
      <c r="J2606" s="42"/>
      <c r="K2606" s="42"/>
      <c r="L2606" s="42"/>
      <c r="M2606" s="42"/>
    </row>
    <row r="2607" spans="1:13" x14ac:dyDescent="0.2">
      <c r="A2607" s="42"/>
      <c r="B2607" s="42"/>
      <c r="C2607" s="42"/>
      <c r="D2607" s="42"/>
      <c r="E2607" s="42"/>
      <c r="F2607" s="42"/>
      <c r="G2607" s="42"/>
      <c r="H2607" s="42"/>
      <c r="I2607" s="42"/>
      <c r="J2607" s="42"/>
      <c r="K2607" s="42"/>
      <c r="L2607" s="42"/>
      <c r="M2607" s="42"/>
    </row>
    <row r="2608" spans="1:13" x14ac:dyDescent="0.2">
      <c r="A2608" s="42"/>
      <c r="B2608" s="42"/>
      <c r="C2608" s="42"/>
      <c r="D2608" s="42"/>
      <c r="E2608" s="42"/>
      <c r="F2608" s="42"/>
      <c r="G2608" s="42"/>
      <c r="H2608" s="42"/>
      <c r="I2608" s="42"/>
      <c r="J2608" s="42"/>
      <c r="K2608" s="42"/>
      <c r="L2608" s="42"/>
      <c r="M2608" s="42"/>
    </row>
    <row r="2609" spans="1:13" x14ac:dyDescent="0.2">
      <c r="A2609" s="42"/>
      <c r="B2609" s="42"/>
      <c r="C2609" s="42"/>
      <c r="D2609" s="42"/>
      <c r="E2609" s="42"/>
      <c r="F2609" s="42"/>
      <c r="G2609" s="42"/>
      <c r="H2609" s="42"/>
      <c r="I2609" s="42"/>
      <c r="J2609" s="42"/>
      <c r="K2609" s="42"/>
      <c r="L2609" s="42"/>
      <c r="M2609" s="42"/>
    </row>
    <row r="2610" spans="1:13" x14ac:dyDescent="0.2">
      <c r="A2610" s="42"/>
      <c r="B2610" s="42"/>
      <c r="C2610" s="42"/>
      <c r="D2610" s="42"/>
      <c r="E2610" s="42"/>
      <c r="F2610" s="42"/>
      <c r="G2610" s="42"/>
      <c r="H2610" s="42"/>
      <c r="I2610" s="42"/>
      <c r="J2610" s="42"/>
      <c r="K2610" s="42"/>
      <c r="L2610" s="42"/>
      <c r="M2610" s="42"/>
    </row>
    <row r="2611" spans="1:13" x14ac:dyDescent="0.2">
      <c r="A2611" s="42"/>
      <c r="B2611" s="42"/>
      <c r="C2611" s="42"/>
      <c r="D2611" s="42"/>
      <c r="E2611" s="42"/>
      <c r="F2611" s="42"/>
      <c r="G2611" s="42"/>
      <c r="H2611" s="42"/>
      <c r="I2611" s="42"/>
      <c r="J2611" s="42"/>
      <c r="K2611" s="42"/>
      <c r="L2611" s="42"/>
      <c r="M2611" s="42"/>
    </row>
    <row r="2612" spans="1:13" x14ac:dyDescent="0.2">
      <c r="A2612" s="42"/>
      <c r="B2612" s="42"/>
      <c r="C2612" s="42"/>
      <c r="D2612" s="42"/>
      <c r="E2612" s="42"/>
      <c r="F2612" s="42"/>
      <c r="G2612" s="42"/>
      <c r="H2612" s="42"/>
      <c r="I2612" s="42"/>
      <c r="J2612" s="42"/>
      <c r="K2612" s="42"/>
      <c r="L2612" s="42"/>
      <c r="M2612" s="42"/>
    </row>
    <row r="2613" spans="1:13" x14ac:dyDescent="0.2">
      <c r="A2613" s="42"/>
      <c r="B2613" s="42"/>
      <c r="C2613" s="42"/>
      <c r="D2613" s="42"/>
      <c r="E2613" s="42"/>
      <c r="F2613" s="42"/>
      <c r="G2613" s="42"/>
      <c r="H2613" s="42"/>
      <c r="I2613" s="42"/>
      <c r="J2613" s="42"/>
      <c r="K2613" s="42"/>
      <c r="L2613" s="42"/>
      <c r="M2613" s="42"/>
    </row>
    <row r="2614" spans="1:13" x14ac:dyDescent="0.2">
      <c r="A2614" s="42"/>
      <c r="B2614" s="42"/>
      <c r="C2614" s="42"/>
      <c r="D2614" s="42"/>
      <c r="E2614" s="42"/>
      <c r="F2614" s="42"/>
      <c r="G2614" s="42"/>
      <c r="H2614" s="42"/>
      <c r="I2614" s="42"/>
      <c r="J2614" s="42"/>
      <c r="K2614" s="42"/>
      <c r="L2614" s="42"/>
      <c r="M2614" s="42"/>
    </row>
    <row r="2615" spans="1:13" x14ac:dyDescent="0.2">
      <c r="A2615" s="42"/>
      <c r="B2615" s="42"/>
      <c r="C2615" s="42"/>
      <c r="D2615" s="42"/>
      <c r="E2615" s="42"/>
      <c r="F2615" s="42"/>
      <c r="G2615" s="42"/>
      <c r="H2615" s="42"/>
      <c r="I2615" s="42"/>
      <c r="J2615" s="42"/>
      <c r="K2615" s="42"/>
      <c r="L2615" s="42"/>
      <c r="M2615" s="42"/>
    </row>
    <row r="2616" spans="1:13" x14ac:dyDescent="0.2">
      <c r="A2616" s="42"/>
      <c r="B2616" s="42"/>
      <c r="C2616" s="42"/>
      <c r="D2616" s="42"/>
      <c r="E2616" s="42"/>
      <c r="F2616" s="42"/>
      <c r="G2616" s="42"/>
      <c r="H2616" s="42"/>
      <c r="I2616" s="42"/>
      <c r="J2616" s="42"/>
      <c r="K2616" s="42"/>
      <c r="L2616" s="42"/>
      <c r="M2616" s="42"/>
    </row>
    <row r="2617" spans="1:13" x14ac:dyDescent="0.2">
      <c r="A2617" s="42"/>
      <c r="B2617" s="42"/>
      <c r="C2617" s="42"/>
      <c r="D2617" s="42"/>
      <c r="E2617" s="42"/>
      <c r="F2617" s="42"/>
      <c r="G2617" s="42"/>
      <c r="H2617" s="42"/>
      <c r="I2617" s="42"/>
      <c r="J2617" s="42"/>
      <c r="K2617" s="42"/>
      <c r="L2617" s="42"/>
      <c r="M2617" s="42"/>
    </row>
    <row r="2618" spans="1:13" x14ac:dyDescent="0.2">
      <c r="A2618" s="42"/>
      <c r="B2618" s="42"/>
      <c r="C2618" s="42"/>
      <c r="D2618" s="42"/>
      <c r="E2618" s="42"/>
      <c r="F2618" s="42"/>
      <c r="G2618" s="42"/>
      <c r="H2618" s="42"/>
      <c r="I2618" s="42"/>
      <c r="J2618" s="42"/>
      <c r="K2618" s="42"/>
      <c r="L2618" s="42"/>
      <c r="M2618" s="42"/>
    </row>
    <row r="2619" spans="1:13" x14ac:dyDescent="0.2">
      <c r="A2619" s="42"/>
      <c r="B2619" s="42"/>
      <c r="C2619" s="42"/>
      <c r="D2619" s="42"/>
      <c r="E2619" s="42"/>
      <c r="F2619" s="42"/>
      <c r="G2619" s="42"/>
      <c r="H2619" s="42"/>
      <c r="I2619" s="42"/>
      <c r="J2619" s="42"/>
      <c r="K2619" s="42"/>
      <c r="L2619" s="42"/>
      <c r="M2619" s="42"/>
    </row>
    <row r="2620" spans="1:13" x14ac:dyDescent="0.2">
      <c r="A2620" s="42"/>
      <c r="B2620" s="42"/>
      <c r="C2620" s="42"/>
      <c r="D2620" s="42"/>
      <c r="E2620" s="42"/>
      <c r="F2620" s="42"/>
      <c r="G2620" s="42"/>
      <c r="H2620" s="42"/>
      <c r="I2620" s="42"/>
      <c r="J2620" s="42"/>
      <c r="K2620" s="42"/>
      <c r="L2620" s="42"/>
      <c r="M2620" s="42"/>
    </row>
    <row r="2621" spans="1:13" x14ac:dyDescent="0.2">
      <c r="A2621" s="42"/>
      <c r="B2621" s="42"/>
      <c r="C2621" s="42"/>
      <c r="D2621" s="42"/>
      <c r="E2621" s="42"/>
      <c r="F2621" s="42"/>
      <c r="G2621" s="42"/>
      <c r="H2621" s="42"/>
      <c r="I2621" s="42"/>
      <c r="J2621" s="42"/>
      <c r="K2621" s="42"/>
      <c r="L2621" s="42"/>
      <c r="M2621" s="42"/>
    </row>
    <row r="2622" spans="1:13" x14ac:dyDescent="0.2">
      <c r="A2622" s="42"/>
      <c r="B2622" s="42"/>
      <c r="C2622" s="42"/>
      <c r="D2622" s="42"/>
      <c r="E2622" s="42"/>
      <c r="F2622" s="42"/>
      <c r="G2622" s="42"/>
      <c r="H2622" s="42"/>
      <c r="I2622" s="42"/>
      <c r="J2622" s="42"/>
      <c r="K2622" s="42"/>
      <c r="L2622" s="42"/>
      <c r="M2622" s="42"/>
    </row>
    <row r="2623" spans="1:13" x14ac:dyDescent="0.2">
      <c r="A2623" s="42"/>
      <c r="B2623" s="42"/>
      <c r="C2623" s="42"/>
      <c r="D2623" s="42"/>
      <c r="E2623" s="42"/>
      <c r="F2623" s="42"/>
      <c r="G2623" s="42"/>
      <c r="H2623" s="42"/>
      <c r="I2623" s="42"/>
      <c r="J2623" s="42"/>
      <c r="K2623" s="42"/>
      <c r="L2623" s="42"/>
      <c r="M2623" s="42"/>
    </row>
    <row r="2624" spans="1:13" x14ac:dyDescent="0.2">
      <c r="A2624" s="42"/>
      <c r="B2624" s="42"/>
      <c r="C2624" s="42"/>
      <c r="D2624" s="42"/>
      <c r="E2624" s="42"/>
      <c r="F2624" s="42"/>
      <c r="G2624" s="42"/>
      <c r="H2624" s="42"/>
      <c r="I2624" s="42"/>
      <c r="J2624" s="42"/>
      <c r="K2624" s="42"/>
      <c r="L2624" s="42"/>
      <c r="M2624" s="42"/>
    </row>
    <row r="2625" spans="1:13" x14ac:dyDescent="0.2">
      <c r="A2625" s="42"/>
      <c r="B2625" s="42"/>
      <c r="C2625" s="42"/>
      <c r="D2625" s="42"/>
      <c r="E2625" s="42"/>
      <c r="F2625" s="42"/>
      <c r="G2625" s="42"/>
      <c r="H2625" s="42"/>
      <c r="I2625" s="42"/>
      <c r="J2625" s="42"/>
      <c r="K2625" s="42"/>
      <c r="L2625" s="42"/>
      <c r="M2625" s="42"/>
    </row>
    <row r="2626" spans="1:13" x14ac:dyDescent="0.2">
      <c r="A2626" s="42"/>
      <c r="B2626" s="42"/>
      <c r="C2626" s="42"/>
      <c r="D2626" s="42"/>
      <c r="E2626" s="42"/>
      <c r="F2626" s="42"/>
      <c r="G2626" s="42"/>
      <c r="H2626" s="42"/>
      <c r="I2626" s="42"/>
      <c r="J2626" s="42"/>
      <c r="K2626" s="42"/>
      <c r="L2626" s="42"/>
      <c r="M2626" s="42"/>
    </row>
    <row r="2627" spans="1:13" x14ac:dyDescent="0.2">
      <c r="A2627" s="42"/>
      <c r="B2627" s="42"/>
      <c r="C2627" s="42"/>
      <c r="D2627" s="42"/>
      <c r="E2627" s="42"/>
      <c r="F2627" s="42"/>
      <c r="G2627" s="42"/>
      <c r="H2627" s="42"/>
      <c r="I2627" s="42"/>
      <c r="J2627" s="42"/>
      <c r="K2627" s="42"/>
      <c r="L2627" s="42"/>
      <c r="M2627" s="42"/>
    </row>
    <row r="2628" spans="1:13" x14ac:dyDescent="0.2">
      <c r="A2628" s="42"/>
      <c r="B2628" s="42"/>
      <c r="C2628" s="42"/>
      <c r="D2628" s="42"/>
      <c r="E2628" s="42"/>
      <c r="F2628" s="42"/>
      <c r="G2628" s="42"/>
      <c r="H2628" s="42"/>
      <c r="I2628" s="42"/>
      <c r="J2628" s="42"/>
      <c r="K2628" s="42"/>
      <c r="L2628" s="42"/>
      <c r="M2628" s="42"/>
    </row>
    <row r="2629" spans="1:13" x14ac:dyDescent="0.2">
      <c r="A2629" s="42"/>
      <c r="B2629" s="42"/>
      <c r="C2629" s="42"/>
      <c r="D2629" s="42"/>
      <c r="E2629" s="42"/>
      <c r="F2629" s="42"/>
      <c r="G2629" s="42"/>
      <c r="H2629" s="42"/>
      <c r="I2629" s="42"/>
      <c r="J2629" s="42"/>
      <c r="K2629" s="42"/>
      <c r="L2629" s="42"/>
      <c r="M2629" s="42"/>
    </row>
    <row r="2630" spans="1:13" x14ac:dyDescent="0.2">
      <c r="A2630" s="42"/>
      <c r="B2630" s="42"/>
      <c r="C2630" s="42"/>
      <c r="D2630" s="42"/>
      <c r="E2630" s="42"/>
      <c r="F2630" s="42"/>
      <c r="G2630" s="42"/>
      <c r="H2630" s="42"/>
      <c r="I2630" s="42"/>
      <c r="J2630" s="42"/>
      <c r="K2630" s="42"/>
      <c r="L2630" s="42"/>
      <c r="M2630" s="42"/>
    </row>
    <row r="2631" spans="1:13" x14ac:dyDescent="0.2">
      <c r="A2631" s="42"/>
      <c r="B2631" s="42"/>
      <c r="C2631" s="42"/>
      <c r="D2631" s="42"/>
      <c r="E2631" s="42"/>
      <c r="F2631" s="42"/>
      <c r="G2631" s="42"/>
      <c r="H2631" s="42"/>
      <c r="I2631" s="42"/>
      <c r="J2631" s="42"/>
      <c r="K2631" s="42"/>
      <c r="L2631" s="42"/>
      <c r="M2631" s="42"/>
    </row>
    <row r="2632" spans="1:13" x14ac:dyDescent="0.2">
      <c r="A2632" s="42"/>
      <c r="B2632" s="42"/>
      <c r="C2632" s="42"/>
      <c r="D2632" s="42"/>
      <c r="E2632" s="42"/>
      <c r="F2632" s="42"/>
      <c r="G2632" s="42"/>
      <c r="H2632" s="42"/>
      <c r="I2632" s="42"/>
      <c r="J2632" s="42"/>
      <c r="K2632" s="42"/>
      <c r="L2632" s="42"/>
      <c r="M2632" s="42"/>
    </row>
    <row r="2633" spans="1:13" x14ac:dyDescent="0.2">
      <c r="A2633" s="42"/>
      <c r="B2633" s="42"/>
      <c r="C2633" s="42"/>
      <c r="D2633" s="42"/>
      <c r="E2633" s="42"/>
      <c r="F2633" s="42"/>
      <c r="G2633" s="42"/>
      <c r="H2633" s="42"/>
      <c r="I2633" s="42"/>
      <c r="J2633" s="42"/>
      <c r="K2633" s="42"/>
      <c r="L2633" s="42"/>
      <c r="M2633" s="42"/>
    </row>
    <row r="2634" spans="1:13" x14ac:dyDescent="0.2">
      <c r="A2634" s="42"/>
      <c r="B2634" s="42"/>
      <c r="C2634" s="42"/>
      <c r="D2634" s="42"/>
      <c r="E2634" s="42"/>
      <c r="F2634" s="42"/>
      <c r="G2634" s="42"/>
      <c r="H2634" s="42"/>
      <c r="I2634" s="42"/>
      <c r="J2634" s="42"/>
      <c r="K2634" s="42"/>
      <c r="L2634" s="42"/>
      <c r="M2634" s="42"/>
    </row>
    <row r="2635" spans="1:13" x14ac:dyDescent="0.2">
      <c r="A2635" s="42"/>
      <c r="B2635" s="42"/>
      <c r="C2635" s="42"/>
      <c r="D2635" s="42"/>
      <c r="E2635" s="42"/>
      <c r="F2635" s="42"/>
      <c r="G2635" s="42"/>
      <c r="H2635" s="42"/>
      <c r="I2635" s="42"/>
      <c r="J2635" s="42"/>
      <c r="K2635" s="42"/>
      <c r="L2635" s="42"/>
      <c r="M2635" s="42"/>
    </row>
    <row r="2636" spans="1:13" x14ac:dyDescent="0.2">
      <c r="A2636" s="42"/>
      <c r="B2636" s="42"/>
      <c r="C2636" s="42"/>
      <c r="D2636" s="42"/>
      <c r="E2636" s="42"/>
      <c r="F2636" s="42"/>
      <c r="G2636" s="42"/>
      <c r="H2636" s="42"/>
      <c r="I2636" s="42"/>
      <c r="J2636" s="42"/>
      <c r="K2636" s="42"/>
      <c r="L2636" s="42"/>
      <c r="M2636" s="42"/>
    </row>
    <row r="2637" spans="1:13" x14ac:dyDescent="0.2">
      <c r="A2637" s="42"/>
      <c r="B2637" s="42"/>
      <c r="C2637" s="42"/>
      <c r="D2637" s="42"/>
      <c r="E2637" s="42"/>
      <c r="F2637" s="42"/>
      <c r="G2637" s="42"/>
      <c r="H2637" s="42"/>
      <c r="I2637" s="42"/>
      <c r="J2637" s="42"/>
      <c r="K2637" s="42"/>
      <c r="L2637" s="42"/>
      <c r="M2637" s="42"/>
    </row>
    <row r="2638" spans="1:13" x14ac:dyDescent="0.2">
      <c r="A2638" s="42"/>
      <c r="B2638" s="42"/>
      <c r="C2638" s="42"/>
      <c r="D2638" s="42"/>
      <c r="E2638" s="42"/>
      <c r="F2638" s="42"/>
      <c r="G2638" s="42"/>
      <c r="H2638" s="42"/>
      <c r="I2638" s="42"/>
      <c r="J2638" s="42"/>
      <c r="K2638" s="42"/>
      <c r="L2638" s="42"/>
      <c r="M2638" s="42"/>
    </row>
    <row r="2639" spans="1:13" x14ac:dyDescent="0.2">
      <c r="A2639" s="42"/>
      <c r="B2639" s="42"/>
      <c r="C2639" s="42"/>
      <c r="D2639" s="42"/>
      <c r="E2639" s="42"/>
      <c r="F2639" s="42"/>
      <c r="G2639" s="42"/>
      <c r="H2639" s="42"/>
      <c r="I2639" s="42"/>
      <c r="J2639" s="42"/>
      <c r="K2639" s="42"/>
      <c r="L2639" s="42"/>
      <c r="M2639" s="42"/>
    </row>
    <row r="2640" spans="1:13" x14ac:dyDescent="0.2">
      <c r="A2640" s="42"/>
      <c r="B2640" s="42"/>
      <c r="C2640" s="42"/>
      <c r="D2640" s="42"/>
      <c r="E2640" s="42"/>
      <c r="F2640" s="42"/>
      <c r="G2640" s="42"/>
      <c r="H2640" s="42"/>
      <c r="I2640" s="42"/>
      <c r="J2640" s="42"/>
      <c r="K2640" s="42"/>
      <c r="L2640" s="42"/>
      <c r="M2640" s="42"/>
    </row>
    <row r="2641" spans="1:13" x14ac:dyDescent="0.2">
      <c r="A2641" s="42"/>
      <c r="B2641" s="42"/>
      <c r="C2641" s="42"/>
      <c r="D2641" s="42"/>
      <c r="E2641" s="42"/>
      <c r="F2641" s="42"/>
      <c r="G2641" s="42"/>
      <c r="H2641" s="42"/>
      <c r="I2641" s="42"/>
      <c r="J2641" s="42"/>
      <c r="K2641" s="42"/>
      <c r="L2641" s="42"/>
      <c r="M2641" s="42"/>
    </row>
    <row r="2642" spans="1:13" x14ac:dyDescent="0.2">
      <c r="A2642" s="42"/>
      <c r="B2642" s="42"/>
      <c r="C2642" s="42"/>
      <c r="D2642" s="42"/>
      <c r="E2642" s="42"/>
      <c r="F2642" s="42"/>
      <c r="G2642" s="42"/>
      <c r="H2642" s="42"/>
      <c r="I2642" s="42"/>
      <c r="J2642" s="42"/>
      <c r="K2642" s="42"/>
      <c r="L2642" s="42"/>
      <c r="M2642" s="42"/>
    </row>
    <row r="2643" spans="1:13" x14ac:dyDescent="0.2">
      <c r="A2643" s="42"/>
      <c r="B2643" s="42"/>
      <c r="C2643" s="42"/>
      <c r="D2643" s="42"/>
      <c r="E2643" s="42"/>
      <c r="F2643" s="42"/>
      <c r="G2643" s="42"/>
      <c r="H2643" s="42"/>
      <c r="I2643" s="42"/>
      <c r="J2643" s="42"/>
      <c r="K2643" s="42"/>
      <c r="L2643" s="42"/>
      <c r="M2643" s="42"/>
    </row>
    <row r="2644" spans="1:13" x14ac:dyDescent="0.2">
      <c r="A2644" s="42"/>
      <c r="B2644" s="42"/>
      <c r="C2644" s="42"/>
      <c r="D2644" s="42"/>
      <c r="E2644" s="42"/>
      <c r="F2644" s="42"/>
      <c r="G2644" s="42"/>
      <c r="H2644" s="42"/>
      <c r="I2644" s="42"/>
      <c r="J2644" s="42"/>
      <c r="K2644" s="42"/>
      <c r="L2644" s="42"/>
      <c r="M2644" s="42"/>
    </row>
    <row r="2645" spans="1:13" x14ac:dyDescent="0.2">
      <c r="A2645" s="42"/>
      <c r="B2645" s="42"/>
      <c r="C2645" s="42"/>
      <c r="D2645" s="42"/>
      <c r="E2645" s="42"/>
      <c r="F2645" s="42"/>
      <c r="G2645" s="42"/>
      <c r="H2645" s="42"/>
      <c r="I2645" s="42"/>
      <c r="J2645" s="42"/>
      <c r="K2645" s="42"/>
      <c r="L2645" s="42"/>
      <c r="M2645" s="42"/>
    </row>
    <row r="2646" spans="1:13" x14ac:dyDescent="0.2">
      <c r="A2646" s="42"/>
      <c r="B2646" s="42"/>
      <c r="C2646" s="42"/>
      <c r="D2646" s="42"/>
      <c r="E2646" s="42"/>
      <c r="F2646" s="42"/>
      <c r="G2646" s="42"/>
      <c r="H2646" s="42"/>
      <c r="I2646" s="42"/>
      <c r="J2646" s="42"/>
      <c r="K2646" s="42"/>
      <c r="L2646" s="42"/>
      <c r="M2646" s="42"/>
    </row>
    <row r="2647" spans="1:13" x14ac:dyDescent="0.2">
      <c r="A2647" s="42"/>
      <c r="B2647" s="42"/>
      <c r="C2647" s="42"/>
      <c r="D2647" s="42"/>
      <c r="E2647" s="42"/>
      <c r="F2647" s="42"/>
      <c r="G2647" s="42"/>
      <c r="H2647" s="42"/>
      <c r="I2647" s="42"/>
      <c r="J2647" s="42"/>
      <c r="K2647" s="42"/>
      <c r="L2647" s="42"/>
      <c r="M2647" s="42"/>
    </row>
    <row r="2648" spans="1:13" x14ac:dyDescent="0.2">
      <c r="A2648" s="42"/>
      <c r="B2648" s="42"/>
      <c r="C2648" s="42"/>
      <c r="D2648" s="42"/>
      <c r="E2648" s="42"/>
      <c r="F2648" s="42"/>
      <c r="G2648" s="42"/>
      <c r="H2648" s="42"/>
      <c r="I2648" s="42"/>
      <c r="J2648" s="42"/>
      <c r="K2648" s="42"/>
      <c r="L2648" s="42"/>
      <c r="M2648" s="42"/>
    </row>
    <row r="2649" spans="1:13" x14ac:dyDescent="0.2">
      <c r="A2649" s="42"/>
      <c r="B2649" s="42"/>
      <c r="C2649" s="42"/>
      <c r="D2649" s="42"/>
      <c r="E2649" s="42"/>
      <c r="F2649" s="42"/>
      <c r="G2649" s="42"/>
      <c r="H2649" s="42"/>
      <c r="I2649" s="42"/>
      <c r="J2649" s="42"/>
      <c r="K2649" s="42"/>
      <c r="L2649" s="42"/>
      <c r="M2649" s="42"/>
    </row>
    <row r="2650" spans="1:13" x14ac:dyDescent="0.2">
      <c r="A2650" s="42"/>
      <c r="B2650" s="42"/>
      <c r="C2650" s="42"/>
      <c r="D2650" s="42"/>
      <c r="E2650" s="42"/>
      <c r="F2650" s="42"/>
      <c r="G2650" s="42"/>
      <c r="H2650" s="42"/>
      <c r="I2650" s="42"/>
      <c r="J2650" s="42"/>
      <c r="K2650" s="42"/>
      <c r="L2650" s="42"/>
      <c r="M2650" s="42"/>
    </row>
    <row r="2651" spans="1:13" x14ac:dyDescent="0.2">
      <c r="A2651" s="42"/>
      <c r="B2651" s="42"/>
      <c r="C2651" s="42"/>
      <c r="D2651" s="42"/>
      <c r="E2651" s="42"/>
      <c r="F2651" s="42"/>
      <c r="G2651" s="42"/>
      <c r="H2651" s="42"/>
      <c r="I2651" s="42"/>
      <c r="J2651" s="42"/>
      <c r="K2651" s="42"/>
      <c r="L2651" s="42"/>
      <c r="M2651" s="42"/>
    </row>
    <row r="2652" spans="1:13" x14ac:dyDescent="0.2">
      <c r="A2652" s="42"/>
      <c r="B2652" s="42"/>
      <c r="C2652" s="42"/>
      <c r="D2652" s="42"/>
      <c r="E2652" s="42"/>
      <c r="F2652" s="42"/>
      <c r="G2652" s="42"/>
      <c r="H2652" s="42"/>
      <c r="I2652" s="42"/>
      <c r="J2652" s="42"/>
      <c r="K2652" s="42"/>
      <c r="L2652" s="42"/>
      <c r="M2652" s="42"/>
    </row>
    <row r="2653" spans="1:13" x14ac:dyDescent="0.2">
      <c r="A2653" s="42"/>
      <c r="B2653" s="42"/>
      <c r="C2653" s="42"/>
      <c r="D2653" s="42"/>
      <c r="E2653" s="42"/>
      <c r="F2653" s="42"/>
      <c r="G2653" s="42"/>
      <c r="H2653" s="42"/>
      <c r="I2653" s="42"/>
      <c r="J2653" s="42"/>
      <c r="K2653" s="42"/>
      <c r="L2653" s="42"/>
      <c r="M2653" s="42"/>
    </row>
    <row r="2654" spans="1:13" x14ac:dyDescent="0.2">
      <c r="A2654" s="42"/>
      <c r="B2654" s="42"/>
      <c r="C2654" s="42"/>
      <c r="D2654" s="42"/>
      <c r="E2654" s="42"/>
      <c r="F2654" s="42"/>
      <c r="G2654" s="42"/>
      <c r="H2654" s="42"/>
      <c r="I2654" s="42"/>
      <c r="J2654" s="42"/>
      <c r="K2654" s="42"/>
      <c r="L2654" s="42"/>
      <c r="M2654" s="42"/>
    </row>
    <row r="2655" spans="1:13" x14ac:dyDescent="0.2">
      <c r="A2655" s="42"/>
      <c r="B2655" s="42"/>
      <c r="C2655" s="42"/>
      <c r="D2655" s="42"/>
      <c r="E2655" s="42"/>
      <c r="F2655" s="42"/>
      <c r="G2655" s="42"/>
      <c r="H2655" s="42"/>
      <c r="I2655" s="42"/>
      <c r="J2655" s="42"/>
      <c r="K2655" s="42"/>
      <c r="L2655" s="42"/>
      <c r="M2655" s="42"/>
    </row>
    <row r="2656" spans="1:13" x14ac:dyDescent="0.2">
      <c r="A2656" s="42"/>
      <c r="B2656" s="42"/>
      <c r="C2656" s="42"/>
      <c r="D2656" s="42"/>
      <c r="E2656" s="42"/>
      <c r="F2656" s="42"/>
      <c r="G2656" s="42"/>
      <c r="H2656" s="42"/>
      <c r="I2656" s="42"/>
      <c r="J2656" s="42"/>
      <c r="K2656" s="42"/>
      <c r="L2656" s="42"/>
      <c r="M2656" s="42"/>
    </row>
    <row r="2657" spans="1:13" x14ac:dyDescent="0.2">
      <c r="A2657" s="42"/>
      <c r="B2657" s="42"/>
      <c r="C2657" s="42"/>
      <c r="D2657" s="42"/>
      <c r="E2657" s="42"/>
      <c r="F2657" s="42"/>
      <c r="G2657" s="42"/>
      <c r="H2657" s="42"/>
      <c r="I2657" s="42"/>
      <c r="J2657" s="42"/>
      <c r="K2657" s="42"/>
      <c r="L2657" s="42"/>
      <c r="M2657" s="42"/>
    </row>
    <row r="2658" spans="1:13" x14ac:dyDescent="0.2">
      <c r="A2658" s="42"/>
      <c r="B2658" s="42"/>
      <c r="C2658" s="42"/>
      <c r="D2658" s="42"/>
      <c r="E2658" s="42"/>
      <c r="F2658" s="42"/>
      <c r="G2658" s="42"/>
      <c r="H2658" s="42"/>
      <c r="I2658" s="42"/>
      <c r="J2658" s="42"/>
      <c r="K2658" s="42"/>
      <c r="L2658" s="42"/>
      <c r="M2658" s="42"/>
    </row>
    <row r="2659" spans="1:13" x14ac:dyDescent="0.2">
      <c r="A2659" s="42"/>
      <c r="B2659" s="42"/>
      <c r="C2659" s="42"/>
      <c r="D2659" s="42"/>
      <c r="E2659" s="42"/>
      <c r="F2659" s="42"/>
      <c r="G2659" s="42"/>
      <c r="H2659" s="42"/>
      <c r="I2659" s="42"/>
      <c r="J2659" s="42"/>
      <c r="K2659" s="42"/>
      <c r="L2659" s="42"/>
      <c r="M2659" s="42"/>
    </row>
    <row r="2660" spans="1:13" x14ac:dyDescent="0.2">
      <c r="A2660" s="42"/>
      <c r="B2660" s="42"/>
      <c r="C2660" s="42"/>
      <c r="D2660" s="42"/>
      <c r="E2660" s="42"/>
      <c r="F2660" s="42"/>
      <c r="G2660" s="42"/>
      <c r="H2660" s="42"/>
      <c r="I2660" s="42"/>
      <c r="J2660" s="42"/>
      <c r="K2660" s="42"/>
      <c r="L2660" s="42"/>
      <c r="M2660" s="42"/>
    </row>
    <row r="2661" spans="1:13" x14ac:dyDescent="0.2">
      <c r="A2661" s="42"/>
      <c r="B2661" s="42"/>
      <c r="C2661" s="42"/>
      <c r="D2661" s="42"/>
      <c r="E2661" s="42"/>
      <c r="F2661" s="42"/>
      <c r="G2661" s="42"/>
      <c r="H2661" s="42"/>
      <c r="I2661" s="42"/>
      <c r="J2661" s="42"/>
      <c r="K2661" s="42"/>
      <c r="L2661" s="42"/>
      <c r="M2661" s="42"/>
    </row>
    <row r="2662" spans="1:13" x14ac:dyDescent="0.2">
      <c r="A2662" s="42"/>
      <c r="B2662" s="42"/>
      <c r="C2662" s="42"/>
      <c r="D2662" s="42"/>
      <c r="E2662" s="42"/>
      <c r="F2662" s="42"/>
      <c r="G2662" s="42"/>
      <c r="H2662" s="42"/>
      <c r="I2662" s="42"/>
      <c r="J2662" s="42"/>
      <c r="K2662" s="42"/>
      <c r="L2662" s="42"/>
      <c r="M2662" s="42"/>
    </row>
    <row r="2663" spans="1:13" x14ac:dyDescent="0.2">
      <c r="A2663" s="42"/>
      <c r="B2663" s="42"/>
      <c r="C2663" s="42"/>
      <c r="D2663" s="42"/>
      <c r="E2663" s="42"/>
      <c r="F2663" s="42"/>
      <c r="G2663" s="42"/>
      <c r="H2663" s="42"/>
      <c r="I2663" s="42"/>
      <c r="J2663" s="42"/>
      <c r="K2663" s="42"/>
      <c r="L2663" s="42"/>
      <c r="M2663" s="42"/>
    </row>
    <row r="2664" spans="1:13" x14ac:dyDescent="0.2">
      <c r="A2664" s="42"/>
      <c r="B2664" s="42"/>
      <c r="C2664" s="42"/>
      <c r="D2664" s="42"/>
      <c r="E2664" s="42"/>
      <c r="F2664" s="42"/>
      <c r="G2664" s="42"/>
      <c r="H2664" s="42"/>
      <c r="I2664" s="42"/>
      <c r="J2664" s="42"/>
      <c r="K2664" s="42"/>
      <c r="L2664" s="42"/>
      <c r="M2664" s="42"/>
    </row>
    <row r="2665" spans="1:13" x14ac:dyDescent="0.2">
      <c r="A2665" s="42"/>
      <c r="B2665" s="42"/>
      <c r="C2665" s="42"/>
      <c r="D2665" s="42"/>
      <c r="E2665" s="42"/>
      <c r="F2665" s="42"/>
      <c r="G2665" s="42"/>
      <c r="H2665" s="42"/>
      <c r="I2665" s="42"/>
      <c r="J2665" s="42"/>
      <c r="K2665" s="42"/>
      <c r="L2665" s="42"/>
      <c r="M2665" s="42"/>
    </row>
    <row r="2666" spans="1:13" x14ac:dyDescent="0.2">
      <c r="A2666" s="42"/>
      <c r="B2666" s="42"/>
      <c r="C2666" s="42"/>
      <c r="D2666" s="42"/>
      <c r="E2666" s="42"/>
      <c r="F2666" s="42"/>
      <c r="G2666" s="42"/>
      <c r="H2666" s="42"/>
      <c r="I2666" s="42"/>
      <c r="J2666" s="42"/>
      <c r="K2666" s="42"/>
      <c r="L2666" s="42"/>
      <c r="M2666" s="42"/>
    </row>
    <row r="2667" spans="1:13" x14ac:dyDescent="0.2">
      <c r="A2667" s="42"/>
      <c r="B2667" s="42"/>
      <c r="C2667" s="42"/>
      <c r="D2667" s="42"/>
      <c r="E2667" s="42"/>
      <c r="F2667" s="42"/>
      <c r="G2667" s="42"/>
      <c r="H2667" s="42"/>
      <c r="I2667" s="42"/>
      <c r="J2667" s="42"/>
      <c r="K2667" s="42"/>
      <c r="L2667" s="42"/>
      <c r="M2667" s="42"/>
    </row>
    <row r="2668" spans="1:13" x14ac:dyDescent="0.2">
      <c r="A2668" s="42"/>
      <c r="B2668" s="42"/>
      <c r="C2668" s="42"/>
      <c r="D2668" s="42"/>
      <c r="E2668" s="42"/>
      <c r="F2668" s="42"/>
      <c r="G2668" s="42"/>
      <c r="H2668" s="42"/>
      <c r="I2668" s="42"/>
      <c r="J2668" s="42"/>
      <c r="K2668" s="42"/>
      <c r="L2668" s="42"/>
      <c r="M2668" s="42"/>
    </row>
    <row r="2669" spans="1:13" x14ac:dyDescent="0.2">
      <c r="A2669" s="42"/>
      <c r="B2669" s="42"/>
      <c r="C2669" s="42"/>
      <c r="D2669" s="42"/>
      <c r="E2669" s="42"/>
      <c r="F2669" s="42"/>
      <c r="G2669" s="42"/>
      <c r="H2669" s="42"/>
      <c r="I2669" s="42"/>
      <c r="J2669" s="42"/>
      <c r="K2669" s="42"/>
      <c r="L2669" s="42"/>
      <c r="M2669" s="42"/>
    </row>
    <row r="2670" spans="1:13" x14ac:dyDescent="0.2">
      <c r="A2670" s="42"/>
      <c r="B2670" s="42"/>
      <c r="C2670" s="42"/>
      <c r="D2670" s="42"/>
      <c r="E2670" s="42"/>
      <c r="F2670" s="42"/>
      <c r="G2670" s="42"/>
      <c r="H2670" s="42"/>
      <c r="I2670" s="42"/>
      <c r="J2670" s="42"/>
      <c r="K2670" s="42"/>
      <c r="L2670" s="42"/>
      <c r="M2670" s="42"/>
    </row>
    <row r="2671" spans="1:13" x14ac:dyDescent="0.2">
      <c r="A2671" s="42"/>
      <c r="B2671" s="42"/>
      <c r="C2671" s="42"/>
      <c r="D2671" s="42"/>
      <c r="E2671" s="42"/>
      <c r="F2671" s="42"/>
      <c r="G2671" s="42"/>
      <c r="H2671" s="42"/>
      <c r="I2671" s="42"/>
      <c r="J2671" s="42"/>
      <c r="K2671" s="42"/>
      <c r="L2671" s="42"/>
      <c r="M2671" s="42"/>
    </row>
    <row r="2672" spans="1:13" x14ac:dyDescent="0.2">
      <c r="A2672" s="42"/>
      <c r="B2672" s="42"/>
      <c r="C2672" s="42"/>
      <c r="D2672" s="42"/>
      <c r="E2672" s="42"/>
      <c r="F2672" s="42"/>
      <c r="G2672" s="42"/>
      <c r="H2672" s="42"/>
      <c r="I2672" s="42"/>
      <c r="J2672" s="42"/>
      <c r="K2672" s="42"/>
      <c r="L2672" s="42"/>
      <c r="M2672" s="42"/>
    </row>
    <row r="2673" spans="1:13" x14ac:dyDescent="0.2">
      <c r="A2673" s="42"/>
      <c r="B2673" s="42"/>
      <c r="C2673" s="42"/>
      <c r="D2673" s="42"/>
      <c r="E2673" s="42"/>
      <c r="F2673" s="42"/>
      <c r="G2673" s="42"/>
      <c r="H2673" s="42"/>
      <c r="I2673" s="42"/>
      <c r="J2673" s="42"/>
      <c r="K2673" s="42"/>
      <c r="L2673" s="42"/>
      <c r="M2673" s="42"/>
    </row>
    <row r="2674" spans="1:13" x14ac:dyDescent="0.2">
      <c r="A2674" s="42"/>
      <c r="B2674" s="42"/>
      <c r="C2674" s="42"/>
      <c r="D2674" s="42"/>
      <c r="E2674" s="42"/>
      <c r="F2674" s="42"/>
      <c r="G2674" s="42"/>
      <c r="H2674" s="42"/>
      <c r="I2674" s="42"/>
      <c r="J2674" s="42"/>
      <c r="K2674" s="42"/>
      <c r="L2674" s="42"/>
      <c r="M2674" s="42"/>
    </row>
    <row r="2675" spans="1:13" x14ac:dyDescent="0.2">
      <c r="A2675" s="42"/>
      <c r="B2675" s="42"/>
      <c r="C2675" s="42"/>
      <c r="D2675" s="42"/>
      <c r="E2675" s="42"/>
      <c r="F2675" s="42"/>
      <c r="G2675" s="42"/>
      <c r="H2675" s="42"/>
      <c r="I2675" s="42"/>
      <c r="J2675" s="42"/>
      <c r="K2675" s="42"/>
      <c r="L2675" s="42"/>
      <c r="M2675" s="42"/>
    </row>
    <row r="2676" spans="1:13" x14ac:dyDescent="0.2">
      <c r="A2676" s="42"/>
      <c r="B2676" s="42"/>
      <c r="C2676" s="42"/>
      <c r="D2676" s="42"/>
      <c r="E2676" s="42"/>
      <c r="F2676" s="42"/>
      <c r="G2676" s="42"/>
      <c r="H2676" s="42"/>
      <c r="I2676" s="42"/>
      <c r="J2676" s="42"/>
      <c r="K2676" s="42"/>
      <c r="L2676" s="42"/>
      <c r="M2676" s="42"/>
    </row>
    <row r="2677" spans="1:13" x14ac:dyDescent="0.2">
      <c r="A2677" s="42"/>
      <c r="B2677" s="42"/>
      <c r="C2677" s="42"/>
      <c r="D2677" s="42"/>
      <c r="E2677" s="42"/>
      <c r="F2677" s="42"/>
      <c r="G2677" s="42"/>
      <c r="H2677" s="42"/>
      <c r="I2677" s="42"/>
      <c r="J2677" s="42"/>
      <c r="K2677" s="42"/>
      <c r="L2677" s="42"/>
      <c r="M2677" s="42"/>
    </row>
    <row r="2678" spans="1:13" x14ac:dyDescent="0.2">
      <c r="A2678" s="42"/>
      <c r="B2678" s="42"/>
      <c r="C2678" s="42"/>
      <c r="D2678" s="42"/>
      <c r="E2678" s="42"/>
      <c r="F2678" s="42"/>
      <c r="G2678" s="42"/>
      <c r="H2678" s="42"/>
      <c r="I2678" s="42"/>
      <c r="J2678" s="42"/>
      <c r="K2678" s="42"/>
      <c r="L2678" s="42"/>
      <c r="M2678" s="42"/>
    </row>
    <row r="2679" spans="1:13" x14ac:dyDescent="0.2">
      <c r="A2679" s="42"/>
      <c r="B2679" s="42"/>
      <c r="C2679" s="42"/>
      <c r="D2679" s="42"/>
      <c r="E2679" s="42"/>
      <c r="F2679" s="42"/>
      <c r="G2679" s="42"/>
      <c r="H2679" s="42"/>
      <c r="I2679" s="42"/>
      <c r="J2679" s="42"/>
      <c r="K2679" s="42"/>
      <c r="L2679" s="42"/>
      <c r="M2679" s="42"/>
    </row>
    <row r="2680" spans="1:13" x14ac:dyDescent="0.2">
      <c r="A2680" s="42"/>
      <c r="B2680" s="42"/>
      <c r="C2680" s="42"/>
      <c r="D2680" s="42"/>
      <c r="E2680" s="42"/>
      <c r="F2680" s="42"/>
      <c r="G2680" s="42"/>
      <c r="H2680" s="42"/>
      <c r="I2680" s="42"/>
      <c r="J2680" s="42"/>
      <c r="K2680" s="42"/>
      <c r="L2680" s="42"/>
      <c r="M2680" s="42"/>
    </row>
    <row r="2681" spans="1:13" x14ac:dyDescent="0.2">
      <c r="A2681" s="42"/>
      <c r="B2681" s="42"/>
      <c r="C2681" s="42"/>
      <c r="D2681" s="42"/>
      <c r="E2681" s="42"/>
      <c r="F2681" s="42"/>
      <c r="G2681" s="42"/>
      <c r="H2681" s="42"/>
      <c r="I2681" s="42"/>
      <c r="J2681" s="42"/>
      <c r="K2681" s="42"/>
      <c r="L2681" s="42"/>
      <c r="M2681" s="42"/>
    </row>
    <row r="2682" spans="1:13" x14ac:dyDescent="0.2">
      <c r="A2682" s="42"/>
      <c r="B2682" s="42"/>
      <c r="C2682" s="42"/>
      <c r="D2682" s="42"/>
      <c r="E2682" s="42"/>
      <c r="F2682" s="42"/>
      <c r="G2682" s="42"/>
      <c r="H2682" s="42"/>
      <c r="I2682" s="42"/>
      <c r="J2682" s="42"/>
      <c r="K2682" s="42"/>
      <c r="L2682" s="42"/>
      <c r="M2682" s="42"/>
    </row>
    <row r="2683" spans="1:13" x14ac:dyDescent="0.2">
      <c r="A2683" s="42"/>
      <c r="B2683" s="42"/>
      <c r="C2683" s="42"/>
      <c r="D2683" s="42"/>
      <c r="E2683" s="42"/>
      <c r="F2683" s="42"/>
      <c r="G2683" s="42"/>
      <c r="H2683" s="42"/>
      <c r="I2683" s="42"/>
      <c r="J2683" s="42"/>
      <c r="K2683" s="42"/>
      <c r="L2683" s="42"/>
      <c r="M2683" s="42"/>
    </row>
    <row r="2684" spans="1:13" x14ac:dyDescent="0.2">
      <c r="A2684" s="42"/>
      <c r="B2684" s="42"/>
      <c r="C2684" s="42"/>
      <c r="D2684" s="42"/>
      <c r="E2684" s="42"/>
      <c r="F2684" s="42"/>
      <c r="G2684" s="42"/>
      <c r="H2684" s="42"/>
      <c r="I2684" s="42"/>
      <c r="J2684" s="42"/>
      <c r="K2684" s="42"/>
      <c r="L2684" s="42"/>
      <c r="M2684" s="42"/>
    </row>
    <row r="2685" spans="1:13" x14ac:dyDescent="0.2">
      <c r="A2685" s="42"/>
      <c r="B2685" s="42"/>
      <c r="C2685" s="42"/>
      <c r="D2685" s="42"/>
      <c r="E2685" s="42"/>
      <c r="F2685" s="42"/>
      <c r="G2685" s="42"/>
      <c r="H2685" s="42"/>
      <c r="I2685" s="42"/>
      <c r="J2685" s="42"/>
      <c r="K2685" s="42"/>
      <c r="L2685" s="42"/>
      <c r="M2685" s="42"/>
    </row>
    <row r="2686" spans="1:13" x14ac:dyDescent="0.2">
      <c r="A2686" s="42"/>
      <c r="B2686" s="42"/>
      <c r="C2686" s="42"/>
      <c r="D2686" s="42"/>
      <c r="E2686" s="42"/>
      <c r="F2686" s="42"/>
      <c r="G2686" s="42"/>
      <c r="H2686" s="42"/>
      <c r="I2686" s="42"/>
      <c r="J2686" s="42"/>
      <c r="K2686" s="42"/>
      <c r="L2686" s="42"/>
      <c r="M2686" s="42"/>
    </row>
    <row r="2687" spans="1:13" x14ac:dyDescent="0.2">
      <c r="A2687" s="42"/>
      <c r="B2687" s="42"/>
      <c r="C2687" s="42"/>
      <c r="D2687" s="42"/>
      <c r="E2687" s="42"/>
      <c r="F2687" s="42"/>
      <c r="G2687" s="42"/>
      <c r="H2687" s="42"/>
      <c r="I2687" s="42"/>
      <c r="J2687" s="42"/>
      <c r="K2687" s="42"/>
      <c r="L2687" s="42"/>
      <c r="M2687" s="42"/>
    </row>
    <row r="2688" spans="1:13" x14ac:dyDescent="0.2">
      <c r="A2688" s="42"/>
      <c r="B2688" s="42"/>
      <c r="C2688" s="42"/>
      <c r="D2688" s="42"/>
      <c r="E2688" s="42"/>
      <c r="F2688" s="42"/>
      <c r="G2688" s="42"/>
      <c r="H2688" s="42"/>
      <c r="I2688" s="42"/>
      <c r="J2688" s="42"/>
      <c r="K2688" s="42"/>
      <c r="L2688" s="42"/>
      <c r="M2688" s="42"/>
    </row>
    <row r="2689" spans="1:13" x14ac:dyDescent="0.2">
      <c r="A2689" s="42"/>
      <c r="B2689" s="42"/>
      <c r="C2689" s="42"/>
      <c r="D2689" s="42"/>
      <c r="E2689" s="42"/>
      <c r="F2689" s="42"/>
      <c r="G2689" s="42"/>
      <c r="H2689" s="42"/>
      <c r="I2689" s="42"/>
      <c r="J2689" s="42"/>
      <c r="K2689" s="42"/>
      <c r="L2689" s="42"/>
      <c r="M2689" s="42"/>
    </row>
    <row r="2690" spans="1:13" x14ac:dyDescent="0.2">
      <c r="A2690" s="42"/>
      <c r="B2690" s="42"/>
      <c r="C2690" s="42"/>
      <c r="D2690" s="42"/>
      <c r="E2690" s="42"/>
      <c r="F2690" s="42"/>
      <c r="G2690" s="42"/>
      <c r="H2690" s="42"/>
      <c r="I2690" s="42"/>
      <c r="J2690" s="42"/>
      <c r="K2690" s="42"/>
      <c r="L2690" s="42"/>
      <c r="M2690" s="42"/>
    </row>
    <row r="2691" spans="1:13" x14ac:dyDescent="0.2">
      <c r="A2691" s="42"/>
      <c r="B2691" s="42"/>
      <c r="C2691" s="42"/>
      <c r="D2691" s="42"/>
      <c r="E2691" s="42"/>
      <c r="F2691" s="42"/>
      <c r="G2691" s="42"/>
      <c r="H2691" s="42"/>
      <c r="I2691" s="42"/>
      <c r="J2691" s="42"/>
      <c r="K2691" s="42"/>
      <c r="L2691" s="42"/>
      <c r="M2691" s="42"/>
    </row>
    <row r="2692" spans="1:13" x14ac:dyDescent="0.2">
      <c r="A2692" s="42"/>
      <c r="B2692" s="42"/>
      <c r="C2692" s="42"/>
      <c r="D2692" s="42"/>
      <c r="E2692" s="42"/>
      <c r="F2692" s="42"/>
      <c r="G2692" s="42"/>
      <c r="H2692" s="42"/>
      <c r="I2692" s="42"/>
      <c r="J2692" s="42"/>
      <c r="K2692" s="42"/>
      <c r="L2692" s="42"/>
      <c r="M2692" s="42"/>
    </row>
    <row r="2693" spans="1:13" x14ac:dyDescent="0.2">
      <c r="A2693" s="42"/>
      <c r="B2693" s="42"/>
      <c r="C2693" s="42"/>
      <c r="D2693" s="42"/>
      <c r="E2693" s="42"/>
      <c r="F2693" s="42"/>
      <c r="G2693" s="42"/>
      <c r="H2693" s="42"/>
      <c r="I2693" s="42"/>
      <c r="J2693" s="42"/>
      <c r="K2693" s="42"/>
      <c r="L2693" s="42"/>
      <c r="M2693" s="42"/>
    </row>
    <row r="2694" spans="1:13" x14ac:dyDescent="0.2">
      <c r="A2694" s="42"/>
      <c r="B2694" s="42"/>
      <c r="C2694" s="42"/>
      <c r="D2694" s="42"/>
      <c r="E2694" s="42"/>
      <c r="F2694" s="42"/>
      <c r="G2694" s="42"/>
      <c r="H2694" s="42"/>
      <c r="I2694" s="42"/>
      <c r="J2694" s="42"/>
      <c r="K2694" s="42"/>
      <c r="L2694" s="42"/>
      <c r="M2694" s="42"/>
    </row>
    <row r="2695" spans="1:13" x14ac:dyDescent="0.2">
      <c r="A2695" s="42"/>
      <c r="B2695" s="42"/>
      <c r="C2695" s="42"/>
      <c r="D2695" s="42"/>
      <c r="E2695" s="42"/>
      <c r="F2695" s="42"/>
      <c r="G2695" s="42"/>
      <c r="H2695" s="42"/>
      <c r="I2695" s="42"/>
      <c r="J2695" s="42"/>
      <c r="K2695" s="42"/>
      <c r="L2695" s="42"/>
      <c r="M2695" s="42"/>
    </row>
    <row r="2696" spans="1:13" x14ac:dyDescent="0.2">
      <c r="A2696" s="42"/>
      <c r="B2696" s="42"/>
      <c r="C2696" s="42"/>
      <c r="D2696" s="42"/>
      <c r="E2696" s="42"/>
      <c r="F2696" s="42"/>
      <c r="G2696" s="42"/>
      <c r="H2696" s="42"/>
      <c r="I2696" s="42"/>
      <c r="J2696" s="42"/>
      <c r="K2696" s="42"/>
      <c r="L2696" s="42"/>
      <c r="M2696" s="42"/>
    </row>
    <row r="2697" spans="1:13" x14ac:dyDescent="0.2">
      <c r="A2697" s="42"/>
      <c r="B2697" s="42"/>
      <c r="C2697" s="42"/>
      <c r="D2697" s="42"/>
      <c r="E2697" s="42"/>
      <c r="F2697" s="42"/>
      <c r="G2697" s="42"/>
      <c r="H2697" s="42"/>
      <c r="I2697" s="42"/>
      <c r="J2697" s="42"/>
      <c r="K2697" s="42"/>
      <c r="L2697" s="42"/>
      <c r="M2697" s="42"/>
    </row>
    <row r="2698" spans="1:13" x14ac:dyDescent="0.2">
      <c r="A2698" s="42"/>
      <c r="B2698" s="42"/>
      <c r="C2698" s="42"/>
      <c r="D2698" s="42"/>
      <c r="E2698" s="42"/>
      <c r="F2698" s="42"/>
      <c r="G2698" s="42"/>
      <c r="H2698" s="42"/>
      <c r="I2698" s="42"/>
      <c r="J2698" s="42"/>
      <c r="K2698" s="42"/>
      <c r="L2698" s="42"/>
      <c r="M2698" s="42"/>
    </row>
    <row r="2699" spans="1:13" x14ac:dyDescent="0.2">
      <c r="A2699" s="42"/>
      <c r="B2699" s="42"/>
      <c r="C2699" s="42"/>
      <c r="D2699" s="42"/>
      <c r="E2699" s="42"/>
      <c r="F2699" s="42"/>
      <c r="G2699" s="42"/>
      <c r="H2699" s="42"/>
      <c r="I2699" s="42"/>
      <c r="J2699" s="42"/>
      <c r="K2699" s="42"/>
      <c r="L2699" s="42"/>
      <c r="M2699" s="42"/>
    </row>
    <row r="2700" spans="1:13" x14ac:dyDescent="0.2">
      <c r="A2700" s="42"/>
      <c r="B2700" s="42"/>
      <c r="C2700" s="42"/>
      <c r="D2700" s="42"/>
      <c r="E2700" s="42"/>
      <c r="F2700" s="42"/>
      <c r="G2700" s="42"/>
      <c r="H2700" s="42"/>
      <c r="I2700" s="42"/>
      <c r="J2700" s="42"/>
      <c r="K2700" s="42"/>
      <c r="L2700" s="42"/>
      <c r="M2700" s="42"/>
    </row>
    <row r="2701" spans="1:13" x14ac:dyDescent="0.2">
      <c r="A2701" s="42"/>
      <c r="B2701" s="42"/>
      <c r="C2701" s="42"/>
      <c r="D2701" s="42"/>
      <c r="E2701" s="42"/>
      <c r="F2701" s="42"/>
      <c r="G2701" s="42"/>
      <c r="H2701" s="42"/>
      <c r="I2701" s="42"/>
      <c r="J2701" s="42"/>
      <c r="K2701" s="42"/>
      <c r="L2701" s="42"/>
      <c r="M2701" s="42"/>
    </row>
    <row r="2702" spans="1:13" x14ac:dyDescent="0.2">
      <c r="A2702" s="42"/>
      <c r="B2702" s="42"/>
      <c r="C2702" s="42"/>
      <c r="D2702" s="42"/>
      <c r="E2702" s="42"/>
      <c r="F2702" s="42"/>
      <c r="G2702" s="42"/>
      <c r="H2702" s="42"/>
      <c r="I2702" s="42"/>
      <c r="J2702" s="42"/>
      <c r="K2702" s="42"/>
      <c r="L2702" s="42"/>
      <c r="M2702" s="42"/>
    </row>
    <row r="2703" spans="1:13" x14ac:dyDescent="0.2">
      <c r="A2703" s="42"/>
      <c r="B2703" s="42"/>
      <c r="C2703" s="42"/>
      <c r="D2703" s="42"/>
      <c r="E2703" s="42"/>
      <c r="F2703" s="42"/>
      <c r="G2703" s="42"/>
      <c r="H2703" s="42"/>
      <c r="I2703" s="42"/>
      <c r="J2703" s="42"/>
      <c r="K2703" s="42"/>
      <c r="L2703" s="42"/>
      <c r="M2703" s="42"/>
    </row>
    <row r="2704" spans="1:13" x14ac:dyDescent="0.2">
      <c r="A2704" s="42"/>
      <c r="B2704" s="42"/>
      <c r="C2704" s="42"/>
      <c r="D2704" s="42"/>
      <c r="E2704" s="42"/>
      <c r="F2704" s="42"/>
      <c r="G2704" s="42"/>
      <c r="H2704" s="42"/>
      <c r="I2704" s="42"/>
      <c r="J2704" s="42"/>
      <c r="K2704" s="42"/>
      <c r="L2704" s="42"/>
      <c r="M2704" s="42"/>
    </row>
    <row r="2705" spans="1:13" x14ac:dyDescent="0.2">
      <c r="A2705" s="42"/>
      <c r="B2705" s="42"/>
      <c r="C2705" s="42"/>
      <c r="D2705" s="42"/>
      <c r="E2705" s="42"/>
      <c r="F2705" s="42"/>
      <c r="G2705" s="42"/>
      <c r="H2705" s="42"/>
      <c r="I2705" s="42"/>
      <c r="J2705" s="42"/>
      <c r="K2705" s="42"/>
      <c r="L2705" s="42"/>
      <c r="M2705" s="42"/>
    </row>
    <row r="2706" spans="1:13" x14ac:dyDescent="0.2">
      <c r="A2706" s="42"/>
      <c r="B2706" s="42"/>
      <c r="C2706" s="42"/>
      <c r="D2706" s="42"/>
      <c r="E2706" s="42"/>
      <c r="F2706" s="42"/>
      <c r="G2706" s="42"/>
      <c r="H2706" s="42"/>
      <c r="I2706" s="42"/>
      <c r="J2706" s="42"/>
      <c r="K2706" s="42"/>
      <c r="L2706" s="42"/>
      <c r="M2706" s="42"/>
    </row>
    <row r="2707" spans="1:13" x14ac:dyDescent="0.2">
      <c r="A2707" s="42"/>
      <c r="B2707" s="42"/>
      <c r="C2707" s="42"/>
      <c r="D2707" s="42"/>
      <c r="E2707" s="42"/>
      <c r="F2707" s="42"/>
      <c r="G2707" s="42"/>
      <c r="H2707" s="42"/>
      <c r="I2707" s="42"/>
      <c r="J2707" s="42"/>
      <c r="K2707" s="42"/>
      <c r="L2707" s="42"/>
      <c r="M2707" s="42"/>
    </row>
    <row r="2708" spans="1:13" x14ac:dyDescent="0.2">
      <c r="A2708" s="42"/>
      <c r="B2708" s="42"/>
      <c r="C2708" s="42"/>
      <c r="D2708" s="42"/>
      <c r="E2708" s="42"/>
      <c r="F2708" s="42"/>
      <c r="G2708" s="42"/>
      <c r="H2708" s="42"/>
      <c r="I2708" s="42"/>
      <c r="J2708" s="42"/>
      <c r="K2708" s="42"/>
      <c r="L2708" s="42"/>
      <c r="M2708" s="42"/>
    </row>
    <row r="2709" spans="1:13" x14ac:dyDescent="0.2">
      <c r="A2709" s="42"/>
      <c r="B2709" s="42"/>
      <c r="C2709" s="42"/>
      <c r="D2709" s="42"/>
      <c r="E2709" s="42"/>
      <c r="F2709" s="42"/>
      <c r="G2709" s="42"/>
      <c r="H2709" s="42"/>
      <c r="I2709" s="42"/>
      <c r="J2709" s="42"/>
      <c r="K2709" s="42"/>
      <c r="L2709" s="42"/>
      <c r="M2709" s="42"/>
    </row>
    <row r="2710" spans="1:13" x14ac:dyDescent="0.2">
      <c r="A2710" s="42"/>
      <c r="B2710" s="42"/>
      <c r="C2710" s="42"/>
      <c r="D2710" s="42"/>
      <c r="E2710" s="42"/>
      <c r="F2710" s="42"/>
      <c r="G2710" s="42"/>
      <c r="H2710" s="42"/>
      <c r="I2710" s="42"/>
      <c r="J2710" s="42"/>
      <c r="K2710" s="42"/>
      <c r="L2710" s="42"/>
      <c r="M2710" s="42"/>
    </row>
    <row r="2711" spans="1:13" x14ac:dyDescent="0.2">
      <c r="A2711" s="42"/>
      <c r="B2711" s="42"/>
      <c r="C2711" s="42"/>
      <c r="D2711" s="42"/>
      <c r="E2711" s="42"/>
      <c r="F2711" s="42"/>
      <c r="G2711" s="42"/>
      <c r="H2711" s="42"/>
      <c r="I2711" s="42"/>
      <c r="J2711" s="42"/>
      <c r="K2711" s="42"/>
      <c r="L2711" s="42"/>
      <c r="M2711" s="42"/>
    </row>
    <row r="2712" spans="1:13" x14ac:dyDescent="0.2">
      <c r="A2712" s="42"/>
      <c r="B2712" s="42"/>
      <c r="C2712" s="42"/>
      <c r="D2712" s="42"/>
      <c r="E2712" s="42"/>
      <c r="F2712" s="42"/>
      <c r="G2712" s="42"/>
      <c r="H2712" s="42"/>
      <c r="I2712" s="42"/>
      <c r="J2712" s="42"/>
      <c r="K2712" s="42"/>
      <c r="L2712" s="42"/>
      <c r="M2712" s="42"/>
    </row>
    <row r="2713" spans="1:13" x14ac:dyDescent="0.2">
      <c r="A2713" s="42"/>
      <c r="B2713" s="42"/>
      <c r="C2713" s="42"/>
      <c r="D2713" s="42"/>
      <c r="E2713" s="42"/>
      <c r="F2713" s="42"/>
      <c r="G2713" s="42"/>
      <c r="H2713" s="42"/>
      <c r="I2713" s="42"/>
      <c r="J2713" s="42"/>
      <c r="K2713" s="42"/>
      <c r="L2713" s="42"/>
      <c r="M2713" s="42"/>
    </row>
    <row r="2714" spans="1:13" x14ac:dyDescent="0.2">
      <c r="A2714" s="42"/>
      <c r="B2714" s="42"/>
      <c r="C2714" s="42"/>
      <c r="D2714" s="42"/>
      <c r="E2714" s="42"/>
      <c r="F2714" s="42"/>
      <c r="G2714" s="42"/>
      <c r="H2714" s="42"/>
      <c r="I2714" s="42"/>
      <c r="J2714" s="42"/>
      <c r="K2714" s="42"/>
      <c r="L2714" s="42"/>
      <c r="M2714" s="42"/>
    </row>
    <row r="2715" spans="1:13" x14ac:dyDescent="0.2">
      <c r="A2715" s="42"/>
      <c r="B2715" s="42"/>
      <c r="C2715" s="42"/>
      <c r="D2715" s="42"/>
      <c r="E2715" s="42"/>
      <c r="F2715" s="42"/>
      <c r="G2715" s="42"/>
      <c r="H2715" s="42"/>
      <c r="I2715" s="42"/>
      <c r="J2715" s="42"/>
      <c r="K2715" s="42"/>
      <c r="L2715" s="42"/>
      <c r="M2715" s="42"/>
    </row>
    <row r="2716" spans="1:13" x14ac:dyDescent="0.2">
      <c r="A2716" s="42"/>
      <c r="B2716" s="42"/>
      <c r="C2716" s="42"/>
      <c r="D2716" s="42"/>
      <c r="E2716" s="42"/>
      <c r="F2716" s="42"/>
      <c r="G2716" s="42"/>
      <c r="H2716" s="42"/>
      <c r="I2716" s="42"/>
      <c r="J2716" s="42"/>
      <c r="K2716" s="42"/>
      <c r="L2716" s="42"/>
      <c r="M2716" s="42"/>
    </row>
    <row r="2717" spans="1:13" x14ac:dyDescent="0.2">
      <c r="A2717" s="42"/>
      <c r="B2717" s="42"/>
      <c r="C2717" s="42"/>
      <c r="D2717" s="42"/>
      <c r="E2717" s="42"/>
      <c r="F2717" s="42"/>
      <c r="G2717" s="42"/>
      <c r="H2717" s="42"/>
      <c r="I2717" s="42"/>
      <c r="J2717" s="42"/>
      <c r="K2717" s="42"/>
      <c r="L2717" s="42"/>
      <c r="M2717" s="42"/>
    </row>
    <row r="2718" spans="1:13" x14ac:dyDescent="0.2">
      <c r="A2718" s="42"/>
      <c r="B2718" s="42"/>
      <c r="C2718" s="42"/>
      <c r="D2718" s="42"/>
      <c r="E2718" s="42"/>
      <c r="F2718" s="42"/>
      <c r="G2718" s="42"/>
      <c r="H2718" s="42"/>
      <c r="I2718" s="42"/>
      <c r="J2718" s="42"/>
      <c r="K2718" s="42"/>
      <c r="L2718" s="42"/>
      <c r="M2718" s="42"/>
    </row>
    <row r="2719" spans="1:13" x14ac:dyDescent="0.2">
      <c r="A2719" s="42"/>
      <c r="B2719" s="42"/>
      <c r="C2719" s="42"/>
      <c r="D2719" s="42"/>
      <c r="E2719" s="42"/>
      <c r="F2719" s="42"/>
      <c r="G2719" s="42"/>
      <c r="H2719" s="42"/>
      <c r="I2719" s="42"/>
      <c r="J2719" s="42"/>
      <c r="K2719" s="42"/>
      <c r="L2719" s="42"/>
      <c r="M2719" s="42"/>
    </row>
    <row r="2720" spans="1:13" x14ac:dyDescent="0.2">
      <c r="A2720" s="42"/>
      <c r="B2720" s="42"/>
      <c r="C2720" s="42"/>
      <c r="D2720" s="42"/>
      <c r="E2720" s="42"/>
      <c r="F2720" s="42"/>
      <c r="G2720" s="42"/>
      <c r="H2720" s="42"/>
      <c r="I2720" s="42"/>
      <c r="J2720" s="42"/>
      <c r="K2720" s="42"/>
      <c r="L2720" s="42"/>
      <c r="M2720" s="42"/>
    </row>
    <row r="2721" spans="1:13" x14ac:dyDescent="0.2">
      <c r="A2721" s="42"/>
      <c r="B2721" s="42"/>
      <c r="C2721" s="42"/>
      <c r="D2721" s="42"/>
      <c r="E2721" s="42"/>
      <c r="F2721" s="42"/>
      <c r="G2721" s="42"/>
      <c r="H2721" s="42"/>
      <c r="I2721" s="42"/>
      <c r="J2721" s="42"/>
      <c r="K2721" s="42"/>
      <c r="L2721" s="42"/>
      <c r="M2721" s="42"/>
    </row>
    <row r="2722" spans="1:13" x14ac:dyDescent="0.2">
      <c r="A2722" s="42"/>
      <c r="B2722" s="42"/>
      <c r="C2722" s="42"/>
      <c r="D2722" s="42"/>
      <c r="E2722" s="42"/>
      <c r="F2722" s="42"/>
      <c r="G2722" s="42"/>
      <c r="H2722" s="42"/>
      <c r="I2722" s="42"/>
      <c r="J2722" s="42"/>
      <c r="K2722" s="42"/>
      <c r="L2722" s="42"/>
      <c r="M2722" s="42"/>
    </row>
    <row r="2723" spans="1:13" x14ac:dyDescent="0.2">
      <c r="A2723" s="42"/>
      <c r="B2723" s="42"/>
      <c r="C2723" s="42"/>
      <c r="D2723" s="42"/>
      <c r="E2723" s="42"/>
      <c r="F2723" s="42"/>
      <c r="G2723" s="42"/>
      <c r="H2723" s="42"/>
      <c r="I2723" s="42"/>
      <c r="J2723" s="42"/>
      <c r="K2723" s="42"/>
      <c r="L2723" s="42"/>
      <c r="M2723" s="42"/>
    </row>
    <row r="2724" spans="1:13" x14ac:dyDescent="0.2">
      <c r="A2724" s="42"/>
      <c r="B2724" s="42"/>
      <c r="C2724" s="42"/>
      <c r="D2724" s="42"/>
      <c r="E2724" s="42"/>
      <c r="F2724" s="42"/>
      <c r="G2724" s="42"/>
      <c r="H2724" s="42"/>
      <c r="I2724" s="42"/>
      <c r="J2724" s="42"/>
      <c r="K2724" s="42"/>
      <c r="L2724" s="42"/>
      <c r="M2724" s="42"/>
    </row>
    <row r="2725" spans="1:13" x14ac:dyDescent="0.2">
      <c r="A2725" s="42"/>
      <c r="B2725" s="42"/>
      <c r="C2725" s="42"/>
      <c r="D2725" s="42"/>
      <c r="E2725" s="42"/>
      <c r="F2725" s="42"/>
      <c r="G2725" s="42"/>
      <c r="H2725" s="42"/>
      <c r="I2725" s="42"/>
      <c r="J2725" s="42"/>
      <c r="K2725" s="42"/>
      <c r="L2725" s="42"/>
      <c r="M2725" s="42"/>
    </row>
    <row r="2726" spans="1:13" x14ac:dyDescent="0.2">
      <c r="A2726" s="42"/>
      <c r="B2726" s="42"/>
      <c r="C2726" s="42"/>
      <c r="D2726" s="42"/>
      <c r="E2726" s="42"/>
      <c r="F2726" s="42"/>
      <c r="G2726" s="42"/>
      <c r="H2726" s="42"/>
      <c r="I2726" s="42"/>
      <c r="J2726" s="42"/>
      <c r="K2726" s="42"/>
      <c r="L2726" s="42"/>
      <c r="M2726" s="42"/>
    </row>
    <row r="2727" spans="1:13" x14ac:dyDescent="0.2">
      <c r="A2727" s="42"/>
      <c r="B2727" s="42"/>
      <c r="C2727" s="42"/>
      <c r="D2727" s="42"/>
      <c r="E2727" s="42"/>
      <c r="F2727" s="42"/>
      <c r="G2727" s="42"/>
      <c r="H2727" s="42"/>
      <c r="I2727" s="42"/>
      <c r="J2727" s="42"/>
      <c r="K2727" s="42"/>
      <c r="L2727" s="42"/>
      <c r="M2727" s="42"/>
    </row>
    <row r="2728" spans="1:13" x14ac:dyDescent="0.2">
      <c r="A2728" s="42"/>
      <c r="B2728" s="42"/>
      <c r="C2728" s="42"/>
      <c r="D2728" s="42"/>
      <c r="E2728" s="42"/>
      <c r="F2728" s="42"/>
      <c r="G2728" s="42"/>
      <c r="H2728" s="42"/>
      <c r="I2728" s="42"/>
      <c r="J2728" s="42"/>
      <c r="K2728" s="42"/>
      <c r="L2728" s="42"/>
      <c r="M2728" s="42"/>
    </row>
    <row r="2729" spans="1:13" x14ac:dyDescent="0.2">
      <c r="A2729" s="42"/>
      <c r="B2729" s="42"/>
      <c r="C2729" s="42"/>
      <c r="D2729" s="42"/>
      <c r="E2729" s="42"/>
      <c r="F2729" s="42"/>
      <c r="G2729" s="42"/>
      <c r="H2729" s="42"/>
      <c r="I2729" s="42"/>
      <c r="J2729" s="42"/>
      <c r="K2729" s="42"/>
      <c r="L2729" s="42"/>
      <c r="M2729" s="42"/>
    </row>
    <row r="2730" spans="1:13" x14ac:dyDescent="0.2">
      <c r="A2730" s="42"/>
      <c r="B2730" s="42"/>
      <c r="C2730" s="42"/>
      <c r="D2730" s="42"/>
      <c r="E2730" s="42"/>
      <c r="F2730" s="42"/>
      <c r="G2730" s="42"/>
      <c r="H2730" s="42"/>
      <c r="I2730" s="42"/>
      <c r="J2730" s="42"/>
      <c r="K2730" s="42"/>
      <c r="L2730" s="42"/>
      <c r="M2730" s="42"/>
    </row>
    <row r="2731" spans="1:13" x14ac:dyDescent="0.2">
      <c r="A2731" s="42"/>
      <c r="B2731" s="42"/>
      <c r="C2731" s="42"/>
      <c r="D2731" s="42"/>
      <c r="E2731" s="42"/>
      <c r="F2731" s="42"/>
      <c r="G2731" s="42"/>
      <c r="H2731" s="42"/>
      <c r="I2731" s="42"/>
      <c r="J2731" s="42"/>
      <c r="K2731" s="42"/>
      <c r="L2731" s="42"/>
      <c r="M2731" s="42"/>
    </row>
    <row r="2732" spans="1:13" x14ac:dyDescent="0.2">
      <c r="A2732" s="42"/>
      <c r="B2732" s="42"/>
      <c r="C2732" s="42"/>
      <c r="D2732" s="42"/>
      <c r="E2732" s="42"/>
      <c r="F2732" s="42"/>
      <c r="G2732" s="42"/>
      <c r="H2732" s="42"/>
      <c r="I2732" s="42"/>
      <c r="J2732" s="42"/>
      <c r="K2732" s="42"/>
      <c r="L2732" s="42"/>
      <c r="M2732" s="42"/>
    </row>
    <row r="2733" spans="1:13" x14ac:dyDescent="0.2">
      <c r="A2733" s="42"/>
      <c r="B2733" s="42"/>
      <c r="C2733" s="42"/>
      <c r="D2733" s="42"/>
      <c r="E2733" s="42"/>
      <c r="F2733" s="42"/>
      <c r="G2733" s="42"/>
      <c r="H2733" s="42"/>
      <c r="I2733" s="42"/>
      <c r="J2733" s="42"/>
      <c r="K2733" s="42"/>
      <c r="L2733" s="42"/>
      <c r="M2733" s="42"/>
    </row>
    <row r="2734" spans="1:13" x14ac:dyDescent="0.2">
      <c r="A2734" s="42"/>
      <c r="B2734" s="42"/>
      <c r="C2734" s="42"/>
      <c r="D2734" s="42"/>
      <c r="E2734" s="42"/>
      <c r="F2734" s="42"/>
      <c r="G2734" s="42"/>
      <c r="H2734" s="42"/>
      <c r="I2734" s="42"/>
      <c r="J2734" s="42"/>
      <c r="K2734" s="42"/>
      <c r="L2734" s="42"/>
      <c r="M2734" s="42"/>
    </row>
    <row r="2735" spans="1:13" x14ac:dyDescent="0.2">
      <c r="A2735" s="42"/>
      <c r="B2735" s="42"/>
      <c r="C2735" s="42"/>
      <c r="D2735" s="42"/>
      <c r="E2735" s="42"/>
      <c r="F2735" s="42"/>
      <c r="G2735" s="42"/>
      <c r="H2735" s="42"/>
      <c r="I2735" s="42"/>
      <c r="J2735" s="42"/>
      <c r="K2735" s="42"/>
      <c r="L2735" s="42"/>
      <c r="M2735" s="42"/>
    </row>
    <row r="2736" spans="1:13" x14ac:dyDescent="0.2">
      <c r="A2736" s="42"/>
      <c r="B2736" s="42"/>
      <c r="C2736" s="42"/>
      <c r="D2736" s="42"/>
      <c r="E2736" s="42"/>
      <c r="F2736" s="42"/>
      <c r="G2736" s="42"/>
      <c r="H2736" s="42"/>
      <c r="I2736" s="42"/>
      <c r="J2736" s="42"/>
      <c r="K2736" s="42"/>
      <c r="L2736" s="42"/>
      <c r="M2736" s="42"/>
    </row>
    <row r="2737" spans="1:13" x14ac:dyDescent="0.2">
      <c r="A2737" s="42"/>
      <c r="B2737" s="42"/>
      <c r="C2737" s="42"/>
      <c r="D2737" s="42"/>
      <c r="E2737" s="42"/>
      <c r="F2737" s="42"/>
      <c r="G2737" s="42"/>
      <c r="H2737" s="42"/>
      <c r="I2737" s="42"/>
      <c r="J2737" s="42"/>
      <c r="K2737" s="42"/>
      <c r="L2737" s="42"/>
      <c r="M2737" s="42"/>
    </row>
    <row r="2738" spans="1:13" x14ac:dyDescent="0.2">
      <c r="A2738" s="42"/>
      <c r="B2738" s="42"/>
      <c r="C2738" s="42"/>
      <c r="D2738" s="42"/>
      <c r="E2738" s="42"/>
      <c r="F2738" s="42"/>
      <c r="G2738" s="42"/>
      <c r="H2738" s="42"/>
      <c r="I2738" s="42"/>
      <c r="J2738" s="42"/>
      <c r="K2738" s="42"/>
      <c r="L2738" s="42"/>
      <c r="M2738" s="42"/>
    </row>
    <row r="2739" spans="1:13" x14ac:dyDescent="0.2">
      <c r="A2739" s="42"/>
      <c r="B2739" s="42"/>
      <c r="C2739" s="42"/>
      <c r="D2739" s="42"/>
      <c r="E2739" s="42"/>
      <c r="F2739" s="42"/>
      <c r="G2739" s="42"/>
      <c r="H2739" s="42"/>
      <c r="I2739" s="42"/>
      <c r="J2739" s="42"/>
      <c r="K2739" s="42"/>
      <c r="L2739" s="42"/>
      <c r="M2739" s="42"/>
    </row>
    <row r="2740" spans="1:13" x14ac:dyDescent="0.2">
      <c r="A2740" s="42"/>
      <c r="B2740" s="42"/>
      <c r="C2740" s="42"/>
      <c r="D2740" s="42"/>
      <c r="E2740" s="42"/>
      <c r="F2740" s="42"/>
      <c r="G2740" s="42"/>
      <c r="H2740" s="42"/>
      <c r="I2740" s="42"/>
      <c r="J2740" s="42"/>
      <c r="K2740" s="42"/>
      <c r="L2740" s="42"/>
      <c r="M2740" s="42"/>
    </row>
    <row r="2741" spans="1:13" x14ac:dyDescent="0.2">
      <c r="A2741" s="42"/>
      <c r="B2741" s="42"/>
      <c r="C2741" s="42"/>
      <c r="D2741" s="42"/>
      <c r="E2741" s="42"/>
      <c r="F2741" s="42"/>
      <c r="G2741" s="42"/>
      <c r="H2741" s="42"/>
      <c r="I2741" s="42"/>
      <c r="J2741" s="42"/>
      <c r="K2741" s="42"/>
      <c r="L2741" s="42"/>
      <c r="M2741" s="42"/>
    </row>
    <row r="2742" spans="1:13" x14ac:dyDescent="0.2">
      <c r="A2742" s="42"/>
      <c r="B2742" s="42"/>
      <c r="C2742" s="42"/>
      <c r="D2742" s="42"/>
      <c r="E2742" s="42"/>
      <c r="F2742" s="42"/>
      <c r="G2742" s="42"/>
      <c r="H2742" s="42"/>
      <c r="I2742" s="42"/>
      <c r="J2742" s="42"/>
      <c r="K2742" s="42"/>
      <c r="L2742" s="42"/>
      <c r="M2742" s="42"/>
    </row>
    <row r="2743" spans="1:13" x14ac:dyDescent="0.2">
      <c r="A2743" s="42"/>
      <c r="B2743" s="42"/>
      <c r="C2743" s="42"/>
      <c r="D2743" s="42"/>
      <c r="E2743" s="42"/>
      <c r="F2743" s="42"/>
      <c r="G2743" s="42"/>
      <c r="H2743" s="42"/>
      <c r="I2743" s="42"/>
      <c r="J2743" s="42"/>
      <c r="K2743" s="42"/>
      <c r="L2743" s="42"/>
      <c r="M2743" s="42"/>
    </row>
    <row r="2744" spans="1:13" x14ac:dyDescent="0.2">
      <c r="A2744" s="42"/>
      <c r="B2744" s="42"/>
      <c r="C2744" s="42"/>
      <c r="D2744" s="42"/>
      <c r="E2744" s="42"/>
      <c r="F2744" s="42"/>
      <c r="G2744" s="42"/>
      <c r="H2744" s="42"/>
      <c r="I2744" s="42"/>
      <c r="J2744" s="42"/>
      <c r="K2744" s="42"/>
      <c r="L2744" s="42"/>
      <c r="M2744" s="42"/>
    </row>
    <row r="2745" spans="1:13" x14ac:dyDescent="0.2">
      <c r="A2745" s="42"/>
      <c r="B2745" s="42"/>
      <c r="C2745" s="42"/>
      <c r="D2745" s="42"/>
      <c r="E2745" s="42"/>
      <c r="F2745" s="42"/>
      <c r="G2745" s="42"/>
      <c r="H2745" s="42"/>
      <c r="I2745" s="42"/>
      <c r="J2745" s="42"/>
      <c r="K2745" s="42"/>
      <c r="L2745" s="42"/>
      <c r="M2745" s="42"/>
    </row>
    <row r="2746" spans="1:13" x14ac:dyDescent="0.2">
      <c r="A2746" s="42"/>
      <c r="B2746" s="42"/>
      <c r="C2746" s="42"/>
      <c r="D2746" s="42"/>
      <c r="E2746" s="42"/>
      <c r="F2746" s="42"/>
      <c r="G2746" s="42"/>
      <c r="H2746" s="42"/>
      <c r="I2746" s="42"/>
      <c r="J2746" s="42"/>
      <c r="K2746" s="42"/>
      <c r="L2746" s="42"/>
      <c r="M2746" s="42"/>
    </row>
    <row r="2747" spans="1:13" x14ac:dyDescent="0.2">
      <c r="A2747" s="42"/>
      <c r="B2747" s="42"/>
      <c r="C2747" s="42"/>
      <c r="D2747" s="42"/>
      <c r="E2747" s="42"/>
      <c r="F2747" s="42"/>
      <c r="G2747" s="42"/>
      <c r="H2747" s="42"/>
      <c r="I2747" s="42"/>
      <c r="J2747" s="42"/>
      <c r="K2747" s="42"/>
      <c r="L2747" s="42"/>
      <c r="M2747" s="42"/>
    </row>
    <row r="2748" spans="1:13" x14ac:dyDescent="0.2">
      <c r="A2748" s="42"/>
      <c r="B2748" s="42"/>
      <c r="C2748" s="42"/>
      <c r="D2748" s="42"/>
      <c r="E2748" s="42"/>
      <c r="F2748" s="42"/>
      <c r="G2748" s="42"/>
      <c r="H2748" s="42"/>
      <c r="I2748" s="42"/>
      <c r="J2748" s="42"/>
      <c r="K2748" s="42"/>
      <c r="L2748" s="42"/>
      <c r="M2748" s="42"/>
    </row>
    <row r="2749" spans="1:13" x14ac:dyDescent="0.2">
      <c r="A2749" s="42"/>
      <c r="B2749" s="42"/>
      <c r="C2749" s="42"/>
      <c r="D2749" s="42"/>
      <c r="E2749" s="42"/>
      <c r="F2749" s="42"/>
      <c r="G2749" s="42"/>
      <c r="H2749" s="42"/>
      <c r="I2749" s="42"/>
      <c r="J2749" s="42"/>
      <c r="K2749" s="42"/>
      <c r="L2749" s="42"/>
      <c r="M2749" s="42"/>
    </row>
    <row r="2750" spans="1:13" x14ac:dyDescent="0.2">
      <c r="A2750" s="42"/>
      <c r="B2750" s="42"/>
      <c r="C2750" s="42"/>
      <c r="D2750" s="42"/>
      <c r="E2750" s="42"/>
      <c r="F2750" s="42"/>
      <c r="G2750" s="42"/>
      <c r="H2750" s="42"/>
      <c r="I2750" s="42"/>
      <c r="J2750" s="42"/>
      <c r="K2750" s="42"/>
      <c r="L2750" s="42"/>
      <c r="M2750" s="42"/>
    </row>
    <row r="2751" spans="1:13" x14ac:dyDescent="0.2">
      <c r="A2751" s="42"/>
      <c r="B2751" s="42"/>
      <c r="C2751" s="42"/>
      <c r="D2751" s="42"/>
      <c r="E2751" s="42"/>
      <c r="F2751" s="42"/>
      <c r="G2751" s="42"/>
      <c r="H2751" s="42"/>
      <c r="I2751" s="42"/>
      <c r="J2751" s="42"/>
      <c r="K2751" s="42"/>
      <c r="L2751" s="42"/>
      <c r="M2751" s="42"/>
    </row>
    <row r="2752" spans="1:13" x14ac:dyDescent="0.2">
      <c r="A2752" s="42"/>
      <c r="B2752" s="42"/>
      <c r="C2752" s="42"/>
      <c r="D2752" s="42"/>
      <c r="E2752" s="42"/>
      <c r="F2752" s="42"/>
      <c r="G2752" s="42"/>
      <c r="H2752" s="42"/>
      <c r="I2752" s="42"/>
      <c r="J2752" s="42"/>
      <c r="K2752" s="42"/>
      <c r="L2752" s="42"/>
      <c r="M2752" s="42"/>
    </row>
    <row r="2753" spans="1:13" x14ac:dyDescent="0.2">
      <c r="A2753" s="42"/>
      <c r="B2753" s="42"/>
      <c r="C2753" s="42"/>
      <c r="D2753" s="42"/>
      <c r="E2753" s="42"/>
      <c r="F2753" s="42"/>
      <c r="G2753" s="42"/>
      <c r="H2753" s="42"/>
      <c r="I2753" s="42"/>
      <c r="J2753" s="42"/>
      <c r="K2753" s="42"/>
      <c r="L2753" s="42"/>
      <c r="M2753" s="42"/>
    </row>
    <row r="2754" spans="1:13" x14ac:dyDescent="0.2">
      <c r="A2754" s="42"/>
      <c r="B2754" s="42"/>
      <c r="C2754" s="42"/>
      <c r="D2754" s="42"/>
      <c r="E2754" s="42"/>
      <c r="F2754" s="42"/>
      <c r="G2754" s="42"/>
      <c r="H2754" s="42"/>
      <c r="I2754" s="42"/>
      <c r="J2754" s="42"/>
      <c r="K2754" s="42"/>
      <c r="L2754" s="42"/>
      <c r="M2754" s="42"/>
    </row>
    <row r="2755" spans="1:13" x14ac:dyDescent="0.2">
      <c r="A2755" s="42"/>
      <c r="B2755" s="42"/>
      <c r="C2755" s="42"/>
      <c r="D2755" s="42"/>
      <c r="E2755" s="42"/>
      <c r="F2755" s="42"/>
      <c r="G2755" s="42"/>
      <c r="H2755" s="42"/>
      <c r="I2755" s="42"/>
      <c r="J2755" s="42"/>
      <c r="K2755" s="42"/>
      <c r="L2755" s="42"/>
      <c r="M2755" s="42"/>
    </row>
    <row r="2756" spans="1:13" x14ac:dyDescent="0.2">
      <c r="A2756" s="42"/>
      <c r="B2756" s="42"/>
      <c r="C2756" s="42"/>
      <c r="D2756" s="42"/>
      <c r="E2756" s="42"/>
      <c r="F2756" s="42"/>
      <c r="G2756" s="42"/>
      <c r="H2756" s="42"/>
      <c r="I2756" s="42"/>
      <c r="J2756" s="42"/>
      <c r="K2756" s="42"/>
      <c r="L2756" s="42"/>
      <c r="M2756" s="42"/>
    </row>
    <row r="2757" spans="1:13" x14ac:dyDescent="0.2">
      <c r="A2757" s="42"/>
      <c r="B2757" s="42"/>
      <c r="C2757" s="42"/>
      <c r="D2757" s="42"/>
      <c r="E2757" s="42"/>
      <c r="F2757" s="42"/>
      <c r="G2757" s="42"/>
      <c r="H2757" s="42"/>
      <c r="I2757" s="42"/>
      <c r="J2757" s="42"/>
      <c r="K2757" s="42"/>
      <c r="L2757" s="42"/>
      <c r="M2757" s="42"/>
    </row>
    <row r="2758" spans="1:13" x14ac:dyDescent="0.2">
      <c r="A2758" s="42"/>
      <c r="B2758" s="42"/>
      <c r="C2758" s="42"/>
      <c r="D2758" s="42"/>
      <c r="E2758" s="42"/>
      <c r="F2758" s="42"/>
      <c r="G2758" s="42"/>
      <c r="H2758" s="42"/>
      <c r="I2758" s="42"/>
      <c r="J2758" s="42"/>
      <c r="K2758" s="42"/>
      <c r="L2758" s="42"/>
      <c r="M2758" s="42"/>
    </row>
    <row r="2759" spans="1:13" x14ac:dyDescent="0.2">
      <c r="A2759" s="42"/>
      <c r="B2759" s="42"/>
      <c r="C2759" s="42"/>
      <c r="D2759" s="42"/>
      <c r="E2759" s="42"/>
      <c r="F2759" s="42"/>
      <c r="G2759" s="42"/>
      <c r="H2759" s="42"/>
      <c r="I2759" s="42"/>
      <c r="J2759" s="42"/>
      <c r="K2759" s="42"/>
      <c r="L2759" s="42"/>
      <c r="M2759" s="42"/>
    </row>
    <row r="2760" spans="1:13" x14ac:dyDescent="0.2">
      <c r="A2760" s="42"/>
      <c r="B2760" s="42"/>
      <c r="C2760" s="42"/>
      <c r="D2760" s="42"/>
      <c r="E2760" s="42"/>
      <c r="F2760" s="42"/>
      <c r="G2760" s="42"/>
      <c r="H2760" s="42"/>
      <c r="I2760" s="42"/>
      <c r="J2760" s="42"/>
      <c r="K2760" s="42"/>
      <c r="L2760" s="42"/>
      <c r="M2760" s="42"/>
    </row>
    <row r="2761" spans="1:13" x14ac:dyDescent="0.2">
      <c r="A2761" s="42"/>
      <c r="B2761" s="42"/>
      <c r="C2761" s="42"/>
      <c r="D2761" s="42"/>
      <c r="E2761" s="42"/>
      <c r="F2761" s="42"/>
      <c r="G2761" s="42"/>
      <c r="H2761" s="42"/>
      <c r="I2761" s="42"/>
      <c r="J2761" s="42"/>
      <c r="K2761" s="42"/>
      <c r="L2761" s="42"/>
      <c r="M2761" s="42"/>
    </row>
    <row r="2762" spans="1:13" x14ac:dyDescent="0.2">
      <c r="A2762" s="42"/>
      <c r="B2762" s="42"/>
      <c r="C2762" s="42"/>
      <c r="D2762" s="42"/>
      <c r="E2762" s="42"/>
      <c r="F2762" s="42"/>
      <c r="G2762" s="42"/>
      <c r="H2762" s="42"/>
      <c r="I2762" s="42"/>
      <c r="J2762" s="42"/>
      <c r="K2762" s="42"/>
      <c r="L2762" s="42"/>
      <c r="M2762" s="42"/>
    </row>
    <row r="2763" spans="1:13" x14ac:dyDescent="0.2">
      <c r="A2763" s="42"/>
      <c r="B2763" s="42"/>
      <c r="C2763" s="42"/>
      <c r="D2763" s="42"/>
      <c r="E2763" s="42"/>
      <c r="F2763" s="42"/>
      <c r="G2763" s="42"/>
      <c r="H2763" s="42"/>
      <c r="I2763" s="42"/>
      <c r="J2763" s="42"/>
      <c r="K2763" s="42"/>
      <c r="L2763" s="42"/>
      <c r="M2763" s="42"/>
    </row>
    <row r="2764" spans="1:13" x14ac:dyDescent="0.2">
      <c r="A2764" s="42"/>
      <c r="B2764" s="42"/>
      <c r="C2764" s="42"/>
      <c r="D2764" s="42"/>
      <c r="E2764" s="42"/>
      <c r="F2764" s="42"/>
      <c r="G2764" s="42"/>
      <c r="H2764" s="42"/>
      <c r="I2764" s="42"/>
      <c r="J2764" s="42"/>
      <c r="K2764" s="42"/>
      <c r="L2764" s="42"/>
      <c r="M2764" s="42"/>
    </row>
    <row r="2765" spans="1:13" x14ac:dyDescent="0.2">
      <c r="A2765" s="42"/>
      <c r="B2765" s="42"/>
      <c r="C2765" s="42"/>
      <c r="D2765" s="42"/>
      <c r="E2765" s="42"/>
      <c r="F2765" s="42"/>
      <c r="G2765" s="42"/>
      <c r="H2765" s="42"/>
      <c r="I2765" s="42"/>
      <c r="J2765" s="42"/>
      <c r="K2765" s="42"/>
      <c r="L2765" s="42"/>
      <c r="M2765" s="42"/>
    </row>
    <row r="2766" spans="1:13" x14ac:dyDescent="0.2">
      <c r="A2766" s="42"/>
      <c r="B2766" s="42"/>
      <c r="C2766" s="42"/>
      <c r="D2766" s="42"/>
      <c r="E2766" s="42"/>
      <c r="F2766" s="42"/>
      <c r="G2766" s="42"/>
      <c r="H2766" s="42"/>
      <c r="I2766" s="42"/>
      <c r="J2766" s="42"/>
      <c r="K2766" s="42"/>
      <c r="L2766" s="42"/>
      <c r="M2766" s="42"/>
    </row>
    <row r="2767" spans="1:13" x14ac:dyDescent="0.2">
      <c r="A2767" s="42"/>
      <c r="B2767" s="42"/>
      <c r="C2767" s="42"/>
      <c r="D2767" s="42"/>
      <c r="E2767" s="42"/>
      <c r="F2767" s="42"/>
      <c r="G2767" s="42"/>
      <c r="H2767" s="42"/>
      <c r="I2767" s="42"/>
      <c r="J2767" s="42"/>
      <c r="K2767" s="42"/>
      <c r="L2767" s="42"/>
      <c r="M2767" s="42"/>
    </row>
    <row r="2768" spans="1:13" x14ac:dyDescent="0.2">
      <c r="A2768" s="42"/>
      <c r="B2768" s="42"/>
      <c r="C2768" s="42"/>
      <c r="D2768" s="42"/>
      <c r="E2768" s="42"/>
      <c r="F2768" s="42"/>
      <c r="G2768" s="42"/>
      <c r="H2768" s="42"/>
      <c r="I2768" s="42"/>
      <c r="J2768" s="42"/>
      <c r="K2768" s="42"/>
      <c r="L2768" s="42"/>
      <c r="M2768" s="42"/>
    </row>
    <row r="2769" spans="1:13" x14ac:dyDescent="0.2">
      <c r="A2769" s="42"/>
      <c r="B2769" s="42"/>
      <c r="C2769" s="42"/>
      <c r="D2769" s="42"/>
      <c r="E2769" s="42"/>
      <c r="F2769" s="42"/>
      <c r="G2769" s="42"/>
      <c r="H2769" s="42"/>
      <c r="I2769" s="42"/>
      <c r="J2769" s="42"/>
      <c r="K2769" s="42"/>
      <c r="L2769" s="42"/>
      <c r="M2769" s="42"/>
    </row>
    <row r="2770" spans="1:13" x14ac:dyDescent="0.2">
      <c r="A2770" s="42"/>
      <c r="B2770" s="42"/>
      <c r="C2770" s="42"/>
      <c r="D2770" s="42"/>
      <c r="E2770" s="42"/>
      <c r="F2770" s="42"/>
      <c r="G2770" s="42"/>
      <c r="H2770" s="42"/>
      <c r="I2770" s="42"/>
      <c r="J2770" s="42"/>
      <c r="K2770" s="42"/>
      <c r="L2770" s="42"/>
      <c r="M2770" s="42"/>
    </row>
    <row r="2771" spans="1:13" x14ac:dyDescent="0.2">
      <c r="A2771" s="42"/>
      <c r="B2771" s="42"/>
      <c r="C2771" s="42"/>
      <c r="D2771" s="42"/>
      <c r="E2771" s="42"/>
      <c r="F2771" s="42"/>
      <c r="G2771" s="42"/>
      <c r="H2771" s="42"/>
      <c r="I2771" s="42"/>
      <c r="J2771" s="42"/>
      <c r="K2771" s="42"/>
      <c r="L2771" s="42"/>
      <c r="M2771" s="42"/>
    </row>
    <row r="2772" spans="1:13" x14ac:dyDescent="0.2">
      <c r="A2772" s="42"/>
      <c r="B2772" s="42"/>
      <c r="C2772" s="42"/>
      <c r="D2772" s="42"/>
      <c r="E2772" s="42"/>
      <c r="F2772" s="42"/>
      <c r="G2772" s="42"/>
      <c r="H2772" s="42"/>
      <c r="I2772" s="42"/>
      <c r="J2772" s="42"/>
      <c r="K2772" s="42"/>
      <c r="L2772" s="42"/>
      <c r="M2772" s="42"/>
    </row>
    <row r="2773" spans="1:13" x14ac:dyDescent="0.2">
      <c r="A2773" s="42"/>
      <c r="B2773" s="42"/>
      <c r="C2773" s="42"/>
      <c r="D2773" s="42"/>
      <c r="E2773" s="42"/>
      <c r="F2773" s="42"/>
      <c r="G2773" s="42"/>
      <c r="H2773" s="42"/>
      <c r="I2773" s="42"/>
      <c r="J2773" s="42"/>
      <c r="K2773" s="42"/>
      <c r="L2773" s="42"/>
      <c r="M2773" s="42"/>
    </row>
    <row r="2774" spans="1:13" x14ac:dyDescent="0.2">
      <c r="A2774" s="42"/>
      <c r="B2774" s="42"/>
      <c r="C2774" s="42"/>
      <c r="D2774" s="42"/>
      <c r="E2774" s="42"/>
      <c r="F2774" s="42"/>
      <c r="G2774" s="42"/>
      <c r="H2774" s="42"/>
      <c r="I2774" s="42"/>
      <c r="J2774" s="42"/>
      <c r="K2774" s="42"/>
      <c r="L2774" s="42"/>
      <c r="M2774" s="42"/>
    </row>
    <row r="2775" spans="1:13" x14ac:dyDescent="0.2">
      <c r="A2775" s="42"/>
      <c r="B2775" s="42"/>
      <c r="C2775" s="42"/>
      <c r="D2775" s="42"/>
      <c r="E2775" s="42"/>
      <c r="F2775" s="42"/>
      <c r="G2775" s="42"/>
      <c r="H2775" s="42"/>
      <c r="I2775" s="42"/>
      <c r="J2775" s="42"/>
      <c r="K2775" s="42"/>
      <c r="L2775" s="42"/>
      <c r="M2775" s="42"/>
    </row>
    <row r="2776" spans="1:13" x14ac:dyDescent="0.2">
      <c r="A2776" s="42"/>
      <c r="B2776" s="42"/>
      <c r="C2776" s="42"/>
      <c r="D2776" s="42"/>
      <c r="E2776" s="42"/>
      <c r="F2776" s="42"/>
      <c r="G2776" s="42"/>
      <c r="H2776" s="42"/>
      <c r="I2776" s="42"/>
      <c r="J2776" s="42"/>
      <c r="K2776" s="42"/>
      <c r="L2776" s="42"/>
      <c r="M2776" s="42"/>
    </row>
    <row r="2777" spans="1:13" x14ac:dyDescent="0.2">
      <c r="A2777" s="42"/>
      <c r="B2777" s="42"/>
      <c r="C2777" s="42"/>
      <c r="D2777" s="42"/>
      <c r="E2777" s="42"/>
      <c r="F2777" s="42"/>
      <c r="G2777" s="42"/>
      <c r="H2777" s="42"/>
      <c r="I2777" s="42"/>
      <c r="J2777" s="42"/>
      <c r="K2777" s="42"/>
      <c r="L2777" s="42"/>
      <c r="M2777" s="42"/>
    </row>
    <row r="2778" spans="1:13" x14ac:dyDescent="0.2">
      <c r="A2778" s="42"/>
      <c r="B2778" s="42"/>
      <c r="C2778" s="42"/>
      <c r="D2778" s="42"/>
      <c r="E2778" s="42"/>
      <c r="F2778" s="42"/>
      <c r="G2778" s="42"/>
      <c r="H2778" s="42"/>
      <c r="I2778" s="42"/>
      <c r="J2778" s="42"/>
      <c r="K2778" s="42"/>
      <c r="L2778" s="42"/>
      <c r="M2778" s="42"/>
    </row>
    <row r="2779" spans="1:13" x14ac:dyDescent="0.2">
      <c r="A2779" s="42"/>
      <c r="B2779" s="42"/>
      <c r="C2779" s="42"/>
      <c r="D2779" s="42"/>
      <c r="E2779" s="42"/>
      <c r="F2779" s="42"/>
      <c r="G2779" s="42"/>
      <c r="H2779" s="42"/>
      <c r="I2779" s="42"/>
      <c r="J2779" s="42"/>
      <c r="K2779" s="42"/>
      <c r="L2779" s="42"/>
      <c r="M2779" s="42"/>
    </row>
    <row r="2780" spans="1:13" x14ac:dyDescent="0.2">
      <c r="A2780" s="42"/>
      <c r="B2780" s="42"/>
      <c r="C2780" s="42"/>
      <c r="D2780" s="42"/>
      <c r="E2780" s="42"/>
      <c r="F2780" s="42"/>
      <c r="G2780" s="42"/>
      <c r="H2780" s="42"/>
      <c r="I2780" s="42"/>
      <c r="J2780" s="42"/>
      <c r="K2780" s="42"/>
      <c r="L2780" s="42"/>
      <c r="M2780" s="42"/>
    </row>
    <row r="2781" spans="1:13" x14ac:dyDescent="0.2">
      <c r="A2781" s="42"/>
      <c r="B2781" s="42"/>
      <c r="C2781" s="42"/>
      <c r="D2781" s="42"/>
      <c r="E2781" s="42"/>
      <c r="F2781" s="42"/>
      <c r="G2781" s="42"/>
      <c r="H2781" s="42"/>
      <c r="I2781" s="42"/>
      <c r="J2781" s="42"/>
      <c r="K2781" s="42"/>
      <c r="L2781" s="42"/>
      <c r="M2781" s="42"/>
    </row>
    <row r="2782" spans="1:13" x14ac:dyDescent="0.2">
      <c r="A2782" s="42"/>
      <c r="B2782" s="42"/>
      <c r="C2782" s="42"/>
      <c r="D2782" s="42"/>
      <c r="E2782" s="42"/>
      <c r="F2782" s="42"/>
      <c r="G2782" s="42"/>
      <c r="H2782" s="42"/>
      <c r="I2782" s="42"/>
      <c r="J2782" s="42"/>
      <c r="K2782" s="42"/>
      <c r="L2782" s="42"/>
      <c r="M2782" s="42"/>
    </row>
    <row r="2783" spans="1:13" x14ac:dyDescent="0.2">
      <c r="A2783" s="42"/>
      <c r="B2783" s="42"/>
      <c r="C2783" s="42"/>
      <c r="D2783" s="42"/>
      <c r="E2783" s="42"/>
      <c r="F2783" s="42"/>
      <c r="G2783" s="42"/>
      <c r="H2783" s="42"/>
      <c r="I2783" s="42"/>
      <c r="J2783" s="42"/>
      <c r="K2783" s="42"/>
      <c r="L2783" s="42"/>
      <c r="M2783" s="42"/>
    </row>
    <row r="2784" spans="1:13" x14ac:dyDescent="0.2">
      <c r="A2784" s="42"/>
      <c r="B2784" s="42"/>
      <c r="C2784" s="42"/>
      <c r="D2784" s="42"/>
      <c r="E2784" s="42"/>
      <c r="F2784" s="42"/>
      <c r="G2784" s="42"/>
      <c r="H2784" s="42"/>
      <c r="I2784" s="42"/>
      <c r="J2784" s="42"/>
      <c r="K2784" s="42"/>
      <c r="L2784" s="42"/>
      <c r="M2784" s="42"/>
    </row>
    <row r="2785" spans="1:13" x14ac:dyDescent="0.2">
      <c r="A2785" s="42"/>
      <c r="B2785" s="42"/>
      <c r="C2785" s="42"/>
      <c r="D2785" s="42"/>
      <c r="E2785" s="42"/>
      <c r="F2785" s="42"/>
      <c r="G2785" s="42"/>
      <c r="H2785" s="42"/>
      <c r="I2785" s="42"/>
      <c r="J2785" s="42"/>
      <c r="K2785" s="42"/>
      <c r="L2785" s="42"/>
      <c r="M2785" s="42"/>
    </row>
    <row r="2786" spans="1:13" x14ac:dyDescent="0.2">
      <c r="A2786" s="42"/>
      <c r="B2786" s="42"/>
      <c r="C2786" s="42"/>
      <c r="D2786" s="42"/>
      <c r="E2786" s="42"/>
      <c r="F2786" s="42"/>
      <c r="G2786" s="42"/>
      <c r="H2786" s="42"/>
      <c r="I2786" s="42"/>
      <c r="J2786" s="42"/>
      <c r="K2786" s="42"/>
      <c r="L2786" s="42"/>
      <c r="M2786" s="42"/>
    </row>
    <row r="2787" spans="1:13" x14ac:dyDescent="0.2">
      <c r="A2787" s="42"/>
      <c r="B2787" s="42"/>
      <c r="C2787" s="42"/>
      <c r="D2787" s="42"/>
      <c r="E2787" s="42"/>
      <c r="F2787" s="42"/>
      <c r="G2787" s="42"/>
      <c r="H2787" s="42"/>
      <c r="I2787" s="42"/>
      <c r="J2787" s="42"/>
      <c r="K2787" s="42"/>
      <c r="L2787" s="42"/>
      <c r="M2787" s="42"/>
    </row>
    <row r="2788" spans="1:13" x14ac:dyDescent="0.2">
      <c r="A2788" s="42"/>
      <c r="B2788" s="42"/>
      <c r="C2788" s="42"/>
      <c r="D2788" s="42"/>
      <c r="E2788" s="42"/>
      <c r="F2788" s="42"/>
      <c r="G2788" s="42"/>
      <c r="H2788" s="42"/>
      <c r="I2788" s="42"/>
      <c r="J2788" s="42"/>
      <c r="K2788" s="42"/>
      <c r="L2788" s="42"/>
      <c r="M2788" s="42"/>
    </row>
    <row r="2789" spans="1:13" x14ac:dyDescent="0.2">
      <c r="A2789" s="42"/>
      <c r="B2789" s="42"/>
      <c r="C2789" s="42"/>
      <c r="D2789" s="42"/>
      <c r="E2789" s="42"/>
      <c r="F2789" s="42"/>
      <c r="G2789" s="42"/>
      <c r="H2789" s="42"/>
      <c r="I2789" s="42"/>
      <c r="J2789" s="42"/>
      <c r="K2789" s="42"/>
      <c r="L2789" s="42"/>
      <c r="M2789" s="42"/>
    </row>
    <row r="2790" spans="1:13" x14ac:dyDescent="0.2">
      <c r="A2790" s="42"/>
      <c r="B2790" s="42"/>
      <c r="C2790" s="42"/>
      <c r="D2790" s="42"/>
      <c r="E2790" s="42"/>
      <c r="F2790" s="42"/>
      <c r="G2790" s="42"/>
      <c r="H2790" s="42"/>
      <c r="I2790" s="42"/>
      <c r="J2790" s="42"/>
      <c r="K2790" s="42"/>
      <c r="L2790" s="42"/>
      <c r="M2790" s="42"/>
    </row>
    <row r="2791" spans="1:13" x14ac:dyDescent="0.2">
      <c r="A2791" s="42"/>
      <c r="B2791" s="42"/>
      <c r="C2791" s="42"/>
      <c r="D2791" s="42"/>
      <c r="E2791" s="42"/>
      <c r="F2791" s="42"/>
      <c r="G2791" s="42"/>
      <c r="H2791" s="42"/>
      <c r="I2791" s="42"/>
      <c r="J2791" s="42"/>
      <c r="K2791" s="42"/>
      <c r="L2791" s="42"/>
      <c r="M2791" s="42"/>
    </row>
    <row r="2792" spans="1:13" x14ac:dyDescent="0.2">
      <c r="A2792" s="42"/>
      <c r="B2792" s="42"/>
      <c r="C2792" s="42"/>
      <c r="D2792" s="42"/>
      <c r="E2792" s="42"/>
      <c r="F2792" s="42"/>
      <c r="G2792" s="42"/>
      <c r="H2792" s="42"/>
      <c r="I2792" s="42"/>
      <c r="J2792" s="42"/>
      <c r="K2792" s="42"/>
      <c r="L2792" s="42"/>
      <c r="M2792" s="42"/>
    </row>
    <row r="2793" spans="1:13" x14ac:dyDescent="0.2">
      <c r="A2793" s="42"/>
      <c r="B2793" s="42"/>
      <c r="C2793" s="42"/>
      <c r="D2793" s="42"/>
      <c r="E2793" s="42"/>
      <c r="F2793" s="42"/>
      <c r="G2793" s="42"/>
      <c r="H2793" s="42"/>
      <c r="I2793" s="42"/>
      <c r="J2793" s="42"/>
      <c r="K2793" s="42"/>
      <c r="L2793" s="42"/>
      <c r="M2793" s="42"/>
    </row>
    <row r="2794" spans="1:13" x14ac:dyDescent="0.2">
      <c r="A2794" s="42"/>
      <c r="B2794" s="42"/>
      <c r="C2794" s="42"/>
      <c r="D2794" s="42"/>
      <c r="E2794" s="42"/>
      <c r="F2794" s="42"/>
      <c r="G2794" s="42"/>
      <c r="H2794" s="42"/>
      <c r="I2794" s="42"/>
      <c r="J2794" s="42"/>
      <c r="K2794" s="42"/>
      <c r="L2794" s="42"/>
      <c r="M2794" s="42"/>
    </row>
    <row r="2795" spans="1:13" x14ac:dyDescent="0.2">
      <c r="A2795" s="42"/>
      <c r="B2795" s="42"/>
      <c r="C2795" s="42"/>
      <c r="D2795" s="42"/>
      <c r="E2795" s="42"/>
      <c r="F2795" s="42"/>
      <c r="G2795" s="42"/>
      <c r="H2795" s="42"/>
      <c r="I2795" s="42"/>
      <c r="J2795" s="42"/>
      <c r="K2795" s="42"/>
      <c r="L2795" s="42"/>
      <c r="M2795" s="42"/>
    </row>
    <row r="2796" spans="1:13" x14ac:dyDescent="0.2">
      <c r="A2796" s="42"/>
      <c r="B2796" s="42"/>
      <c r="C2796" s="42"/>
      <c r="D2796" s="42"/>
      <c r="E2796" s="42"/>
      <c r="F2796" s="42"/>
      <c r="G2796" s="42"/>
      <c r="H2796" s="42"/>
      <c r="I2796" s="42"/>
      <c r="J2796" s="42"/>
      <c r="K2796" s="42"/>
      <c r="L2796" s="42"/>
      <c r="M2796" s="42"/>
    </row>
    <row r="2797" spans="1:13" x14ac:dyDescent="0.2">
      <c r="A2797" s="42"/>
      <c r="B2797" s="42"/>
      <c r="C2797" s="42"/>
      <c r="D2797" s="42"/>
      <c r="E2797" s="42"/>
      <c r="F2797" s="42"/>
      <c r="G2797" s="42"/>
      <c r="H2797" s="42"/>
      <c r="I2797" s="42"/>
      <c r="J2797" s="42"/>
      <c r="K2797" s="42"/>
      <c r="L2797" s="42"/>
      <c r="M2797" s="42"/>
    </row>
    <row r="2798" spans="1:13" x14ac:dyDescent="0.2">
      <c r="A2798" s="42"/>
      <c r="B2798" s="42"/>
      <c r="C2798" s="42"/>
      <c r="D2798" s="42"/>
      <c r="E2798" s="42"/>
      <c r="F2798" s="42"/>
      <c r="G2798" s="42"/>
      <c r="H2798" s="42"/>
      <c r="I2798" s="42"/>
      <c r="J2798" s="42"/>
      <c r="K2798" s="42"/>
      <c r="L2798" s="42"/>
      <c r="M2798" s="42"/>
    </row>
    <row r="2799" spans="1:13" x14ac:dyDescent="0.2">
      <c r="A2799" s="42"/>
      <c r="B2799" s="42"/>
      <c r="C2799" s="42"/>
      <c r="D2799" s="42"/>
      <c r="E2799" s="42"/>
      <c r="F2799" s="42"/>
      <c r="G2799" s="42"/>
      <c r="H2799" s="42"/>
      <c r="I2799" s="42"/>
      <c r="J2799" s="42"/>
      <c r="K2799" s="42"/>
      <c r="L2799" s="42"/>
      <c r="M2799" s="42"/>
    </row>
    <row r="2800" spans="1:13" x14ac:dyDescent="0.2">
      <c r="A2800" s="42"/>
      <c r="B2800" s="42"/>
      <c r="C2800" s="42"/>
      <c r="D2800" s="42"/>
      <c r="E2800" s="42"/>
      <c r="F2800" s="42"/>
      <c r="G2800" s="42"/>
      <c r="H2800" s="42"/>
      <c r="I2800" s="42"/>
      <c r="J2800" s="42"/>
      <c r="K2800" s="42"/>
      <c r="L2800" s="42"/>
      <c r="M2800" s="42"/>
    </row>
    <row r="2801" spans="1:13" x14ac:dyDescent="0.2">
      <c r="A2801" s="42"/>
      <c r="B2801" s="42"/>
      <c r="C2801" s="42"/>
      <c r="D2801" s="42"/>
      <c r="E2801" s="42"/>
      <c r="F2801" s="42"/>
      <c r="G2801" s="42"/>
      <c r="H2801" s="42"/>
      <c r="I2801" s="42"/>
      <c r="J2801" s="42"/>
      <c r="K2801" s="42"/>
      <c r="L2801" s="42"/>
      <c r="M2801" s="42"/>
    </row>
    <row r="2802" spans="1:13" x14ac:dyDescent="0.2">
      <c r="A2802" s="42"/>
      <c r="B2802" s="42"/>
      <c r="C2802" s="42"/>
      <c r="D2802" s="42"/>
      <c r="E2802" s="42"/>
      <c r="F2802" s="42"/>
      <c r="G2802" s="42"/>
      <c r="H2802" s="42"/>
      <c r="I2802" s="42"/>
      <c r="J2802" s="42"/>
      <c r="K2802" s="42"/>
      <c r="L2802" s="42"/>
      <c r="M2802" s="42"/>
    </row>
    <row r="2803" spans="1:13" x14ac:dyDescent="0.2">
      <c r="A2803" s="42"/>
      <c r="B2803" s="42"/>
      <c r="C2803" s="42"/>
      <c r="D2803" s="42"/>
      <c r="E2803" s="42"/>
      <c r="F2803" s="42"/>
      <c r="G2803" s="42"/>
      <c r="H2803" s="42"/>
      <c r="I2803" s="42"/>
      <c r="J2803" s="42"/>
      <c r="K2803" s="42"/>
      <c r="L2803" s="42"/>
      <c r="M2803" s="42"/>
    </row>
    <row r="2804" spans="1:13" x14ac:dyDescent="0.2">
      <c r="A2804" s="42"/>
      <c r="B2804" s="42"/>
      <c r="C2804" s="42"/>
      <c r="D2804" s="42"/>
      <c r="E2804" s="42"/>
      <c r="F2804" s="42"/>
      <c r="G2804" s="42"/>
      <c r="H2804" s="42"/>
      <c r="I2804" s="42"/>
      <c r="J2804" s="42"/>
      <c r="K2804" s="42"/>
      <c r="L2804" s="42"/>
      <c r="M2804" s="42"/>
    </row>
    <row r="2805" spans="1:13" x14ac:dyDescent="0.2">
      <c r="A2805" s="42"/>
      <c r="B2805" s="42"/>
      <c r="C2805" s="42"/>
      <c r="D2805" s="42"/>
      <c r="E2805" s="42"/>
      <c r="F2805" s="42"/>
      <c r="G2805" s="42"/>
      <c r="H2805" s="42"/>
      <c r="I2805" s="42"/>
      <c r="J2805" s="42"/>
      <c r="K2805" s="42"/>
      <c r="L2805" s="42"/>
      <c r="M2805" s="42"/>
    </row>
    <row r="2806" spans="1:13" x14ac:dyDescent="0.2">
      <c r="A2806" s="42"/>
      <c r="B2806" s="42"/>
      <c r="C2806" s="42"/>
      <c r="D2806" s="42"/>
      <c r="E2806" s="42"/>
      <c r="F2806" s="42"/>
      <c r="G2806" s="42"/>
      <c r="H2806" s="42"/>
      <c r="I2806" s="42"/>
      <c r="J2806" s="42"/>
      <c r="K2806" s="42"/>
      <c r="L2806" s="42"/>
      <c r="M2806" s="42"/>
    </row>
    <row r="2807" spans="1:13" x14ac:dyDescent="0.2">
      <c r="A2807" s="42"/>
      <c r="B2807" s="42"/>
      <c r="C2807" s="42"/>
      <c r="D2807" s="42"/>
      <c r="E2807" s="42"/>
      <c r="F2807" s="42"/>
      <c r="G2807" s="42"/>
      <c r="H2807" s="42"/>
      <c r="I2807" s="42"/>
      <c r="J2807" s="42"/>
      <c r="K2807" s="42"/>
      <c r="L2807" s="42"/>
      <c r="M2807" s="42"/>
    </row>
    <row r="2808" spans="1:13" x14ac:dyDescent="0.2">
      <c r="A2808" s="42"/>
      <c r="B2808" s="42"/>
      <c r="C2808" s="42"/>
      <c r="D2808" s="42"/>
      <c r="E2808" s="42"/>
      <c r="F2808" s="42"/>
      <c r="G2808" s="42"/>
      <c r="H2808" s="42"/>
      <c r="I2808" s="42"/>
      <c r="J2808" s="42"/>
      <c r="K2808" s="42"/>
      <c r="L2808" s="42"/>
      <c r="M2808" s="42"/>
    </row>
    <row r="2809" spans="1:13" x14ac:dyDescent="0.2">
      <c r="A2809" s="42"/>
      <c r="B2809" s="42"/>
      <c r="C2809" s="42"/>
      <c r="D2809" s="42"/>
      <c r="E2809" s="42"/>
      <c r="F2809" s="42"/>
      <c r="G2809" s="42"/>
      <c r="H2809" s="42"/>
      <c r="I2809" s="42"/>
      <c r="J2809" s="42"/>
      <c r="K2809" s="42"/>
      <c r="L2809" s="42"/>
      <c r="M2809" s="42"/>
    </row>
    <row r="2810" spans="1:13" x14ac:dyDescent="0.2">
      <c r="A2810" s="42"/>
      <c r="B2810" s="42"/>
      <c r="C2810" s="42"/>
      <c r="D2810" s="42"/>
      <c r="E2810" s="42"/>
      <c r="F2810" s="42"/>
      <c r="G2810" s="42"/>
      <c r="H2810" s="42"/>
      <c r="I2810" s="42"/>
      <c r="J2810" s="42"/>
      <c r="K2810" s="42"/>
      <c r="L2810" s="42"/>
      <c r="M2810" s="42"/>
    </row>
    <row r="2811" spans="1:13" x14ac:dyDescent="0.2">
      <c r="A2811" s="42"/>
      <c r="B2811" s="42"/>
      <c r="C2811" s="42"/>
      <c r="D2811" s="42"/>
      <c r="E2811" s="42"/>
      <c r="F2811" s="42"/>
      <c r="G2811" s="42"/>
      <c r="H2811" s="42"/>
      <c r="I2811" s="42"/>
      <c r="J2811" s="42"/>
      <c r="K2811" s="42"/>
      <c r="L2811" s="42"/>
      <c r="M2811" s="42"/>
    </row>
    <row r="2812" spans="1:13" x14ac:dyDescent="0.2">
      <c r="A2812" s="42"/>
      <c r="B2812" s="42"/>
      <c r="C2812" s="42"/>
      <c r="D2812" s="42"/>
      <c r="E2812" s="42"/>
      <c r="F2812" s="42"/>
      <c r="G2812" s="42"/>
      <c r="H2812" s="42"/>
      <c r="I2812" s="42"/>
      <c r="J2812" s="42"/>
      <c r="K2812" s="42"/>
      <c r="L2812" s="42"/>
      <c r="M2812" s="42"/>
    </row>
    <row r="2813" spans="1:13" x14ac:dyDescent="0.2">
      <c r="A2813" s="42"/>
      <c r="B2813" s="42"/>
      <c r="C2813" s="42"/>
      <c r="D2813" s="42"/>
      <c r="E2813" s="42"/>
      <c r="F2813" s="42"/>
      <c r="G2813" s="42"/>
      <c r="H2813" s="42"/>
      <c r="I2813" s="42"/>
      <c r="J2813" s="42"/>
      <c r="K2813" s="42"/>
      <c r="L2813" s="42"/>
      <c r="M2813" s="42"/>
    </row>
    <row r="2814" spans="1:13" x14ac:dyDescent="0.2">
      <c r="A2814" s="42"/>
      <c r="B2814" s="42"/>
      <c r="C2814" s="42"/>
      <c r="D2814" s="42"/>
      <c r="E2814" s="42"/>
      <c r="F2814" s="42"/>
      <c r="G2814" s="42"/>
      <c r="H2814" s="42"/>
      <c r="I2814" s="42"/>
      <c r="J2814" s="42"/>
      <c r="K2814" s="42"/>
      <c r="L2814" s="42"/>
      <c r="M2814" s="42"/>
    </row>
    <row r="2815" spans="1:13" x14ac:dyDescent="0.2">
      <c r="A2815" s="42"/>
      <c r="B2815" s="42"/>
      <c r="C2815" s="42"/>
      <c r="D2815" s="42"/>
      <c r="E2815" s="42"/>
      <c r="F2815" s="42"/>
      <c r="G2815" s="42"/>
      <c r="H2815" s="42"/>
      <c r="I2815" s="42"/>
      <c r="J2815" s="42"/>
      <c r="K2815" s="42"/>
      <c r="L2815" s="42"/>
      <c r="M2815" s="42"/>
    </row>
    <row r="2816" spans="1:13" x14ac:dyDescent="0.2">
      <c r="A2816" s="42"/>
      <c r="B2816" s="42"/>
      <c r="C2816" s="42"/>
      <c r="D2816" s="42"/>
      <c r="E2816" s="42"/>
      <c r="F2816" s="42"/>
      <c r="G2816" s="42"/>
      <c r="H2816" s="42"/>
      <c r="I2816" s="42"/>
      <c r="J2816" s="42"/>
      <c r="K2816" s="42"/>
      <c r="L2816" s="42"/>
      <c r="M2816" s="42"/>
    </row>
    <row r="2817" spans="1:13" x14ac:dyDescent="0.2">
      <c r="A2817" s="42"/>
      <c r="B2817" s="42"/>
      <c r="C2817" s="42"/>
      <c r="D2817" s="42"/>
      <c r="E2817" s="42"/>
      <c r="F2817" s="42"/>
      <c r="G2817" s="42"/>
      <c r="H2817" s="42"/>
      <c r="I2817" s="42"/>
      <c r="J2817" s="42"/>
      <c r="K2817" s="42"/>
      <c r="L2817" s="42"/>
      <c r="M2817" s="42"/>
    </row>
    <row r="2818" spans="1:13" x14ac:dyDescent="0.2">
      <c r="A2818" s="42"/>
      <c r="B2818" s="42"/>
      <c r="C2818" s="42"/>
      <c r="D2818" s="42"/>
      <c r="E2818" s="42"/>
      <c r="F2818" s="42"/>
      <c r="G2818" s="42"/>
      <c r="H2818" s="42"/>
      <c r="I2818" s="42"/>
      <c r="J2818" s="42"/>
      <c r="K2818" s="42"/>
      <c r="L2818" s="42"/>
      <c r="M2818" s="42"/>
    </row>
    <row r="2819" spans="1:13" x14ac:dyDescent="0.2">
      <c r="A2819" s="42"/>
      <c r="B2819" s="42"/>
      <c r="C2819" s="42"/>
      <c r="D2819" s="42"/>
      <c r="E2819" s="42"/>
      <c r="F2819" s="42"/>
      <c r="G2819" s="42"/>
      <c r="H2819" s="42"/>
      <c r="I2819" s="42"/>
      <c r="J2819" s="42"/>
      <c r="K2819" s="42"/>
      <c r="L2819" s="42"/>
      <c r="M2819" s="42"/>
    </row>
    <row r="2820" spans="1:13" x14ac:dyDescent="0.2">
      <c r="A2820" s="42"/>
      <c r="B2820" s="42"/>
      <c r="C2820" s="42"/>
      <c r="D2820" s="42"/>
      <c r="E2820" s="42"/>
      <c r="F2820" s="42"/>
      <c r="G2820" s="42"/>
      <c r="H2820" s="42"/>
      <c r="I2820" s="42"/>
      <c r="J2820" s="42"/>
      <c r="K2820" s="42"/>
      <c r="L2820" s="42"/>
      <c r="M2820" s="42"/>
    </row>
    <row r="2821" spans="1:13" x14ac:dyDescent="0.2">
      <c r="A2821" s="42"/>
      <c r="B2821" s="42"/>
      <c r="C2821" s="42"/>
      <c r="D2821" s="42"/>
      <c r="E2821" s="42"/>
      <c r="F2821" s="42"/>
      <c r="G2821" s="42"/>
      <c r="H2821" s="42"/>
      <c r="I2821" s="42"/>
      <c r="J2821" s="42"/>
      <c r="K2821" s="42"/>
      <c r="L2821" s="42"/>
      <c r="M2821" s="42"/>
    </row>
    <row r="2822" spans="1:13" x14ac:dyDescent="0.2">
      <c r="A2822" s="42"/>
      <c r="B2822" s="42"/>
      <c r="C2822" s="42"/>
      <c r="D2822" s="42"/>
      <c r="E2822" s="42"/>
      <c r="F2822" s="42"/>
      <c r="G2822" s="42"/>
      <c r="H2822" s="42"/>
      <c r="I2822" s="42"/>
      <c r="J2822" s="42"/>
      <c r="K2822" s="42"/>
      <c r="L2822" s="42"/>
      <c r="M2822" s="42"/>
    </row>
    <row r="2823" spans="1:13" x14ac:dyDescent="0.2">
      <c r="A2823" s="42"/>
      <c r="B2823" s="42"/>
      <c r="C2823" s="42"/>
      <c r="D2823" s="42"/>
      <c r="E2823" s="42"/>
      <c r="F2823" s="42"/>
      <c r="G2823" s="42"/>
      <c r="H2823" s="42"/>
      <c r="I2823" s="42"/>
      <c r="J2823" s="42"/>
      <c r="K2823" s="42"/>
      <c r="L2823" s="42"/>
      <c r="M2823" s="42"/>
    </row>
    <row r="2824" spans="1:13" x14ac:dyDescent="0.2">
      <c r="A2824" s="42"/>
      <c r="B2824" s="42"/>
      <c r="C2824" s="42"/>
      <c r="D2824" s="42"/>
      <c r="E2824" s="42"/>
      <c r="F2824" s="42"/>
      <c r="G2824" s="42"/>
      <c r="H2824" s="42"/>
      <c r="I2824" s="42"/>
      <c r="J2824" s="42"/>
      <c r="K2824" s="42"/>
      <c r="L2824" s="42"/>
      <c r="M2824" s="42"/>
    </row>
    <row r="2825" spans="1:13" x14ac:dyDescent="0.2">
      <c r="A2825" s="42"/>
      <c r="B2825" s="42"/>
      <c r="C2825" s="42"/>
      <c r="D2825" s="42"/>
      <c r="E2825" s="42"/>
      <c r="F2825" s="42"/>
      <c r="G2825" s="42"/>
      <c r="H2825" s="42"/>
      <c r="I2825" s="42"/>
      <c r="J2825" s="42"/>
      <c r="K2825" s="42"/>
      <c r="L2825" s="42"/>
      <c r="M2825" s="42"/>
    </row>
    <row r="2826" spans="1:13" x14ac:dyDescent="0.2">
      <c r="A2826" s="42"/>
      <c r="B2826" s="42"/>
      <c r="C2826" s="42"/>
      <c r="D2826" s="42"/>
      <c r="E2826" s="42"/>
      <c r="F2826" s="42"/>
      <c r="G2826" s="42"/>
      <c r="H2826" s="42"/>
      <c r="I2826" s="42"/>
      <c r="J2826" s="42"/>
      <c r="K2826" s="42"/>
      <c r="L2826" s="42"/>
      <c r="M2826" s="42"/>
    </row>
    <row r="2827" spans="1:13" x14ac:dyDescent="0.2">
      <c r="A2827" s="42"/>
      <c r="B2827" s="42"/>
      <c r="C2827" s="42"/>
      <c r="D2827" s="42"/>
      <c r="E2827" s="42"/>
      <c r="F2827" s="42"/>
      <c r="G2827" s="42"/>
      <c r="H2827" s="42"/>
      <c r="I2827" s="42"/>
      <c r="J2827" s="42"/>
      <c r="K2827" s="42"/>
      <c r="L2827" s="42"/>
      <c r="M2827" s="42"/>
    </row>
    <row r="2828" spans="1:13" x14ac:dyDescent="0.2">
      <c r="A2828" s="42"/>
      <c r="B2828" s="42"/>
      <c r="C2828" s="42"/>
      <c r="D2828" s="42"/>
      <c r="E2828" s="42"/>
      <c r="F2828" s="42"/>
      <c r="G2828" s="42"/>
      <c r="H2828" s="42"/>
      <c r="I2828" s="42"/>
      <c r="J2828" s="42"/>
      <c r="K2828" s="42"/>
      <c r="L2828" s="42"/>
      <c r="M2828" s="42"/>
    </row>
    <row r="2829" spans="1:13" x14ac:dyDescent="0.2">
      <c r="A2829" s="42"/>
      <c r="B2829" s="42"/>
      <c r="C2829" s="42"/>
      <c r="D2829" s="42"/>
      <c r="E2829" s="42"/>
      <c r="F2829" s="42"/>
      <c r="G2829" s="42"/>
      <c r="H2829" s="42"/>
      <c r="I2829" s="42"/>
      <c r="J2829" s="42"/>
      <c r="K2829" s="42"/>
      <c r="L2829" s="42"/>
      <c r="M2829" s="42"/>
    </row>
    <row r="2830" spans="1:13" x14ac:dyDescent="0.2">
      <c r="A2830" s="42"/>
      <c r="B2830" s="42"/>
      <c r="C2830" s="42"/>
      <c r="D2830" s="42"/>
      <c r="E2830" s="42"/>
      <c r="F2830" s="42"/>
      <c r="G2830" s="42"/>
      <c r="H2830" s="42"/>
      <c r="I2830" s="42"/>
      <c r="J2830" s="42"/>
      <c r="K2830" s="42"/>
      <c r="L2830" s="42"/>
      <c r="M2830" s="42"/>
    </row>
    <row r="2831" spans="1:13" x14ac:dyDescent="0.2">
      <c r="A2831" s="42"/>
      <c r="B2831" s="42"/>
      <c r="C2831" s="42"/>
      <c r="D2831" s="42"/>
      <c r="E2831" s="42"/>
      <c r="F2831" s="42"/>
      <c r="G2831" s="42"/>
      <c r="H2831" s="42"/>
      <c r="I2831" s="42"/>
      <c r="J2831" s="42"/>
      <c r="K2831" s="42"/>
      <c r="L2831" s="42"/>
      <c r="M2831" s="42"/>
    </row>
    <row r="2832" spans="1:13" x14ac:dyDescent="0.2">
      <c r="A2832" s="42"/>
      <c r="B2832" s="42"/>
      <c r="C2832" s="42"/>
      <c r="D2832" s="42"/>
      <c r="E2832" s="42"/>
      <c r="F2832" s="42"/>
      <c r="G2832" s="42"/>
      <c r="H2832" s="42"/>
      <c r="I2832" s="42"/>
      <c r="J2832" s="42"/>
      <c r="K2832" s="42"/>
      <c r="L2832" s="42"/>
      <c r="M2832" s="42"/>
    </row>
    <row r="2833" spans="1:13" x14ac:dyDescent="0.2">
      <c r="A2833" s="42"/>
      <c r="B2833" s="42"/>
      <c r="C2833" s="42"/>
      <c r="D2833" s="42"/>
      <c r="E2833" s="42"/>
      <c r="F2833" s="42"/>
      <c r="G2833" s="42"/>
      <c r="H2833" s="42"/>
      <c r="I2833" s="42"/>
      <c r="J2833" s="42"/>
      <c r="K2833" s="42"/>
      <c r="L2833" s="42"/>
      <c r="M2833" s="42"/>
    </row>
    <row r="2834" spans="1:13" x14ac:dyDescent="0.2">
      <c r="A2834" s="42"/>
      <c r="B2834" s="42"/>
      <c r="C2834" s="42"/>
      <c r="D2834" s="42"/>
      <c r="E2834" s="42"/>
      <c r="F2834" s="42"/>
      <c r="G2834" s="42"/>
      <c r="H2834" s="42"/>
      <c r="I2834" s="42"/>
      <c r="J2834" s="42"/>
      <c r="K2834" s="42"/>
      <c r="L2834" s="42"/>
      <c r="M2834" s="42"/>
    </row>
    <row r="2835" spans="1:13" x14ac:dyDescent="0.2">
      <c r="A2835" s="42"/>
      <c r="B2835" s="42"/>
      <c r="C2835" s="42"/>
      <c r="D2835" s="42"/>
      <c r="E2835" s="42"/>
      <c r="F2835" s="42"/>
      <c r="G2835" s="42"/>
      <c r="H2835" s="42"/>
      <c r="I2835" s="42"/>
      <c r="J2835" s="42"/>
      <c r="K2835" s="42"/>
      <c r="L2835" s="42"/>
      <c r="M2835" s="42"/>
    </row>
    <row r="2836" spans="1:13" x14ac:dyDescent="0.2">
      <c r="A2836" s="42"/>
      <c r="B2836" s="42"/>
      <c r="C2836" s="42"/>
      <c r="D2836" s="42"/>
      <c r="E2836" s="42"/>
      <c r="F2836" s="42"/>
      <c r="G2836" s="42"/>
      <c r="H2836" s="42"/>
      <c r="I2836" s="42"/>
      <c r="J2836" s="42"/>
      <c r="K2836" s="42"/>
      <c r="L2836" s="42"/>
      <c r="M2836" s="42"/>
    </row>
    <row r="2837" spans="1:13" x14ac:dyDescent="0.2">
      <c r="A2837" s="42"/>
      <c r="B2837" s="42"/>
      <c r="C2837" s="42"/>
      <c r="D2837" s="42"/>
      <c r="E2837" s="42"/>
      <c r="F2837" s="42"/>
      <c r="G2837" s="42"/>
      <c r="H2837" s="42"/>
      <c r="I2837" s="42"/>
      <c r="J2837" s="42"/>
      <c r="K2837" s="42"/>
      <c r="L2837" s="42"/>
      <c r="M2837" s="42"/>
    </row>
    <row r="2838" spans="1:13" x14ac:dyDescent="0.2">
      <c r="A2838" s="42"/>
      <c r="B2838" s="42"/>
      <c r="C2838" s="42"/>
      <c r="D2838" s="42"/>
      <c r="E2838" s="42"/>
      <c r="F2838" s="42"/>
      <c r="G2838" s="42"/>
      <c r="H2838" s="42"/>
      <c r="I2838" s="42"/>
      <c r="J2838" s="42"/>
      <c r="K2838" s="42"/>
      <c r="L2838" s="42"/>
      <c r="M2838" s="42"/>
    </row>
    <row r="2839" spans="1:13" x14ac:dyDescent="0.2">
      <c r="A2839" s="42"/>
      <c r="B2839" s="42"/>
      <c r="C2839" s="42"/>
      <c r="D2839" s="42"/>
      <c r="E2839" s="42"/>
      <c r="F2839" s="42"/>
      <c r="G2839" s="42"/>
      <c r="H2839" s="42"/>
      <c r="I2839" s="42"/>
      <c r="J2839" s="42"/>
      <c r="K2839" s="42"/>
      <c r="L2839" s="42"/>
      <c r="M2839" s="42"/>
    </row>
    <row r="2840" spans="1:13" x14ac:dyDescent="0.2">
      <c r="A2840" s="42"/>
      <c r="B2840" s="42"/>
      <c r="C2840" s="42"/>
      <c r="D2840" s="42"/>
      <c r="E2840" s="42"/>
      <c r="F2840" s="42"/>
      <c r="G2840" s="42"/>
      <c r="H2840" s="42"/>
      <c r="I2840" s="42"/>
      <c r="J2840" s="42"/>
      <c r="K2840" s="42"/>
      <c r="L2840" s="42"/>
      <c r="M2840" s="42"/>
    </row>
    <row r="2841" spans="1:13" x14ac:dyDescent="0.2">
      <c r="A2841" s="42"/>
      <c r="B2841" s="42"/>
      <c r="C2841" s="42"/>
      <c r="D2841" s="42"/>
      <c r="E2841" s="42"/>
      <c r="F2841" s="42"/>
      <c r="G2841" s="42"/>
      <c r="H2841" s="42"/>
      <c r="I2841" s="42"/>
      <c r="J2841" s="42"/>
      <c r="K2841" s="42"/>
      <c r="L2841" s="42"/>
      <c r="M2841" s="42"/>
    </row>
    <row r="2842" spans="1:13" x14ac:dyDescent="0.2">
      <c r="A2842" s="42"/>
      <c r="B2842" s="42"/>
      <c r="C2842" s="42"/>
      <c r="D2842" s="42"/>
      <c r="E2842" s="42"/>
      <c r="F2842" s="42"/>
      <c r="G2842" s="42"/>
      <c r="H2842" s="42"/>
      <c r="I2842" s="42"/>
      <c r="J2842" s="42"/>
      <c r="K2842" s="42"/>
      <c r="L2842" s="42"/>
      <c r="M2842" s="42"/>
    </row>
    <row r="2843" spans="1:13" x14ac:dyDescent="0.2">
      <c r="A2843" s="42"/>
      <c r="B2843" s="42"/>
      <c r="C2843" s="42"/>
      <c r="D2843" s="42"/>
      <c r="E2843" s="42"/>
      <c r="F2843" s="42"/>
      <c r="G2843" s="42"/>
      <c r="H2843" s="42"/>
      <c r="I2843" s="42"/>
      <c r="J2843" s="42"/>
      <c r="K2843" s="42"/>
      <c r="L2843" s="42"/>
      <c r="M2843" s="42"/>
    </row>
    <row r="2844" spans="1:13" x14ac:dyDescent="0.2">
      <c r="A2844" s="42"/>
      <c r="B2844" s="42"/>
      <c r="C2844" s="42"/>
      <c r="D2844" s="42"/>
      <c r="E2844" s="42"/>
      <c r="F2844" s="42"/>
      <c r="G2844" s="42"/>
      <c r="H2844" s="42"/>
      <c r="I2844" s="42"/>
      <c r="J2844" s="42"/>
      <c r="K2844" s="42"/>
      <c r="L2844" s="42"/>
      <c r="M2844" s="42"/>
    </row>
    <row r="2845" spans="1:13" x14ac:dyDescent="0.2">
      <c r="A2845" s="42"/>
      <c r="B2845" s="42"/>
      <c r="C2845" s="42"/>
      <c r="D2845" s="42"/>
      <c r="E2845" s="42"/>
      <c r="F2845" s="42"/>
      <c r="G2845" s="42"/>
      <c r="H2845" s="42"/>
      <c r="I2845" s="42"/>
      <c r="J2845" s="42"/>
      <c r="K2845" s="42"/>
      <c r="L2845" s="42"/>
      <c r="M2845" s="42"/>
    </row>
    <row r="2846" spans="1:13" x14ac:dyDescent="0.2">
      <c r="A2846" s="42"/>
      <c r="B2846" s="42"/>
      <c r="C2846" s="42"/>
      <c r="D2846" s="42"/>
      <c r="E2846" s="42"/>
      <c r="F2846" s="42"/>
      <c r="G2846" s="42"/>
      <c r="H2846" s="42"/>
      <c r="I2846" s="42"/>
      <c r="J2846" s="42"/>
      <c r="K2846" s="42"/>
      <c r="L2846" s="42"/>
      <c r="M2846" s="42"/>
    </row>
    <row r="2847" spans="1:13" x14ac:dyDescent="0.2">
      <c r="A2847" s="42"/>
      <c r="B2847" s="42"/>
      <c r="C2847" s="42"/>
      <c r="D2847" s="42"/>
      <c r="E2847" s="42"/>
      <c r="F2847" s="42"/>
      <c r="G2847" s="42"/>
      <c r="H2847" s="42"/>
      <c r="I2847" s="42"/>
      <c r="J2847" s="42"/>
      <c r="K2847" s="42"/>
      <c r="L2847" s="42"/>
      <c r="M2847" s="42"/>
    </row>
    <row r="2848" spans="1:13" x14ac:dyDescent="0.2">
      <c r="A2848" s="42"/>
      <c r="B2848" s="42"/>
      <c r="C2848" s="42"/>
      <c r="D2848" s="42"/>
      <c r="E2848" s="42"/>
      <c r="F2848" s="42"/>
      <c r="G2848" s="42"/>
      <c r="H2848" s="42"/>
      <c r="I2848" s="42"/>
      <c r="J2848" s="42"/>
      <c r="K2848" s="42"/>
      <c r="L2848" s="42"/>
      <c r="M2848" s="42"/>
    </row>
    <row r="2849" spans="1:13" x14ac:dyDescent="0.2">
      <c r="A2849" s="42"/>
      <c r="B2849" s="42"/>
      <c r="C2849" s="42"/>
      <c r="D2849" s="42"/>
      <c r="E2849" s="42"/>
      <c r="F2849" s="42"/>
      <c r="G2849" s="42"/>
      <c r="H2849" s="42"/>
      <c r="I2849" s="42"/>
      <c r="J2849" s="42"/>
      <c r="K2849" s="42"/>
      <c r="L2849" s="42"/>
      <c r="M2849" s="42"/>
    </row>
    <row r="2850" spans="1:13" x14ac:dyDescent="0.2">
      <c r="A2850" s="42"/>
      <c r="B2850" s="42"/>
      <c r="C2850" s="42"/>
      <c r="D2850" s="42"/>
      <c r="E2850" s="42"/>
      <c r="F2850" s="42"/>
      <c r="G2850" s="42"/>
      <c r="H2850" s="42"/>
      <c r="I2850" s="42"/>
      <c r="J2850" s="42"/>
      <c r="K2850" s="42"/>
      <c r="L2850" s="42"/>
      <c r="M2850" s="42"/>
    </row>
    <row r="2851" spans="1:13" x14ac:dyDescent="0.2">
      <c r="A2851" s="42"/>
      <c r="B2851" s="42"/>
      <c r="C2851" s="42"/>
      <c r="D2851" s="42"/>
      <c r="E2851" s="42"/>
      <c r="F2851" s="42"/>
      <c r="G2851" s="42"/>
      <c r="H2851" s="42"/>
      <c r="I2851" s="42"/>
      <c r="J2851" s="42"/>
      <c r="K2851" s="42"/>
      <c r="L2851" s="42"/>
      <c r="M2851" s="42"/>
    </row>
    <row r="2852" spans="1:13" x14ac:dyDescent="0.2">
      <c r="A2852" s="42"/>
      <c r="B2852" s="42"/>
      <c r="C2852" s="42"/>
      <c r="D2852" s="42"/>
      <c r="E2852" s="42"/>
      <c r="F2852" s="42"/>
      <c r="G2852" s="42"/>
      <c r="H2852" s="42"/>
      <c r="I2852" s="42"/>
      <c r="J2852" s="42"/>
      <c r="K2852" s="42"/>
      <c r="L2852" s="42"/>
      <c r="M2852" s="42"/>
    </row>
    <row r="2853" spans="1:13" x14ac:dyDescent="0.2">
      <c r="A2853" s="42"/>
      <c r="B2853" s="42"/>
      <c r="C2853" s="42"/>
      <c r="D2853" s="42"/>
      <c r="E2853" s="42"/>
      <c r="F2853" s="42"/>
      <c r="G2853" s="42"/>
      <c r="H2853" s="42"/>
      <c r="I2853" s="42"/>
      <c r="J2853" s="42"/>
      <c r="K2853" s="42"/>
      <c r="L2853" s="42"/>
      <c r="M2853" s="42"/>
    </row>
    <row r="2854" spans="1:13" x14ac:dyDescent="0.2">
      <c r="A2854" s="42"/>
      <c r="B2854" s="42"/>
      <c r="C2854" s="42"/>
      <c r="D2854" s="42"/>
      <c r="E2854" s="42"/>
      <c r="F2854" s="42"/>
      <c r="G2854" s="42"/>
      <c r="H2854" s="42"/>
      <c r="I2854" s="42"/>
      <c r="J2854" s="42"/>
      <c r="K2854" s="42"/>
      <c r="L2854" s="42"/>
      <c r="M2854" s="42"/>
    </row>
    <row r="2855" spans="1:13" x14ac:dyDescent="0.2">
      <c r="A2855" s="42"/>
      <c r="B2855" s="42"/>
      <c r="C2855" s="42"/>
      <c r="D2855" s="42"/>
      <c r="E2855" s="42"/>
      <c r="F2855" s="42"/>
      <c r="G2855" s="42"/>
      <c r="H2855" s="42"/>
      <c r="I2855" s="42"/>
      <c r="J2855" s="42"/>
      <c r="K2855" s="42"/>
      <c r="L2855" s="42"/>
      <c r="M2855" s="42"/>
    </row>
    <row r="2856" spans="1:13" x14ac:dyDescent="0.2">
      <c r="A2856" s="42"/>
      <c r="B2856" s="42"/>
      <c r="C2856" s="42"/>
      <c r="D2856" s="42"/>
      <c r="E2856" s="42"/>
      <c r="F2856" s="42"/>
      <c r="G2856" s="42"/>
      <c r="H2856" s="42"/>
      <c r="I2856" s="42"/>
      <c r="J2856" s="42"/>
      <c r="K2856" s="42"/>
      <c r="L2856" s="42"/>
      <c r="M2856" s="42"/>
    </row>
    <row r="2857" spans="1:13" x14ac:dyDescent="0.2">
      <c r="A2857" s="42"/>
      <c r="B2857" s="42"/>
      <c r="C2857" s="42"/>
      <c r="D2857" s="42"/>
      <c r="E2857" s="42"/>
      <c r="F2857" s="42"/>
      <c r="G2857" s="42"/>
      <c r="H2857" s="42"/>
      <c r="I2857" s="42"/>
      <c r="J2857" s="42"/>
      <c r="K2857" s="42"/>
      <c r="L2857" s="42"/>
      <c r="M2857" s="42"/>
    </row>
    <row r="2858" spans="1:13" x14ac:dyDescent="0.2">
      <c r="A2858" s="42"/>
      <c r="B2858" s="42"/>
      <c r="C2858" s="42"/>
      <c r="D2858" s="42"/>
      <c r="E2858" s="42"/>
      <c r="F2858" s="42"/>
      <c r="G2858" s="42"/>
      <c r="H2858" s="42"/>
      <c r="I2858" s="42"/>
      <c r="J2858" s="42"/>
      <c r="K2858" s="42"/>
      <c r="L2858" s="42"/>
      <c r="M2858" s="42"/>
    </row>
    <row r="2859" spans="1:13" x14ac:dyDescent="0.2">
      <c r="A2859" s="42"/>
      <c r="B2859" s="42"/>
      <c r="C2859" s="42"/>
      <c r="D2859" s="42"/>
      <c r="E2859" s="42"/>
      <c r="F2859" s="42"/>
      <c r="G2859" s="42"/>
      <c r="H2859" s="42"/>
      <c r="I2859" s="42"/>
      <c r="J2859" s="42"/>
      <c r="K2859" s="42"/>
      <c r="L2859" s="42"/>
      <c r="M2859" s="42"/>
    </row>
    <row r="2860" spans="1:13" x14ac:dyDescent="0.2">
      <c r="A2860" s="42"/>
      <c r="B2860" s="42"/>
      <c r="C2860" s="42"/>
      <c r="D2860" s="42"/>
      <c r="E2860" s="42"/>
      <c r="F2860" s="42"/>
      <c r="G2860" s="42"/>
      <c r="H2860" s="42"/>
      <c r="I2860" s="42"/>
      <c r="J2860" s="42"/>
      <c r="K2860" s="42"/>
      <c r="L2860" s="42"/>
      <c r="M2860" s="42"/>
    </row>
    <row r="2861" spans="1:13" x14ac:dyDescent="0.2">
      <c r="A2861" s="42"/>
      <c r="B2861" s="42"/>
      <c r="C2861" s="42"/>
      <c r="D2861" s="42"/>
      <c r="E2861" s="42"/>
      <c r="F2861" s="42"/>
      <c r="G2861" s="42"/>
      <c r="H2861" s="42"/>
      <c r="I2861" s="42"/>
      <c r="J2861" s="42"/>
      <c r="K2861" s="42"/>
      <c r="L2861" s="42"/>
      <c r="M2861" s="42"/>
    </row>
    <row r="2862" spans="1:13" x14ac:dyDescent="0.2">
      <c r="A2862" s="42"/>
      <c r="B2862" s="42"/>
      <c r="C2862" s="42"/>
      <c r="D2862" s="42"/>
      <c r="E2862" s="42"/>
      <c r="F2862" s="42"/>
      <c r="G2862" s="42"/>
      <c r="H2862" s="42"/>
      <c r="I2862" s="42"/>
      <c r="J2862" s="42"/>
      <c r="K2862" s="42"/>
      <c r="L2862" s="42"/>
      <c r="M2862" s="42"/>
    </row>
    <row r="2863" spans="1:13" x14ac:dyDescent="0.2">
      <c r="A2863" s="42"/>
      <c r="B2863" s="42"/>
      <c r="C2863" s="42"/>
      <c r="D2863" s="42"/>
      <c r="E2863" s="42"/>
      <c r="F2863" s="42"/>
      <c r="G2863" s="42"/>
      <c r="H2863" s="42"/>
      <c r="I2863" s="42"/>
      <c r="J2863" s="42"/>
      <c r="K2863" s="42"/>
      <c r="L2863" s="42"/>
      <c r="M2863" s="42"/>
    </row>
    <row r="2864" spans="1:13" x14ac:dyDescent="0.2">
      <c r="A2864" s="42"/>
      <c r="B2864" s="42"/>
      <c r="C2864" s="42"/>
      <c r="D2864" s="42"/>
      <c r="E2864" s="42"/>
      <c r="F2864" s="42"/>
      <c r="G2864" s="42"/>
      <c r="H2864" s="42"/>
      <c r="I2864" s="42"/>
      <c r="J2864" s="42"/>
      <c r="K2864" s="42"/>
      <c r="L2864" s="42"/>
      <c r="M2864" s="42"/>
    </row>
    <row r="2865" spans="1:13" x14ac:dyDescent="0.2">
      <c r="A2865" s="42"/>
      <c r="B2865" s="42"/>
      <c r="C2865" s="42"/>
      <c r="D2865" s="42"/>
      <c r="E2865" s="42"/>
      <c r="F2865" s="42"/>
      <c r="G2865" s="42"/>
      <c r="H2865" s="42"/>
      <c r="I2865" s="42"/>
      <c r="J2865" s="42"/>
      <c r="K2865" s="42"/>
      <c r="L2865" s="42"/>
      <c r="M2865" s="42"/>
    </row>
    <row r="2866" spans="1:13" x14ac:dyDescent="0.2">
      <c r="A2866" s="42"/>
      <c r="B2866" s="42"/>
      <c r="C2866" s="42"/>
      <c r="D2866" s="42"/>
      <c r="E2866" s="42"/>
      <c r="F2866" s="42"/>
      <c r="G2866" s="42"/>
      <c r="H2866" s="42"/>
      <c r="I2866" s="42"/>
      <c r="J2866" s="42"/>
      <c r="K2866" s="42"/>
      <c r="L2866" s="42"/>
      <c r="M2866" s="42"/>
    </row>
    <row r="2867" spans="1:13" x14ac:dyDescent="0.2">
      <c r="A2867" s="42"/>
      <c r="B2867" s="42"/>
      <c r="C2867" s="42"/>
      <c r="D2867" s="42"/>
      <c r="E2867" s="42"/>
      <c r="F2867" s="42"/>
      <c r="G2867" s="42"/>
      <c r="H2867" s="42"/>
      <c r="I2867" s="42"/>
      <c r="J2867" s="42"/>
      <c r="K2867" s="42"/>
      <c r="L2867" s="42"/>
      <c r="M2867" s="42"/>
    </row>
    <row r="2868" spans="1:13" x14ac:dyDescent="0.2">
      <c r="A2868" s="42"/>
      <c r="B2868" s="42"/>
      <c r="C2868" s="42"/>
      <c r="D2868" s="42"/>
      <c r="E2868" s="42"/>
      <c r="F2868" s="42"/>
      <c r="G2868" s="42"/>
      <c r="H2868" s="42"/>
      <c r="I2868" s="42"/>
      <c r="J2868" s="42"/>
      <c r="K2868" s="42"/>
      <c r="L2868" s="42"/>
      <c r="M2868" s="42"/>
    </row>
    <row r="2869" spans="1:13" x14ac:dyDescent="0.2">
      <c r="A2869" s="42"/>
      <c r="B2869" s="42"/>
      <c r="C2869" s="42"/>
      <c r="D2869" s="42"/>
      <c r="E2869" s="42"/>
      <c r="F2869" s="42"/>
      <c r="G2869" s="42"/>
      <c r="H2869" s="42"/>
      <c r="I2869" s="42"/>
      <c r="J2869" s="42"/>
      <c r="K2869" s="42"/>
      <c r="L2869" s="42"/>
      <c r="M2869" s="42"/>
    </row>
    <row r="2870" spans="1:13" x14ac:dyDescent="0.2">
      <c r="A2870" s="42"/>
      <c r="B2870" s="42"/>
      <c r="C2870" s="42"/>
      <c r="D2870" s="42"/>
      <c r="E2870" s="42"/>
      <c r="F2870" s="42"/>
      <c r="G2870" s="42"/>
      <c r="H2870" s="42"/>
      <c r="I2870" s="42"/>
      <c r="J2870" s="42"/>
      <c r="K2870" s="42"/>
      <c r="L2870" s="42"/>
      <c r="M2870" s="42"/>
    </row>
    <row r="2871" spans="1:13" x14ac:dyDescent="0.2">
      <c r="A2871" s="42"/>
      <c r="B2871" s="42"/>
      <c r="C2871" s="42"/>
      <c r="D2871" s="42"/>
      <c r="E2871" s="42"/>
      <c r="F2871" s="42"/>
      <c r="G2871" s="42"/>
      <c r="H2871" s="42"/>
      <c r="I2871" s="42"/>
      <c r="J2871" s="42"/>
      <c r="K2871" s="42"/>
      <c r="L2871" s="42"/>
      <c r="M2871" s="42"/>
    </row>
    <row r="2872" spans="1:13" x14ac:dyDescent="0.2">
      <c r="A2872" s="42"/>
      <c r="B2872" s="42"/>
      <c r="C2872" s="42"/>
      <c r="D2872" s="42"/>
      <c r="E2872" s="42"/>
      <c r="F2872" s="42"/>
      <c r="G2872" s="42"/>
      <c r="H2872" s="42"/>
      <c r="I2872" s="42"/>
      <c r="J2872" s="42"/>
      <c r="K2872" s="42"/>
      <c r="L2872" s="42"/>
      <c r="M2872" s="42"/>
    </row>
    <row r="2873" spans="1:13" x14ac:dyDescent="0.2">
      <c r="A2873" s="42"/>
      <c r="B2873" s="42"/>
      <c r="C2873" s="42"/>
      <c r="D2873" s="42"/>
      <c r="E2873" s="42"/>
      <c r="F2873" s="42"/>
      <c r="G2873" s="42"/>
      <c r="H2873" s="42"/>
      <c r="I2873" s="42"/>
      <c r="J2873" s="42"/>
      <c r="K2873" s="42"/>
      <c r="L2873" s="42"/>
      <c r="M2873" s="42"/>
    </row>
    <row r="2874" spans="1:13" x14ac:dyDescent="0.2">
      <c r="A2874" s="42"/>
      <c r="B2874" s="42"/>
      <c r="C2874" s="42"/>
      <c r="D2874" s="42"/>
      <c r="E2874" s="42"/>
      <c r="F2874" s="42"/>
      <c r="G2874" s="42"/>
      <c r="H2874" s="42"/>
      <c r="I2874" s="42"/>
      <c r="J2874" s="42"/>
      <c r="K2874" s="42"/>
      <c r="L2874" s="42"/>
      <c r="M2874" s="42"/>
    </row>
    <row r="2875" spans="1:13" x14ac:dyDescent="0.2">
      <c r="A2875" s="42"/>
      <c r="B2875" s="42"/>
      <c r="C2875" s="42"/>
      <c r="D2875" s="42"/>
      <c r="E2875" s="42"/>
      <c r="F2875" s="42"/>
      <c r="G2875" s="42"/>
      <c r="H2875" s="42"/>
      <c r="I2875" s="42"/>
      <c r="J2875" s="42"/>
      <c r="K2875" s="42"/>
      <c r="L2875" s="42"/>
      <c r="M2875" s="42"/>
    </row>
    <row r="2876" spans="1:13" x14ac:dyDescent="0.2">
      <c r="A2876" s="42"/>
      <c r="B2876" s="42"/>
      <c r="C2876" s="42"/>
      <c r="D2876" s="42"/>
      <c r="E2876" s="42"/>
      <c r="F2876" s="42"/>
      <c r="G2876" s="42"/>
      <c r="H2876" s="42"/>
      <c r="I2876" s="42"/>
      <c r="J2876" s="42"/>
      <c r="K2876" s="42"/>
      <c r="L2876" s="42"/>
      <c r="M2876" s="42"/>
    </row>
    <row r="2877" spans="1:13" x14ac:dyDescent="0.2">
      <c r="A2877" s="42"/>
      <c r="B2877" s="42"/>
      <c r="C2877" s="42"/>
      <c r="D2877" s="42"/>
      <c r="E2877" s="42"/>
      <c r="F2877" s="42"/>
      <c r="G2877" s="42"/>
      <c r="H2877" s="42"/>
      <c r="I2877" s="42"/>
      <c r="J2877" s="42"/>
      <c r="K2877" s="42"/>
      <c r="L2877" s="42"/>
      <c r="M2877" s="42"/>
    </row>
    <row r="2878" spans="1:13" x14ac:dyDescent="0.2">
      <c r="A2878" s="42"/>
      <c r="B2878" s="42"/>
      <c r="C2878" s="42"/>
      <c r="D2878" s="42"/>
      <c r="E2878" s="42"/>
      <c r="F2878" s="42"/>
      <c r="G2878" s="42"/>
      <c r="H2878" s="42"/>
      <c r="I2878" s="42"/>
      <c r="J2878" s="42"/>
      <c r="K2878" s="42"/>
      <c r="L2878" s="42"/>
      <c r="M2878" s="42"/>
    </row>
    <row r="2879" spans="1:13" x14ac:dyDescent="0.2">
      <c r="A2879" s="42"/>
      <c r="B2879" s="42"/>
      <c r="C2879" s="42"/>
      <c r="D2879" s="42"/>
      <c r="E2879" s="42"/>
      <c r="F2879" s="42"/>
      <c r="G2879" s="42"/>
      <c r="H2879" s="42"/>
      <c r="I2879" s="42"/>
      <c r="J2879" s="42"/>
      <c r="K2879" s="42"/>
      <c r="L2879" s="42"/>
      <c r="M2879" s="42"/>
    </row>
    <row r="2880" spans="1:13" x14ac:dyDescent="0.2">
      <c r="A2880" s="42"/>
      <c r="B2880" s="42"/>
      <c r="C2880" s="42"/>
      <c r="D2880" s="42"/>
      <c r="E2880" s="42"/>
      <c r="F2880" s="42"/>
      <c r="G2880" s="42"/>
      <c r="H2880" s="42"/>
      <c r="I2880" s="42"/>
      <c r="J2880" s="42"/>
      <c r="K2880" s="42"/>
      <c r="L2880" s="42"/>
      <c r="M2880" s="42"/>
    </row>
    <row r="2881" spans="1:13" x14ac:dyDescent="0.2">
      <c r="A2881" s="42"/>
      <c r="B2881" s="42"/>
      <c r="C2881" s="42"/>
      <c r="D2881" s="42"/>
      <c r="E2881" s="42"/>
      <c r="F2881" s="42"/>
      <c r="G2881" s="42"/>
      <c r="H2881" s="42"/>
      <c r="I2881" s="42"/>
      <c r="J2881" s="42"/>
      <c r="K2881" s="42"/>
      <c r="L2881" s="42"/>
      <c r="M2881" s="42"/>
    </row>
    <row r="2882" spans="1:13" x14ac:dyDescent="0.2">
      <c r="A2882" s="42"/>
      <c r="B2882" s="42"/>
      <c r="C2882" s="42"/>
      <c r="D2882" s="42"/>
      <c r="E2882" s="42"/>
      <c r="F2882" s="42"/>
      <c r="G2882" s="42"/>
      <c r="H2882" s="42"/>
      <c r="I2882" s="42"/>
      <c r="J2882" s="42"/>
      <c r="K2882" s="42"/>
      <c r="L2882" s="42"/>
      <c r="M2882" s="42"/>
    </row>
    <row r="2883" spans="1:13" x14ac:dyDescent="0.2">
      <c r="A2883" s="42"/>
      <c r="B2883" s="42"/>
      <c r="C2883" s="42"/>
      <c r="D2883" s="42"/>
      <c r="E2883" s="42"/>
      <c r="F2883" s="42"/>
      <c r="G2883" s="42"/>
      <c r="H2883" s="42"/>
      <c r="I2883" s="42"/>
      <c r="J2883" s="42"/>
      <c r="K2883" s="42"/>
      <c r="L2883" s="42"/>
      <c r="M2883" s="42"/>
    </row>
    <row r="2884" spans="1:13" x14ac:dyDescent="0.2">
      <c r="A2884" s="42"/>
      <c r="B2884" s="42"/>
      <c r="C2884" s="42"/>
      <c r="D2884" s="42"/>
      <c r="E2884" s="42"/>
      <c r="F2884" s="42"/>
      <c r="G2884" s="42"/>
      <c r="H2884" s="42"/>
      <c r="I2884" s="42"/>
      <c r="J2884" s="42"/>
      <c r="K2884" s="42"/>
      <c r="L2884" s="42"/>
      <c r="M2884" s="42"/>
    </row>
    <row r="2885" spans="1:13" x14ac:dyDescent="0.2">
      <c r="A2885" s="42"/>
      <c r="B2885" s="42"/>
      <c r="C2885" s="42"/>
      <c r="D2885" s="42"/>
      <c r="E2885" s="42"/>
      <c r="F2885" s="42"/>
      <c r="G2885" s="42"/>
      <c r="H2885" s="42"/>
      <c r="I2885" s="42"/>
      <c r="J2885" s="42"/>
      <c r="K2885" s="42"/>
      <c r="L2885" s="42"/>
      <c r="M2885" s="42"/>
    </row>
    <row r="2886" spans="1:13" x14ac:dyDescent="0.2">
      <c r="A2886" s="42"/>
      <c r="B2886" s="42"/>
      <c r="C2886" s="42"/>
      <c r="D2886" s="42"/>
      <c r="E2886" s="42"/>
      <c r="F2886" s="42"/>
      <c r="G2886" s="42"/>
      <c r="H2886" s="42"/>
      <c r="I2886" s="42"/>
      <c r="J2886" s="42"/>
      <c r="K2886" s="42"/>
      <c r="L2886" s="42"/>
      <c r="M2886" s="42"/>
    </row>
    <row r="2887" spans="1:13" x14ac:dyDescent="0.2">
      <c r="A2887" s="42"/>
      <c r="B2887" s="42"/>
      <c r="C2887" s="42"/>
      <c r="D2887" s="42"/>
      <c r="E2887" s="42"/>
      <c r="F2887" s="42"/>
      <c r="G2887" s="42"/>
      <c r="H2887" s="42"/>
      <c r="I2887" s="42"/>
      <c r="J2887" s="42"/>
      <c r="K2887" s="42"/>
      <c r="L2887" s="42"/>
      <c r="M2887" s="42"/>
    </row>
    <row r="2888" spans="1:13" x14ac:dyDescent="0.2">
      <c r="A2888" s="42"/>
      <c r="B2888" s="42"/>
      <c r="C2888" s="42"/>
      <c r="D2888" s="42"/>
      <c r="E2888" s="42"/>
      <c r="F2888" s="42"/>
      <c r="G2888" s="42"/>
      <c r="H2888" s="42"/>
      <c r="I2888" s="42"/>
      <c r="J2888" s="42"/>
      <c r="K2888" s="42"/>
      <c r="L2888" s="42"/>
      <c r="M2888" s="42"/>
    </row>
    <row r="2889" spans="1:13" x14ac:dyDescent="0.2">
      <c r="A2889" s="42"/>
      <c r="B2889" s="42"/>
      <c r="C2889" s="42"/>
      <c r="D2889" s="42"/>
      <c r="E2889" s="42"/>
      <c r="F2889" s="42"/>
      <c r="G2889" s="42"/>
      <c r="H2889" s="42"/>
      <c r="I2889" s="42"/>
      <c r="J2889" s="42"/>
      <c r="K2889" s="42"/>
      <c r="L2889" s="42"/>
      <c r="M2889" s="42"/>
    </row>
    <row r="2890" spans="1:13" x14ac:dyDescent="0.2">
      <c r="A2890" s="42"/>
      <c r="B2890" s="42"/>
      <c r="C2890" s="42"/>
      <c r="D2890" s="42"/>
      <c r="E2890" s="42"/>
      <c r="F2890" s="42"/>
      <c r="G2890" s="42"/>
      <c r="H2890" s="42"/>
      <c r="I2890" s="42"/>
      <c r="J2890" s="42"/>
      <c r="K2890" s="42"/>
      <c r="L2890" s="42"/>
      <c r="M2890" s="42"/>
    </row>
    <row r="2891" spans="1:13" x14ac:dyDescent="0.2">
      <c r="A2891" s="42"/>
      <c r="B2891" s="42"/>
      <c r="C2891" s="42"/>
      <c r="D2891" s="42"/>
      <c r="E2891" s="42"/>
      <c r="F2891" s="42"/>
      <c r="G2891" s="42"/>
      <c r="H2891" s="42"/>
      <c r="I2891" s="42"/>
      <c r="J2891" s="42"/>
      <c r="K2891" s="42"/>
      <c r="L2891" s="42"/>
      <c r="M2891" s="42"/>
    </row>
    <row r="2892" spans="1:13" x14ac:dyDescent="0.2">
      <c r="A2892" s="42"/>
      <c r="B2892" s="42"/>
      <c r="C2892" s="42"/>
      <c r="D2892" s="42"/>
      <c r="E2892" s="42"/>
      <c r="F2892" s="42"/>
      <c r="G2892" s="42"/>
      <c r="H2892" s="42"/>
      <c r="I2892" s="42"/>
      <c r="J2892" s="42"/>
      <c r="K2892" s="42"/>
      <c r="L2892" s="42"/>
      <c r="M2892" s="42"/>
    </row>
    <row r="2893" spans="1:13" x14ac:dyDescent="0.2">
      <c r="A2893" s="42"/>
      <c r="B2893" s="42"/>
      <c r="C2893" s="42"/>
      <c r="D2893" s="42"/>
      <c r="E2893" s="42"/>
      <c r="F2893" s="42"/>
      <c r="G2893" s="42"/>
      <c r="H2893" s="42"/>
      <c r="I2893" s="42"/>
      <c r="J2893" s="42"/>
      <c r="K2893" s="42"/>
      <c r="L2893" s="42"/>
      <c r="M2893" s="42"/>
    </row>
    <row r="2894" spans="1:13" x14ac:dyDescent="0.2">
      <c r="A2894" s="42"/>
      <c r="B2894" s="42"/>
      <c r="C2894" s="42"/>
      <c r="D2894" s="42"/>
      <c r="E2894" s="42"/>
      <c r="F2894" s="42"/>
      <c r="G2894" s="42"/>
      <c r="H2894" s="42"/>
      <c r="I2894" s="42"/>
      <c r="J2894" s="42"/>
      <c r="K2894" s="42"/>
      <c r="L2894" s="42"/>
      <c r="M2894" s="42"/>
    </row>
    <row r="2895" spans="1:13" x14ac:dyDescent="0.2">
      <c r="A2895" s="42"/>
      <c r="B2895" s="42"/>
      <c r="C2895" s="42"/>
      <c r="D2895" s="42"/>
      <c r="E2895" s="42"/>
      <c r="F2895" s="42"/>
      <c r="G2895" s="42"/>
      <c r="H2895" s="42"/>
      <c r="I2895" s="42"/>
      <c r="J2895" s="42"/>
      <c r="K2895" s="42"/>
      <c r="L2895" s="42"/>
      <c r="M2895" s="42"/>
    </row>
    <row r="2896" spans="1:13" x14ac:dyDescent="0.2">
      <c r="A2896" s="42"/>
      <c r="B2896" s="42"/>
      <c r="C2896" s="42"/>
      <c r="D2896" s="42"/>
      <c r="E2896" s="42"/>
      <c r="F2896" s="42"/>
      <c r="G2896" s="42"/>
      <c r="H2896" s="42"/>
      <c r="I2896" s="42"/>
      <c r="J2896" s="42"/>
      <c r="K2896" s="42"/>
      <c r="L2896" s="42"/>
      <c r="M2896" s="42"/>
    </row>
    <row r="2897" spans="1:13" x14ac:dyDescent="0.2">
      <c r="A2897" s="42"/>
      <c r="B2897" s="42"/>
      <c r="C2897" s="42"/>
      <c r="D2897" s="42"/>
      <c r="E2897" s="42"/>
      <c r="F2897" s="42"/>
      <c r="G2897" s="42"/>
      <c r="H2897" s="42"/>
      <c r="I2897" s="42"/>
      <c r="J2897" s="42"/>
      <c r="K2897" s="42"/>
      <c r="L2897" s="42"/>
      <c r="M2897" s="42"/>
    </row>
    <row r="2898" spans="1:13" x14ac:dyDescent="0.2">
      <c r="A2898" s="42"/>
      <c r="B2898" s="42"/>
      <c r="C2898" s="42"/>
      <c r="D2898" s="42"/>
      <c r="E2898" s="42"/>
      <c r="F2898" s="42"/>
      <c r="G2898" s="42"/>
      <c r="H2898" s="42"/>
      <c r="I2898" s="42"/>
      <c r="J2898" s="42"/>
      <c r="K2898" s="42"/>
      <c r="L2898" s="42"/>
      <c r="M2898" s="42"/>
    </row>
    <row r="2899" spans="1:13" x14ac:dyDescent="0.2">
      <c r="A2899" s="42"/>
      <c r="B2899" s="42"/>
      <c r="C2899" s="42"/>
      <c r="D2899" s="42"/>
      <c r="E2899" s="42"/>
      <c r="F2899" s="42"/>
      <c r="G2899" s="42"/>
      <c r="H2899" s="42"/>
      <c r="I2899" s="42"/>
      <c r="J2899" s="42"/>
      <c r="K2899" s="42"/>
      <c r="L2899" s="42"/>
      <c r="M2899" s="42"/>
    </row>
    <row r="2900" spans="1:13" x14ac:dyDescent="0.2">
      <c r="A2900" s="42"/>
      <c r="B2900" s="42"/>
      <c r="C2900" s="42"/>
      <c r="D2900" s="42"/>
      <c r="E2900" s="42"/>
      <c r="F2900" s="42"/>
      <c r="G2900" s="42"/>
      <c r="H2900" s="42"/>
      <c r="I2900" s="42"/>
      <c r="J2900" s="42"/>
      <c r="K2900" s="42"/>
      <c r="L2900" s="42"/>
      <c r="M2900" s="42"/>
    </row>
    <row r="2901" spans="1:13" x14ac:dyDescent="0.2">
      <c r="A2901" s="42"/>
      <c r="B2901" s="42"/>
      <c r="C2901" s="42"/>
      <c r="D2901" s="42"/>
      <c r="E2901" s="42"/>
      <c r="F2901" s="42"/>
      <c r="G2901" s="42"/>
      <c r="H2901" s="42"/>
      <c r="I2901" s="42"/>
      <c r="J2901" s="42"/>
      <c r="K2901" s="42"/>
      <c r="L2901" s="42"/>
      <c r="M2901" s="42"/>
    </row>
    <row r="2902" spans="1:13" x14ac:dyDescent="0.2">
      <c r="A2902" s="42"/>
      <c r="B2902" s="42"/>
      <c r="C2902" s="42"/>
      <c r="D2902" s="42"/>
      <c r="E2902" s="42"/>
      <c r="F2902" s="42"/>
      <c r="G2902" s="42"/>
      <c r="H2902" s="42"/>
      <c r="I2902" s="42"/>
      <c r="J2902" s="42"/>
      <c r="K2902" s="42"/>
      <c r="L2902" s="42"/>
      <c r="M2902" s="42"/>
    </row>
    <row r="2903" spans="1:13" x14ac:dyDescent="0.2">
      <c r="A2903" s="42"/>
      <c r="B2903" s="42"/>
      <c r="C2903" s="42"/>
      <c r="D2903" s="42"/>
      <c r="E2903" s="42"/>
      <c r="F2903" s="42"/>
      <c r="G2903" s="42"/>
      <c r="H2903" s="42"/>
      <c r="I2903" s="42"/>
      <c r="J2903" s="42"/>
      <c r="K2903" s="42"/>
      <c r="L2903" s="42"/>
      <c r="M2903" s="42"/>
    </row>
    <row r="2904" spans="1:13" x14ac:dyDescent="0.2">
      <c r="A2904" s="42"/>
      <c r="B2904" s="42"/>
      <c r="C2904" s="42"/>
      <c r="D2904" s="42"/>
      <c r="E2904" s="42"/>
      <c r="F2904" s="42"/>
      <c r="G2904" s="42"/>
      <c r="H2904" s="42"/>
      <c r="I2904" s="42"/>
      <c r="J2904" s="42"/>
      <c r="K2904" s="42"/>
      <c r="L2904" s="42"/>
      <c r="M2904" s="42"/>
    </row>
    <row r="2905" spans="1:13" x14ac:dyDescent="0.2">
      <c r="A2905" s="42"/>
      <c r="B2905" s="42"/>
      <c r="C2905" s="42"/>
      <c r="D2905" s="42"/>
      <c r="E2905" s="42"/>
      <c r="F2905" s="42"/>
      <c r="G2905" s="42"/>
      <c r="H2905" s="42"/>
      <c r="I2905" s="42"/>
      <c r="J2905" s="42"/>
      <c r="K2905" s="42"/>
      <c r="L2905" s="42"/>
      <c r="M2905" s="42"/>
    </row>
    <row r="2906" spans="1:13" x14ac:dyDescent="0.2">
      <c r="A2906" s="42"/>
      <c r="B2906" s="42"/>
      <c r="C2906" s="42"/>
      <c r="D2906" s="42"/>
      <c r="E2906" s="42"/>
      <c r="F2906" s="42"/>
      <c r="G2906" s="42"/>
      <c r="H2906" s="42"/>
      <c r="I2906" s="42"/>
      <c r="J2906" s="42"/>
      <c r="K2906" s="42"/>
      <c r="L2906" s="42"/>
      <c r="M2906" s="42"/>
    </row>
    <row r="2907" spans="1:13" x14ac:dyDescent="0.2">
      <c r="A2907" s="42"/>
      <c r="B2907" s="42"/>
      <c r="C2907" s="42"/>
      <c r="D2907" s="42"/>
      <c r="E2907" s="42"/>
      <c r="F2907" s="42"/>
      <c r="G2907" s="42"/>
      <c r="H2907" s="42"/>
      <c r="I2907" s="42"/>
      <c r="J2907" s="42"/>
      <c r="K2907" s="42"/>
      <c r="L2907" s="42"/>
      <c r="M2907" s="42"/>
    </row>
    <row r="2908" spans="1:13" x14ac:dyDescent="0.2">
      <c r="A2908" s="42"/>
      <c r="B2908" s="42"/>
      <c r="C2908" s="42"/>
      <c r="D2908" s="42"/>
      <c r="E2908" s="42"/>
      <c r="F2908" s="42"/>
      <c r="G2908" s="42"/>
      <c r="H2908" s="42"/>
      <c r="I2908" s="42"/>
      <c r="J2908" s="42"/>
      <c r="K2908" s="42"/>
      <c r="L2908" s="42"/>
      <c r="M2908" s="42"/>
    </row>
    <row r="2909" spans="1:13" x14ac:dyDescent="0.2">
      <c r="A2909" s="42"/>
      <c r="B2909" s="42"/>
      <c r="C2909" s="42"/>
      <c r="D2909" s="42"/>
      <c r="E2909" s="42"/>
      <c r="F2909" s="42"/>
      <c r="G2909" s="42"/>
      <c r="H2909" s="42"/>
      <c r="I2909" s="42"/>
      <c r="J2909" s="42"/>
      <c r="K2909" s="42"/>
      <c r="L2909" s="42"/>
      <c r="M2909" s="42"/>
    </row>
    <row r="2910" spans="1:13" x14ac:dyDescent="0.2">
      <c r="A2910" s="42"/>
      <c r="B2910" s="42"/>
      <c r="C2910" s="42"/>
      <c r="D2910" s="42"/>
      <c r="E2910" s="42"/>
      <c r="F2910" s="42"/>
      <c r="G2910" s="42"/>
      <c r="H2910" s="42"/>
      <c r="I2910" s="42"/>
      <c r="J2910" s="42"/>
      <c r="K2910" s="42"/>
      <c r="L2910" s="42"/>
      <c r="M2910" s="42"/>
    </row>
    <row r="2911" spans="1:13" x14ac:dyDescent="0.2">
      <c r="A2911" s="42"/>
      <c r="B2911" s="42"/>
      <c r="C2911" s="42"/>
      <c r="D2911" s="42"/>
      <c r="E2911" s="42"/>
      <c r="F2911" s="42"/>
      <c r="G2911" s="42"/>
      <c r="H2911" s="42"/>
      <c r="I2911" s="42"/>
      <c r="J2911" s="42"/>
      <c r="K2911" s="42"/>
      <c r="L2911" s="42"/>
      <c r="M2911" s="42"/>
    </row>
    <row r="2912" spans="1:13" x14ac:dyDescent="0.2">
      <c r="A2912" s="42"/>
      <c r="B2912" s="42"/>
      <c r="C2912" s="42"/>
      <c r="D2912" s="42"/>
      <c r="E2912" s="42"/>
      <c r="F2912" s="42"/>
      <c r="G2912" s="42"/>
      <c r="H2912" s="42"/>
      <c r="I2912" s="42"/>
      <c r="J2912" s="42"/>
      <c r="K2912" s="42"/>
      <c r="L2912" s="42"/>
      <c r="M2912" s="42"/>
    </row>
    <row r="2913" spans="1:13" x14ac:dyDescent="0.2">
      <c r="A2913" s="42"/>
      <c r="B2913" s="42"/>
      <c r="C2913" s="42"/>
      <c r="D2913" s="42"/>
      <c r="E2913" s="42"/>
      <c r="F2913" s="42"/>
      <c r="G2913" s="42"/>
      <c r="H2913" s="42"/>
      <c r="I2913" s="42"/>
      <c r="J2913" s="42"/>
      <c r="K2913" s="42"/>
      <c r="L2913" s="42"/>
      <c r="M2913" s="42"/>
    </row>
    <row r="2914" spans="1:13" x14ac:dyDescent="0.2">
      <c r="A2914" s="42"/>
      <c r="B2914" s="42"/>
      <c r="C2914" s="42"/>
      <c r="D2914" s="42"/>
      <c r="E2914" s="42"/>
      <c r="F2914" s="42"/>
      <c r="G2914" s="42"/>
      <c r="H2914" s="42"/>
      <c r="I2914" s="42"/>
      <c r="J2914" s="42"/>
      <c r="K2914" s="42"/>
      <c r="L2914" s="42"/>
      <c r="M2914" s="42"/>
    </row>
    <row r="2915" spans="1:13" x14ac:dyDescent="0.2">
      <c r="A2915" s="42"/>
      <c r="B2915" s="42"/>
      <c r="C2915" s="42"/>
      <c r="D2915" s="42"/>
      <c r="E2915" s="42"/>
      <c r="F2915" s="42"/>
      <c r="G2915" s="42"/>
      <c r="H2915" s="42"/>
      <c r="I2915" s="42"/>
      <c r="J2915" s="42"/>
      <c r="K2915" s="42"/>
      <c r="L2915" s="42"/>
      <c r="M2915" s="42"/>
    </row>
    <row r="2916" spans="1:13" x14ac:dyDescent="0.2">
      <c r="A2916" s="42"/>
      <c r="B2916" s="42"/>
      <c r="C2916" s="42"/>
      <c r="D2916" s="42"/>
      <c r="E2916" s="42"/>
      <c r="F2916" s="42"/>
      <c r="G2916" s="42"/>
      <c r="H2916" s="42"/>
      <c r="I2916" s="42"/>
      <c r="J2916" s="42"/>
      <c r="K2916" s="42"/>
      <c r="L2916" s="42"/>
      <c r="M2916" s="42"/>
    </row>
    <row r="2917" spans="1:13" x14ac:dyDescent="0.2">
      <c r="A2917" s="42"/>
      <c r="B2917" s="42"/>
      <c r="C2917" s="42"/>
      <c r="D2917" s="42"/>
      <c r="E2917" s="42"/>
      <c r="F2917" s="42"/>
      <c r="G2917" s="42"/>
      <c r="H2917" s="42"/>
      <c r="I2917" s="42"/>
      <c r="J2917" s="42"/>
      <c r="K2917" s="42"/>
      <c r="L2917" s="42"/>
      <c r="M2917" s="42"/>
    </row>
    <row r="2918" spans="1:13" x14ac:dyDescent="0.2">
      <c r="A2918" s="42"/>
      <c r="B2918" s="42"/>
      <c r="C2918" s="42"/>
      <c r="D2918" s="42"/>
      <c r="E2918" s="42"/>
      <c r="F2918" s="42"/>
      <c r="G2918" s="42"/>
      <c r="H2918" s="42"/>
      <c r="I2918" s="42"/>
      <c r="J2918" s="42"/>
      <c r="K2918" s="42"/>
      <c r="L2918" s="42"/>
      <c r="M2918" s="42"/>
    </row>
    <row r="2919" spans="1:13" x14ac:dyDescent="0.2">
      <c r="A2919" s="42"/>
      <c r="B2919" s="42"/>
      <c r="C2919" s="42"/>
      <c r="D2919" s="42"/>
      <c r="E2919" s="42"/>
      <c r="F2919" s="42"/>
      <c r="G2919" s="42"/>
      <c r="H2919" s="42"/>
      <c r="I2919" s="42"/>
      <c r="J2919" s="42"/>
      <c r="K2919" s="42"/>
      <c r="L2919" s="42"/>
      <c r="M2919" s="42"/>
    </row>
    <row r="2920" spans="1:13" x14ac:dyDescent="0.2">
      <c r="A2920" s="42"/>
      <c r="B2920" s="42"/>
      <c r="C2920" s="42"/>
      <c r="D2920" s="42"/>
      <c r="E2920" s="42"/>
      <c r="F2920" s="42"/>
      <c r="G2920" s="42"/>
      <c r="H2920" s="42"/>
      <c r="I2920" s="42"/>
      <c r="J2920" s="42"/>
      <c r="K2920" s="42"/>
      <c r="L2920" s="42"/>
      <c r="M2920" s="42"/>
    </row>
    <row r="2921" spans="1:13" x14ac:dyDescent="0.2">
      <c r="A2921" s="42"/>
      <c r="B2921" s="42"/>
      <c r="C2921" s="42"/>
      <c r="D2921" s="42"/>
      <c r="E2921" s="42"/>
      <c r="F2921" s="42"/>
      <c r="G2921" s="42"/>
      <c r="H2921" s="42"/>
      <c r="I2921" s="42"/>
      <c r="J2921" s="42"/>
      <c r="K2921" s="42"/>
      <c r="L2921" s="42"/>
      <c r="M2921" s="42"/>
    </row>
    <row r="2922" spans="1:13" x14ac:dyDescent="0.2">
      <c r="A2922" s="42"/>
      <c r="B2922" s="42"/>
      <c r="C2922" s="42"/>
      <c r="D2922" s="42"/>
      <c r="E2922" s="42"/>
      <c r="F2922" s="42"/>
      <c r="G2922" s="42"/>
      <c r="H2922" s="42"/>
      <c r="I2922" s="42"/>
      <c r="J2922" s="42"/>
      <c r="K2922" s="42"/>
      <c r="L2922" s="42"/>
      <c r="M2922" s="42"/>
    </row>
    <row r="2923" spans="1:13" x14ac:dyDescent="0.2">
      <c r="A2923" s="42"/>
      <c r="B2923" s="42"/>
      <c r="C2923" s="42"/>
      <c r="D2923" s="42"/>
      <c r="E2923" s="42"/>
      <c r="F2923" s="42"/>
      <c r="G2923" s="42"/>
      <c r="H2923" s="42"/>
      <c r="I2923" s="42"/>
      <c r="J2923" s="42"/>
      <c r="K2923" s="42"/>
      <c r="L2923" s="42"/>
      <c r="M2923" s="42"/>
    </row>
    <row r="2924" spans="1:13" x14ac:dyDescent="0.2">
      <c r="A2924" s="42"/>
      <c r="B2924" s="42"/>
      <c r="C2924" s="42"/>
      <c r="D2924" s="42"/>
      <c r="E2924" s="42"/>
      <c r="F2924" s="42"/>
      <c r="G2924" s="42"/>
      <c r="H2924" s="42"/>
      <c r="I2924" s="42"/>
      <c r="J2924" s="42"/>
      <c r="K2924" s="42"/>
      <c r="L2924" s="42"/>
      <c r="M2924" s="42"/>
    </row>
    <row r="2925" spans="1:13" x14ac:dyDescent="0.2">
      <c r="A2925" s="42"/>
      <c r="B2925" s="42"/>
      <c r="C2925" s="42"/>
      <c r="D2925" s="42"/>
      <c r="E2925" s="42"/>
      <c r="F2925" s="42"/>
      <c r="G2925" s="42"/>
      <c r="H2925" s="42"/>
      <c r="I2925" s="42"/>
      <c r="J2925" s="42"/>
      <c r="K2925" s="42"/>
      <c r="L2925" s="42"/>
      <c r="M2925" s="42"/>
    </row>
    <row r="2926" spans="1:13" x14ac:dyDescent="0.2">
      <c r="A2926" s="42"/>
      <c r="B2926" s="42"/>
      <c r="C2926" s="42"/>
      <c r="D2926" s="42"/>
      <c r="E2926" s="42"/>
      <c r="F2926" s="42"/>
      <c r="G2926" s="42"/>
      <c r="H2926" s="42"/>
      <c r="I2926" s="42"/>
      <c r="J2926" s="42"/>
      <c r="K2926" s="42"/>
      <c r="L2926" s="42"/>
      <c r="M2926" s="42"/>
    </row>
    <row r="2927" spans="1:13" x14ac:dyDescent="0.2">
      <c r="A2927" s="42"/>
      <c r="B2927" s="42"/>
      <c r="C2927" s="42"/>
      <c r="D2927" s="42"/>
      <c r="E2927" s="42"/>
      <c r="F2927" s="42"/>
      <c r="G2927" s="42"/>
      <c r="H2927" s="42"/>
      <c r="I2927" s="42"/>
      <c r="J2927" s="42"/>
      <c r="K2927" s="42"/>
      <c r="L2927" s="42"/>
      <c r="M2927" s="42"/>
    </row>
    <row r="2928" spans="1:13" x14ac:dyDescent="0.2">
      <c r="A2928" s="42"/>
      <c r="B2928" s="42"/>
      <c r="C2928" s="42"/>
      <c r="D2928" s="42"/>
      <c r="E2928" s="42"/>
      <c r="F2928" s="42"/>
      <c r="G2928" s="42"/>
      <c r="H2928" s="42"/>
      <c r="I2928" s="42"/>
      <c r="J2928" s="42"/>
      <c r="K2928" s="42"/>
      <c r="L2928" s="42"/>
      <c r="M2928" s="42"/>
    </row>
    <row r="2929" spans="1:13" x14ac:dyDescent="0.2">
      <c r="A2929" s="42"/>
      <c r="B2929" s="42"/>
      <c r="C2929" s="42"/>
      <c r="D2929" s="42"/>
      <c r="E2929" s="42"/>
      <c r="F2929" s="42"/>
      <c r="G2929" s="42"/>
      <c r="H2929" s="42"/>
      <c r="I2929" s="42"/>
      <c r="J2929" s="42"/>
      <c r="K2929" s="42"/>
      <c r="L2929" s="42"/>
      <c r="M2929" s="42"/>
    </row>
    <row r="2930" spans="1:13" x14ac:dyDescent="0.2">
      <c r="A2930" s="42"/>
      <c r="B2930" s="42"/>
      <c r="C2930" s="42"/>
      <c r="D2930" s="42"/>
      <c r="E2930" s="42"/>
      <c r="F2930" s="42"/>
      <c r="G2930" s="42"/>
      <c r="H2930" s="42"/>
      <c r="I2930" s="42"/>
      <c r="J2930" s="42"/>
      <c r="K2930" s="42"/>
      <c r="L2930" s="42"/>
      <c r="M2930" s="42"/>
    </row>
    <row r="2931" spans="1:13" x14ac:dyDescent="0.2">
      <c r="A2931" s="42"/>
      <c r="B2931" s="42"/>
      <c r="C2931" s="42"/>
      <c r="D2931" s="42"/>
      <c r="E2931" s="42"/>
      <c r="F2931" s="42"/>
      <c r="G2931" s="42"/>
      <c r="H2931" s="42"/>
      <c r="I2931" s="42"/>
      <c r="J2931" s="42"/>
      <c r="K2931" s="42"/>
      <c r="L2931" s="42"/>
      <c r="M2931" s="42"/>
    </row>
    <row r="2932" spans="1:13" x14ac:dyDescent="0.2">
      <c r="A2932" s="42"/>
      <c r="B2932" s="42"/>
      <c r="C2932" s="42"/>
      <c r="D2932" s="42"/>
      <c r="E2932" s="42"/>
      <c r="F2932" s="42"/>
      <c r="G2932" s="42"/>
      <c r="H2932" s="42"/>
      <c r="I2932" s="42"/>
      <c r="J2932" s="42"/>
      <c r="K2932" s="42"/>
      <c r="L2932" s="42"/>
      <c r="M2932" s="42"/>
    </row>
    <row r="2933" spans="1:13" x14ac:dyDescent="0.2">
      <c r="A2933" s="42"/>
      <c r="B2933" s="42"/>
      <c r="C2933" s="42"/>
      <c r="D2933" s="42"/>
      <c r="E2933" s="42"/>
      <c r="F2933" s="42"/>
      <c r="G2933" s="42"/>
      <c r="H2933" s="42"/>
      <c r="I2933" s="42"/>
      <c r="J2933" s="42"/>
      <c r="K2933" s="42"/>
      <c r="L2933" s="42"/>
      <c r="M2933" s="42"/>
    </row>
    <row r="2934" spans="1:13" x14ac:dyDescent="0.2">
      <c r="A2934" s="42"/>
      <c r="B2934" s="42"/>
      <c r="C2934" s="42"/>
      <c r="D2934" s="42"/>
      <c r="E2934" s="42"/>
      <c r="F2934" s="42"/>
      <c r="G2934" s="42"/>
      <c r="H2934" s="42"/>
      <c r="I2934" s="42"/>
      <c r="J2934" s="42"/>
      <c r="K2934" s="42"/>
      <c r="L2934" s="42"/>
      <c r="M2934" s="42"/>
    </row>
    <row r="2935" spans="1:13" x14ac:dyDescent="0.2">
      <c r="A2935" s="42"/>
      <c r="B2935" s="42"/>
      <c r="C2935" s="42"/>
      <c r="D2935" s="42"/>
      <c r="E2935" s="42"/>
      <c r="F2935" s="42"/>
      <c r="G2935" s="42"/>
      <c r="H2935" s="42"/>
      <c r="I2935" s="42"/>
      <c r="J2935" s="42"/>
      <c r="K2935" s="42"/>
      <c r="L2935" s="42"/>
      <c r="M2935" s="42"/>
    </row>
    <row r="2936" spans="1:13" x14ac:dyDescent="0.2">
      <c r="A2936" s="42"/>
      <c r="B2936" s="42"/>
      <c r="C2936" s="42"/>
      <c r="D2936" s="42"/>
      <c r="E2936" s="42"/>
      <c r="F2936" s="42"/>
      <c r="G2936" s="42"/>
      <c r="H2936" s="42"/>
      <c r="I2936" s="42"/>
      <c r="J2936" s="42"/>
      <c r="K2936" s="42"/>
      <c r="L2936" s="42"/>
      <c r="M2936" s="42"/>
    </row>
    <row r="2937" spans="1:13" x14ac:dyDescent="0.2">
      <c r="A2937" s="42"/>
      <c r="B2937" s="42"/>
      <c r="C2937" s="42"/>
      <c r="D2937" s="42"/>
      <c r="E2937" s="42"/>
      <c r="F2937" s="42"/>
      <c r="G2937" s="42"/>
      <c r="H2937" s="42"/>
      <c r="I2937" s="42"/>
      <c r="J2937" s="42"/>
      <c r="K2937" s="42"/>
      <c r="L2937" s="42"/>
      <c r="M2937" s="42"/>
    </row>
    <row r="2938" spans="1:13" x14ac:dyDescent="0.2">
      <c r="A2938" s="42"/>
      <c r="B2938" s="42"/>
      <c r="C2938" s="42"/>
      <c r="D2938" s="42"/>
      <c r="E2938" s="42"/>
      <c r="F2938" s="42"/>
      <c r="G2938" s="42"/>
      <c r="H2938" s="42"/>
      <c r="I2938" s="42"/>
      <c r="J2938" s="42"/>
      <c r="K2938" s="42"/>
      <c r="L2938" s="42"/>
      <c r="M2938" s="42"/>
    </row>
    <row r="2939" spans="1:13" x14ac:dyDescent="0.2">
      <c r="A2939" s="42"/>
      <c r="B2939" s="42"/>
      <c r="C2939" s="42"/>
      <c r="D2939" s="42"/>
      <c r="E2939" s="42"/>
      <c r="F2939" s="42"/>
      <c r="G2939" s="42"/>
      <c r="H2939" s="42"/>
      <c r="I2939" s="42"/>
      <c r="J2939" s="42"/>
      <c r="K2939" s="42"/>
      <c r="L2939" s="42"/>
      <c r="M2939" s="42"/>
    </row>
    <row r="2940" spans="1:13" x14ac:dyDescent="0.2">
      <c r="A2940" s="42"/>
      <c r="B2940" s="42"/>
      <c r="C2940" s="42"/>
      <c r="D2940" s="42"/>
      <c r="E2940" s="42"/>
      <c r="F2940" s="42"/>
      <c r="G2940" s="42"/>
      <c r="H2940" s="42"/>
      <c r="I2940" s="42"/>
      <c r="J2940" s="42"/>
      <c r="K2940" s="42"/>
      <c r="L2940" s="42"/>
      <c r="M2940" s="42"/>
    </row>
    <row r="2941" spans="1:13" x14ac:dyDescent="0.2">
      <c r="A2941" s="42"/>
      <c r="B2941" s="42"/>
      <c r="C2941" s="42"/>
      <c r="D2941" s="42"/>
      <c r="E2941" s="42"/>
      <c r="F2941" s="42"/>
      <c r="G2941" s="42"/>
      <c r="H2941" s="42"/>
      <c r="I2941" s="42"/>
      <c r="J2941" s="42"/>
      <c r="K2941" s="42"/>
      <c r="L2941" s="42"/>
      <c r="M2941" s="42"/>
    </row>
    <row r="2942" spans="1:13" x14ac:dyDescent="0.2">
      <c r="A2942" s="42"/>
      <c r="B2942" s="42"/>
      <c r="C2942" s="42"/>
      <c r="D2942" s="42"/>
      <c r="E2942" s="42"/>
      <c r="F2942" s="42"/>
      <c r="G2942" s="42"/>
      <c r="H2942" s="42"/>
      <c r="I2942" s="42"/>
      <c r="J2942" s="42"/>
      <c r="K2942" s="42"/>
      <c r="L2942" s="42"/>
      <c r="M2942" s="42"/>
    </row>
    <row r="2943" spans="1:13" x14ac:dyDescent="0.2">
      <c r="A2943" s="42"/>
      <c r="B2943" s="42"/>
      <c r="C2943" s="42"/>
      <c r="D2943" s="42"/>
      <c r="E2943" s="42"/>
      <c r="F2943" s="42"/>
      <c r="G2943" s="42"/>
      <c r="H2943" s="42"/>
      <c r="I2943" s="42"/>
      <c r="J2943" s="42"/>
      <c r="K2943" s="42"/>
      <c r="L2943" s="42"/>
      <c r="M2943" s="42"/>
    </row>
    <row r="2944" spans="1:13" x14ac:dyDescent="0.2">
      <c r="A2944" s="42"/>
      <c r="B2944" s="42"/>
      <c r="C2944" s="42"/>
      <c r="D2944" s="42"/>
      <c r="E2944" s="42"/>
      <c r="F2944" s="42"/>
      <c r="G2944" s="42"/>
      <c r="H2944" s="42"/>
      <c r="I2944" s="42"/>
      <c r="J2944" s="42"/>
      <c r="K2944" s="42"/>
      <c r="L2944" s="42"/>
      <c r="M2944" s="42"/>
    </row>
    <row r="2945" spans="1:13" x14ac:dyDescent="0.2">
      <c r="A2945" s="42"/>
      <c r="B2945" s="42"/>
      <c r="C2945" s="42"/>
      <c r="D2945" s="42"/>
      <c r="E2945" s="42"/>
      <c r="F2945" s="42"/>
      <c r="G2945" s="42"/>
      <c r="H2945" s="42"/>
      <c r="I2945" s="42"/>
      <c r="J2945" s="42"/>
      <c r="K2945" s="42"/>
      <c r="L2945" s="42"/>
      <c r="M2945" s="42"/>
    </row>
    <row r="2946" spans="1:13" x14ac:dyDescent="0.2">
      <c r="A2946" s="42"/>
      <c r="B2946" s="42"/>
      <c r="C2946" s="42"/>
      <c r="D2946" s="42"/>
      <c r="E2946" s="42"/>
      <c r="F2946" s="42"/>
      <c r="G2946" s="42"/>
      <c r="H2946" s="42"/>
      <c r="I2946" s="42"/>
      <c r="J2946" s="42"/>
      <c r="K2946" s="42"/>
      <c r="L2946" s="42"/>
      <c r="M2946" s="42"/>
    </row>
    <row r="2947" spans="1:13" x14ac:dyDescent="0.2">
      <c r="A2947" s="42"/>
      <c r="B2947" s="42"/>
      <c r="C2947" s="42"/>
      <c r="D2947" s="42"/>
      <c r="E2947" s="42"/>
      <c r="F2947" s="42"/>
      <c r="G2947" s="42"/>
      <c r="H2947" s="42"/>
      <c r="I2947" s="42"/>
      <c r="J2947" s="42"/>
      <c r="K2947" s="42"/>
      <c r="L2947" s="42"/>
      <c r="M2947" s="42"/>
    </row>
    <row r="2948" spans="1:13" x14ac:dyDescent="0.2">
      <c r="A2948" s="42"/>
      <c r="B2948" s="42"/>
      <c r="C2948" s="42"/>
      <c r="D2948" s="42"/>
      <c r="E2948" s="42"/>
      <c r="F2948" s="42"/>
      <c r="G2948" s="42"/>
      <c r="H2948" s="42"/>
      <c r="I2948" s="42"/>
      <c r="J2948" s="42"/>
      <c r="K2948" s="42"/>
      <c r="L2948" s="42"/>
      <c r="M2948" s="42"/>
    </row>
    <row r="2949" spans="1:13" x14ac:dyDescent="0.2">
      <c r="A2949" s="42"/>
      <c r="B2949" s="42"/>
      <c r="C2949" s="42"/>
      <c r="D2949" s="42"/>
      <c r="E2949" s="42"/>
      <c r="F2949" s="42"/>
      <c r="G2949" s="42"/>
      <c r="H2949" s="42"/>
      <c r="I2949" s="42"/>
      <c r="J2949" s="42"/>
      <c r="K2949" s="42"/>
      <c r="L2949" s="42"/>
      <c r="M2949" s="42"/>
    </row>
    <row r="2950" spans="1:13" x14ac:dyDescent="0.2">
      <c r="A2950" s="42"/>
      <c r="B2950" s="42"/>
      <c r="C2950" s="42"/>
      <c r="D2950" s="42"/>
      <c r="E2950" s="42"/>
      <c r="F2950" s="42"/>
      <c r="G2950" s="42"/>
      <c r="H2950" s="42"/>
      <c r="I2950" s="42"/>
      <c r="J2950" s="42"/>
      <c r="K2950" s="42"/>
      <c r="L2950" s="42"/>
      <c r="M2950" s="42"/>
    </row>
    <row r="2951" spans="1:13" x14ac:dyDescent="0.2">
      <c r="A2951" s="42"/>
      <c r="B2951" s="42"/>
      <c r="C2951" s="42"/>
      <c r="D2951" s="42"/>
      <c r="E2951" s="42"/>
      <c r="F2951" s="42"/>
      <c r="G2951" s="42"/>
      <c r="H2951" s="42"/>
      <c r="I2951" s="42"/>
      <c r="J2951" s="42"/>
      <c r="K2951" s="42"/>
      <c r="L2951" s="42"/>
      <c r="M2951" s="42"/>
    </row>
    <row r="2952" spans="1:13" x14ac:dyDescent="0.2">
      <c r="A2952" s="42"/>
      <c r="B2952" s="42"/>
      <c r="C2952" s="42"/>
      <c r="D2952" s="42"/>
      <c r="E2952" s="42"/>
      <c r="F2952" s="42"/>
      <c r="G2952" s="42"/>
      <c r="H2952" s="42"/>
      <c r="I2952" s="42"/>
      <c r="J2952" s="42"/>
      <c r="K2952" s="42"/>
      <c r="L2952" s="42"/>
      <c r="M2952" s="42"/>
    </row>
    <row r="2953" spans="1:13" x14ac:dyDescent="0.2">
      <c r="A2953" s="42"/>
      <c r="B2953" s="42"/>
      <c r="C2953" s="42"/>
      <c r="D2953" s="42"/>
      <c r="E2953" s="42"/>
      <c r="F2953" s="42"/>
      <c r="G2953" s="42"/>
      <c r="H2953" s="42"/>
      <c r="I2953" s="42"/>
      <c r="J2953" s="42"/>
      <c r="K2953" s="42"/>
      <c r="L2953" s="42"/>
      <c r="M2953" s="42"/>
    </row>
    <row r="2954" spans="1:13" x14ac:dyDescent="0.2">
      <c r="A2954" s="42"/>
      <c r="B2954" s="42"/>
      <c r="C2954" s="42"/>
      <c r="D2954" s="42"/>
      <c r="E2954" s="42"/>
      <c r="F2954" s="42"/>
      <c r="G2954" s="42"/>
      <c r="H2954" s="42"/>
      <c r="I2954" s="42"/>
      <c r="J2954" s="42"/>
      <c r="K2954" s="42"/>
      <c r="L2954" s="42"/>
      <c r="M2954" s="42"/>
    </row>
    <row r="2955" spans="1:13" x14ac:dyDescent="0.2">
      <c r="A2955" s="42"/>
      <c r="B2955" s="42"/>
      <c r="C2955" s="42"/>
      <c r="D2955" s="42"/>
      <c r="E2955" s="42"/>
      <c r="F2955" s="42"/>
      <c r="G2955" s="42"/>
      <c r="H2955" s="42"/>
      <c r="I2955" s="42"/>
      <c r="J2955" s="42"/>
      <c r="K2955" s="42"/>
      <c r="L2955" s="42"/>
      <c r="M2955" s="42"/>
    </row>
    <row r="2956" spans="1:13" x14ac:dyDescent="0.2">
      <c r="A2956" s="42"/>
      <c r="B2956" s="42"/>
      <c r="C2956" s="42"/>
      <c r="D2956" s="42"/>
      <c r="E2956" s="42"/>
      <c r="F2956" s="42"/>
      <c r="G2956" s="42"/>
      <c r="H2956" s="42"/>
      <c r="I2956" s="42"/>
      <c r="J2956" s="42"/>
      <c r="K2956" s="42"/>
      <c r="L2956" s="42"/>
      <c r="M2956" s="42"/>
    </row>
    <row r="2957" spans="1:13" x14ac:dyDescent="0.2">
      <c r="A2957" s="42"/>
      <c r="B2957" s="42"/>
      <c r="C2957" s="42"/>
      <c r="D2957" s="42"/>
      <c r="E2957" s="42"/>
      <c r="F2957" s="42"/>
      <c r="G2957" s="42"/>
      <c r="H2957" s="42"/>
      <c r="I2957" s="42"/>
      <c r="J2957" s="42"/>
      <c r="K2957" s="42"/>
      <c r="L2957" s="42"/>
      <c r="M2957" s="42"/>
    </row>
    <row r="2958" spans="1:13" x14ac:dyDescent="0.2">
      <c r="A2958" s="42"/>
      <c r="B2958" s="42"/>
      <c r="C2958" s="42"/>
      <c r="D2958" s="42"/>
      <c r="E2958" s="42"/>
      <c r="F2958" s="42"/>
      <c r="G2958" s="42"/>
      <c r="H2958" s="42"/>
      <c r="I2958" s="42"/>
      <c r="J2958" s="42"/>
      <c r="K2958" s="42"/>
      <c r="L2958" s="42"/>
      <c r="M2958" s="42"/>
    </row>
    <row r="2959" spans="1:13" x14ac:dyDescent="0.2">
      <c r="A2959" s="42"/>
      <c r="B2959" s="42"/>
      <c r="C2959" s="42"/>
      <c r="D2959" s="42"/>
      <c r="E2959" s="42"/>
      <c r="F2959" s="42"/>
      <c r="G2959" s="42"/>
      <c r="H2959" s="42"/>
      <c r="I2959" s="42"/>
      <c r="J2959" s="42"/>
      <c r="K2959" s="42"/>
      <c r="L2959" s="42"/>
      <c r="M2959" s="42"/>
    </row>
    <row r="2960" spans="1:13" x14ac:dyDescent="0.2">
      <c r="A2960" s="42"/>
      <c r="B2960" s="42"/>
      <c r="C2960" s="42"/>
      <c r="D2960" s="42"/>
      <c r="E2960" s="42"/>
      <c r="F2960" s="42"/>
      <c r="G2960" s="42"/>
      <c r="H2960" s="42"/>
      <c r="I2960" s="42"/>
      <c r="J2960" s="42"/>
      <c r="K2960" s="42"/>
      <c r="L2960" s="42"/>
      <c r="M2960" s="42"/>
    </row>
    <row r="2961" spans="1:13" x14ac:dyDescent="0.2">
      <c r="A2961" s="42"/>
      <c r="B2961" s="42"/>
      <c r="C2961" s="42"/>
      <c r="D2961" s="42"/>
      <c r="E2961" s="42"/>
      <c r="F2961" s="42"/>
      <c r="G2961" s="42"/>
      <c r="H2961" s="42"/>
      <c r="I2961" s="42"/>
      <c r="J2961" s="42"/>
      <c r="K2961" s="42"/>
      <c r="L2961" s="42"/>
      <c r="M2961" s="42"/>
    </row>
    <row r="2962" spans="1:13" x14ac:dyDescent="0.2">
      <c r="A2962" s="42"/>
      <c r="B2962" s="42"/>
      <c r="C2962" s="42"/>
      <c r="D2962" s="42"/>
      <c r="E2962" s="42"/>
      <c r="F2962" s="42"/>
      <c r="G2962" s="42"/>
      <c r="H2962" s="42"/>
      <c r="I2962" s="42"/>
      <c r="J2962" s="42"/>
      <c r="K2962" s="42"/>
      <c r="L2962" s="42"/>
      <c r="M2962" s="42"/>
    </row>
    <row r="2963" spans="1:13" x14ac:dyDescent="0.2">
      <c r="A2963" s="42"/>
      <c r="B2963" s="42"/>
      <c r="C2963" s="42"/>
      <c r="D2963" s="42"/>
      <c r="E2963" s="42"/>
      <c r="F2963" s="42"/>
      <c r="G2963" s="42"/>
      <c r="H2963" s="42"/>
      <c r="I2963" s="42"/>
      <c r="J2963" s="42"/>
      <c r="K2963" s="42"/>
      <c r="L2963" s="42"/>
      <c r="M2963" s="42"/>
    </row>
    <row r="2964" spans="1:13" x14ac:dyDescent="0.2">
      <c r="A2964" s="42"/>
      <c r="B2964" s="42"/>
      <c r="C2964" s="42"/>
      <c r="D2964" s="42"/>
      <c r="E2964" s="42"/>
      <c r="F2964" s="42"/>
      <c r="G2964" s="42"/>
      <c r="H2964" s="42"/>
      <c r="I2964" s="42"/>
      <c r="J2964" s="42"/>
      <c r="K2964" s="42"/>
      <c r="L2964" s="42"/>
      <c r="M2964" s="42"/>
    </row>
    <row r="2965" spans="1:13" x14ac:dyDescent="0.2">
      <c r="A2965" s="42"/>
      <c r="B2965" s="42"/>
      <c r="C2965" s="42"/>
      <c r="D2965" s="42"/>
      <c r="E2965" s="42"/>
      <c r="F2965" s="42"/>
      <c r="G2965" s="42"/>
      <c r="H2965" s="42"/>
      <c r="I2965" s="42"/>
      <c r="J2965" s="42"/>
      <c r="K2965" s="42"/>
      <c r="L2965" s="42"/>
      <c r="M2965" s="42"/>
    </row>
    <row r="2966" spans="1:13" x14ac:dyDescent="0.2">
      <c r="A2966" s="42"/>
      <c r="B2966" s="42"/>
      <c r="C2966" s="42"/>
      <c r="D2966" s="42"/>
      <c r="E2966" s="42"/>
      <c r="F2966" s="42"/>
      <c r="G2966" s="42"/>
      <c r="H2966" s="42"/>
      <c r="I2966" s="42"/>
      <c r="J2966" s="42"/>
      <c r="K2966" s="42"/>
      <c r="L2966" s="42"/>
      <c r="M2966" s="42"/>
    </row>
    <row r="2967" spans="1:13" x14ac:dyDescent="0.2">
      <c r="A2967" s="42"/>
      <c r="B2967" s="42"/>
      <c r="C2967" s="42"/>
      <c r="D2967" s="42"/>
      <c r="E2967" s="42"/>
      <c r="F2967" s="42"/>
      <c r="G2967" s="42"/>
      <c r="H2967" s="42"/>
      <c r="I2967" s="42"/>
      <c r="J2967" s="42"/>
      <c r="K2967" s="42"/>
      <c r="L2967" s="42"/>
      <c r="M2967" s="42"/>
    </row>
    <row r="2968" spans="1:13" x14ac:dyDescent="0.2">
      <c r="A2968" s="42"/>
      <c r="B2968" s="42"/>
      <c r="C2968" s="42"/>
      <c r="D2968" s="42"/>
      <c r="E2968" s="42"/>
      <c r="F2968" s="42"/>
      <c r="G2968" s="42"/>
      <c r="H2968" s="42"/>
      <c r="I2968" s="42"/>
      <c r="J2968" s="42"/>
      <c r="K2968" s="42"/>
      <c r="L2968" s="42"/>
      <c r="M2968" s="42"/>
    </row>
    <row r="2969" spans="1:13" x14ac:dyDescent="0.2">
      <c r="A2969" s="42"/>
      <c r="B2969" s="42"/>
      <c r="C2969" s="42"/>
      <c r="D2969" s="42"/>
      <c r="E2969" s="42"/>
      <c r="F2969" s="42"/>
      <c r="G2969" s="42"/>
      <c r="H2969" s="42"/>
      <c r="I2969" s="42"/>
      <c r="J2969" s="42"/>
      <c r="K2969" s="42"/>
      <c r="L2969" s="42"/>
      <c r="M2969" s="42"/>
    </row>
    <row r="2970" spans="1:13" x14ac:dyDescent="0.2">
      <c r="A2970" s="42"/>
      <c r="B2970" s="42"/>
      <c r="C2970" s="42"/>
      <c r="D2970" s="42"/>
      <c r="E2970" s="42"/>
      <c r="F2970" s="42"/>
      <c r="G2970" s="42"/>
      <c r="H2970" s="42"/>
      <c r="I2970" s="42"/>
      <c r="J2970" s="42"/>
      <c r="K2970" s="42"/>
      <c r="L2970" s="42"/>
      <c r="M2970" s="42"/>
    </row>
    <row r="2971" spans="1:13" x14ac:dyDescent="0.2">
      <c r="A2971" s="42"/>
      <c r="B2971" s="42"/>
      <c r="C2971" s="42"/>
      <c r="D2971" s="42"/>
      <c r="E2971" s="42"/>
      <c r="F2971" s="42"/>
      <c r="G2971" s="42"/>
      <c r="H2971" s="42"/>
      <c r="I2971" s="42"/>
      <c r="J2971" s="42"/>
      <c r="K2971" s="42"/>
      <c r="L2971" s="42"/>
      <c r="M2971" s="42"/>
    </row>
    <row r="2972" spans="1:13" x14ac:dyDescent="0.2">
      <c r="A2972" s="42"/>
      <c r="B2972" s="42"/>
      <c r="C2972" s="42"/>
      <c r="D2972" s="42"/>
      <c r="E2972" s="42"/>
      <c r="F2972" s="42"/>
      <c r="G2972" s="42"/>
      <c r="H2972" s="42"/>
      <c r="I2972" s="42"/>
      <c r="J2972" s="42"/>
      <c r="K2972" s="42"/>
      <c r="L2972" s="42"/>
      <c r="M2972" s="42"/>
    </row>
    <row r="2973" spans="1:13" x14ac:dyDescent="0.2">
      <c r="A2973" s="42"/>
      <c r="B2973" s="42"/>
      <c r="C2973" s="42"/>
      <c r="D2973" s="42"/>
      <c r="E2973" s="42"/>
      <c r="F2973" s="42"/>
      <c r="G2973" s="42"/>
      <c r="H2973" s="42"/>
      <c r="I2973" s="42"/>
      <c r="J2973" s="42"/>
      <c r="K2973" s="42"/>
      <c r="L2973" s="42"/>
      <c r="M2973" s="42"/>
    </row>
    <row r="2974" spans="1:13" x14ac:dyDescent="0.2">
      <c r="A2974" s="42"/>
      <c r="B2974" s="42"/>
      <c r="C2974" s="42"/>
      <c r="D2974" s="42"/>
      <c r="E2974" s="42"/>
      <c r="F2974" s="42"/>
      <c r="G2974" s="42"/>
      <c r="H2974" s="42"/>
      <c r="I2974" s="42"/>
      <c r="J2974" s="42"/>
      <c r="K2974" s="42"/>
      <c r="L2974" s="42"/>
      <c r="M2974" s="42"/>
    </row>
    <row r="2975" spans="1:13" x14ac:dyDescent="0.2">
      <c r="A2975" s="42"/>
      <c r="B2975" s="42"/>
      <c r="C2975" s="42"/>
      <c r="D2975" s="42"/>
      <c r="E2975" s="42"/>
      <c r="F2975" s="42"/>
      <c r="G2975" s="42"/>
      <c r="H2975" s="42"/>
      <c r="I2975" s="42"/>
      <c r="J2975" s="42"/>
      <c r="K2975" s="42"/>
      <c r="L2975" s="42"/>
      <c r="M2975" s="42"/>
    </row>
    <row r="2976" spans="1:13" x14ac:dyDescent="0.2">
      <c r="A2976" s="42"/>
      <c r="B2976" s="42"/>
      <c r="C2976" s="42"/>
      <c r="D2976" s="42"/>
      <c r="E2976" s="42"/>
      <c r="F2976" s="42"/>
      <c r="G2976" s="42"/>
      <c r="H2976" s="42"/>
      <c r="I2976" s="42"/>
      <c r="J2976" s="42"/>
      <c r="K2976" s="42"/>
      <c r="L2976" s="42"/>
      <c r="M2976" s="42"/>
    </row>
    <row r="2977" spans="1:13" x14ac:dyDescent="0.2">
      <c r="A2977" s="42"/>
      <c r="B2977" s="42"/>
      <c r="C2977" s="42"/>
      <c r="D2977" s="42"/>
      <c r="E2977" s="42"/>
      <c r="F2977" s="42"/>
      <c r="G2977" s="42"/>
      <c r="H2977" s="42"/>
      <c r="I2977" s="42"/>
      <c r="J2977" s="42"/>
      <c r="K2977" s="42"/>
      <c r="L2977" s="42"/>
      <c r="M2977" s="42"/>
    </row>
    <row r="2978" spans="1:13" x14ac:dyDescent="0.2">
      <c r="A2978" s="42"/>
      <c r="B2978" s="42"/>
      <c r="C2978" s="42"/>
      <c r="D2978" s="42"/>
      <c r="E2978" s="42"/>
      <c r="F2978" s="42"/>
      <c r="G2978" s="42"/>
      <c r="H2978" s="42"/>
      <c r="I2978" s="42"/>
      <c r="J2978" s="42"/>
      <c r="K2978" s="42"/>
      <c r="L2978" s="42"/>
      <c r="M2978" s="42"/>
    </row>
    <row r="2979" spans="1:13" x14ac:dyDescent="0.2">
      <c r="A2979" s="42"/>
      <c r="B2979" s="42"/>
      <c r="C2979" s="42"/>
      <c r="D2979" s="42"/>
      <c r="E2979" s="42"/>
      <c r="F2979" s="42"/>
      <c r="G2979" s="42"/>
      <c r="H2979" s="42"/>
      <c r="I2979" s="42"/>
      <c r="J2979" s="42"/>
      <c r="K2979" s="42"/>
      <c r="L2979" s="42"/>
      <c r="M2979" s="42"/>
    </row>
    <row r="2980" spans="1:13" x14ac:dyDescent="0.2">
      <c r="A2980" s="42"/>
      <c r="B2980" s="42"/>
      <c r="C2980" s="42"/>
      <c r="D2980" s="42"/>
      <c r="E2980" s="42"/>
      <c r="F2980" s="42"/>
      <c r="G2980" s="42"/>
      <c r="H2980" s="42"/>
      <c r="I2980" s="42"/>
      <c r="J2980" s="42"/>
      <c r="K2980" s="42"/>
      <c r="L2980" s="42"/>
      <c r="M2980" s="42"/>
    </row>
    <row r="2981" spans="1:13" x14ac:dyDescent="0.2">
      <c r="A2981" s="42"/>
      <c r="B2981" s="42"/>
      <c r="C2981" s="42"/>
      <c r="D2981" s="42"/>
      <c r="E2981" s="42"/>
      <c r="F2981" s="42"/>
      <c r="G2981" s="42"/>
      <c r="H2981" s="42"/>
      <c r="I2981" s="42"/>
      <c r="J2981" s="42"/>
      <c r="K2981" s="42"/>
      <c r="L2981" s="42"/>
      <c r="M2981" s="42"/>
    </row>
    <row r="2982" spans="1:13" x14ac:dyDescent="0.2">
      <c r="A2982" s="42"/>
      <c r="B2982" s="42"/>
      <c r="C2982" s="42"/>
      <c r="D2982" s="42"/>
      <c r="E2982" s="42"/>
      <c r="F2982" s="42"/>
      <c r="G2982" s="42"/>
      <c r="H2982" s="42"/>
      <c r="I2982" s="42"/>
      <c r="J2982" s="42"/>
      <c r="K2982" s="42"/>
      <c r="L2982" s="42"/>
      <c r="M2982" s="42"/>
    </row>
    <row r="2983" spans="1:13" x14ac:dyDescent="0.2">
      <c r="A2983" s="42"/>
      <c r="B2983" s="42"/>
      <c r="C2983" s="42"/>
      <c r="D2983" s="42"/>
      <c r="E2983" s="42"/>
      <c r="F2983" s="42"/>
      <c r="G2983" s="42"/>
      <c r="H2983" s="42"/>
      <c r="I2983" s="42"/>
      <c r="J2983" s="42"/>
      <c r="K2983" s="42"/>
      <c r="L2983" s="42"/>
      <c r="M2983" s="42"/>
    </row>
    <row r="2984" spans="1:13" x14ac:dyDescent="0.2">
      <c r="A2984" s="42"/>
      <c r="B2984" s="42"/>
      <c r="C2984" s="42"/>
      <c r="D2984" s="42"/>
      <c r="E2984" s="42"/>
      <c r="F2984" s="42"/>
      <c r="G2984" s="42"/>
      <c r="H2984" s="42"/>
      <c r="I2984" s="42"/>
      <c r="J2984" s="42"/>
      <c r="K2984" s="42"/>
      <c r="L2984" s="42"/>
      <c r="M2984" s="42"/>
    </row>
    <row r="2985" spans="1:13" x14ac:dyDescent="0.2">
      <c r="A2985" s="42"/>
      <c r="B2985" s="42"/>
      <c r="C2985" s="42"/>
      <c r="D2985" s="42"/>
      <c r="E2985" s="42"/>
      <c r="F2985" s="42"/>
      <c r="G2985" s="42"/>
      <c r="H2985" s="42"/>
      <c r="I2985" s="42"/>
      <c r="J2985" s="42"/>
      <c r="K2985" s="42"/>
      <c r="L2985" s="42"/>
      <c r="M2985" s="42"/>
    </row>
    <row r="2986" spans="1:13" x14ac:dyDescent="0.2">
      <c r="A2986" s="42"/>
      <c r="B2986" s="42"/>
      <c r="C2986" s="42"/>
      <c r="D2986" s="42"/>
      <c r="E2986" s="42"/>
      <c r="F2986" s="42"/>
      <c r="G2986" s="42"/>
      <c r="H2986" s="42"/>
      <c r="I2986" s="42"/>
      <c r="J2986" s="42"/>
      <c r="K2986" s="42"/>
      <c r="L2986" s="42"/>
      <c r="M2986" s="42"/>
    </row>
    <row r="2987" spans="1:13" x14ac:dyDescent="0.2">
      <c r="A2987" s="42"/>
      <c r="B2987" s="42"/>
      <c r="C2987" s="42"/>
      <c r="D2987" s="42"/>
      <c r="E2987" s="42"/>
      <c r="F2987" s="42"/>
      <c r="G2987" s="42"/>
      <c r="H2987" s="42"/>
      <c r="I2987" s="42"/>
      <c r="J2987" s="42"/>
      <c r="K2987" s="42"/>
      <c r="L2987" s="42"/>
      <c r="M2987" s="42"/>
    </row>
    <row r="2988" spans="1:13" x14ac:dyDescent="0.2">
      <c r="A2988" s="42"/>
      <c r="B2988" s="42"/>
      <c r="C2988" s="42"/>
      <c r="D2988" s="42"/>
      <c r="E2988" s="42"/>
      <c r="F2988" s="42"/>
      <c r="G2988" s="42"/>
      <c r="H2988" s="42"/>
      <c r="I2988" s="42"/>
      <c r="J2988" s="42"/>
      <c r="K2988" s="42"/>
      <c r="L2988" s="42"/>
      <c r="M2988" s="42"/>
    </row>
    <row r="2989" spans="1:13" x14ac:dyDescent="0.2">
      <c r="A2989" s="42"/>
      <c r="B2989" s="42"/>
      <c r="C2989" s="42"/>
      <c r="D2989" s="42"/>
      <c r="E2989" s="42"/>
      <c r="F2989" s="42"/>
      <c r="G2989" s="42"/>
      <c r="H2989" s="42"/>
      <c r="I2989" s="42"/>
      <c r="J2989" s="42"/>
      <c r="K2989" s="42"/>
      <c r="L2989" s="42"/>
      <c r="M2989" s="42"/>
    </row>
    <row r="2990" spans="1:13" x14ac:dyDescent="0.2">
      <c r="A2990" s="42"/>
      <c r="B2990" s="42"/>
      <c r="C2990" s="42"/>
      <c r="D2990" s="42"/>
      <c r="E2990" s="42"/>
      <c r="F2990" s="42"/>
      <c r="G2990" s="42"/>
      <c r="H2990" s="42"/>
      <c r="I2990" s="42"/>
      <c r="J2990" s="42"/>
      <c r="K2990" s="42"/>
      <c r="L2990" s="42"/>
      <c r="M2990" s="42"/>
    </row>
    <row r="2991" spans="1:13" x14ac:dyDescent="0.2">
      <c r="A2991" s="42"/>
      <c r="B2991" s="42"/>
      <c r="C2991" s="42"/>
      <c r="D2991" s="42"/>
      <c r="E2991" s="42"/>
      <c r="F2991" s="42"/>
      <c r="G2991" s="42"/>
      <c r="H2991" s="42"/>
      <c r="I2991" s="42"/>
      <c r="J2991" s="42"/>
      <c r="K2991" s="42"/>
      <c r="L2991" s="42"/>
      <c r="M2991" s="42"/>
    </row>
    <row r="2992" spans="1:13" x14ac:dyDescent="0.2">
      <c r="A2992" s="42"/>
      <c r="B2992" s="42"/>
      <c r="C2992" s="42"/>
      <c r="D2992" s="42"/>
      <c r="E2992" s="42"/>
      <c r="F2992" s="42"/>
      <c r="G2992" s="42"/>
      <c r="H2992" s="42"/>
      <c r="I2992" s="42"/>
      <c r="J2992" s="42"/>
      <c r="K2992" s="42"/>
      <c r="L2992" s="42"/>
      <c r="M2992" s="42"/>
    </row>
    <row r="2993" spans="1:13" x14ac:dyDescent="0.2">
      <c r="A2993" s="42"/>
      <c r="B2993" s="42"/>
      <c r="C2993" s="42"/>
      <c r="D2993" s="42"/>
      <c r="E2993" s="42"/>
      <c r="F2993" s="42"/>
      <c r="G2993" s="42"/>
      <c r="H2993" s="42"/>
      <c r="I2993" s="42"/>
      <c r="J2993" s="42"/>
      <c r="K2993" s="42"/>
      <c r="L2993" s="42"/>
      <c r="M2993" s="42"/>
    </row>
    <row r="2994" spans="1:13" x14ac:dyDescent="0.2">
      <c r="A2994" s="42"/>
      <c r="B2994" s="42"/>
      <c r="C2994" s="42"/>
      <c r="D2994" s="42"/>
      <c r="E2994" s="42"/>
      <c r="F2994" s="42"/>
      <c r="G2994" s="42"/>
      <c r="H2994" s="42"/>
      <c r="I2994" s="42"/>
      <c r="J2994" s="42"/>
      <c r="K2994" s="42"/>
      <c r="L2994" s="42"/>
      <c r="M2994" s="42"/>
    </row>
    <row r="2995" spans="1:13" x14ac:dyDescent="0.2">
      <c r="A2995" s="42"/>
      <c r="B2995" s="42"/>
      <c r="C2995" s="42"/>
      <c r="D2995" s="42"/>
      <c r="E2995" s="42"/>
      <c r="F2995" s="42"/>
      <c r="G2995" s="42"/>
      <c r="H2995" s="42"/>
      <c r="I2995" s="42"/>
      <c r="J2995" s="42"/>
      <c r="K2995" s="42"/>
      <c r="L2995" s="42"/>
      <c r="M2995" s="42"/>
    </row>
    <row r="2996" spans="1:13" x14ac:dyDescent="0.2">
      <c r="A2996" s="42"/>
      <c r="B2996" s="42"/>
      <c r="C2996" s="42"/>
      <c r="D2996" s="42"/>
      <c r="E2996" s="42"/>
      <c r="F2996" s="42"/>
      <c r="G2996" s="42"/>
      <c r="H2996" s="42"/>
      <c r="I2996" s="42"/>
      <c r="J2996" s="42"/>
      <c r="K2996" s="42"/>
      <c r="L2996" s="42"/>
      <c r="M2996" s="42"/>
    </row>
    <row r="2997" spans="1:13" x14ac:dyDescent="0.2">
      <c r="A2997" s="42"/>
      <c r="B2997" s="42"/>
      <c r="C2997" s="42"/>
      <c r="D2997" s="42"/>
      <c r="E2997" s="42"/>
      <c r="F2997" s="42"/>
      <c r="G2997" s="42"/>
      <c r="H2997" s="42"/>
      <c r="I2997" s="42"/>
      <c r="J2997" s="42"/>
      <c r="K2997" s="42"/>
      <c r="L2997" s="42"/>
      <c r="M2997" s="42"/>
    </row>
    <row r="2998" spans="1:13" x14ac:dyDescent="0.2">
      <c r="A2998" s="42"/>
      <c r="B2998" s="42"/>
      <c r="C2998" s="42"/>
      <c r="D2998" s="42"/>
      <c r="E2998" s="42"/>
      <c r="F2998" s="42"/>
      <c r="G2998" s="42"/>
      <c r="H2998" s="42"/>
      <c r="I2998" s="42"/>
      <c r="J2998" s="42"/>
      <c r="K2998" s="42"/>
      <c r="L2998" s="42"/>
      <c r="M2998" s="42"/>
    </row>
    <row r="2999" spans="1:13" x14ac:dyDescent="0.2">
      <c r="A2999" s="42"/>
      <c r="B2999" s="42"/>
      <c r="C2999" s="42"/>
      <c r="D2999" s="42"/>
      <c r="E2999" s="42"/>
      <c r="F2999" s="42"/>
      <c r="G2999" s="42"/>
      <c r="H2999" s="42"/>
      <c r="I2999" s="42"/>
      <c r="J2999" s="42"/>
      <c r="K2999" s="42"/>
      <c r="L2999" s="42"/>
      <c r="M2999" s="42"/>
    </row>
    <row r="3000" spans="1:13" x14ac:dyDescent="0.2">
      <c r="A3000" s="42"/>
      <c r="B3000" s="42"/>
      <c r="C3000" s="42"/>
      <c r="D3000" s="42"/>
      <c r="E3000" s="42"/>
      <c r="F3000" s="42"/>
      <c r="G3000" s="42"/>
      <c r="H3000" s="42"/>
      <c r="I3000" s="42"/>
      <c r="J3000" s="42"/>
      <c r="K3000" s="42"/>
      <c r="L3000" s="42"/>
      <c r="M3000" s="42"/>
    </row>
    <row r="3001" spans="1:13" x14ac:dyDescent="0.2">
      <c r="A3001" s="42"/>
      <c r="B3001" s="42"/>
      <c r="C3001" s="42"/>
      <c r="D3001" s="42"/>
      <c r="E3001" s="42"/>
      <c r="F3001" s="42"/>
      <c r="G3001" s="42"/>
      <c r="H3001" s="42"/>
      <c r="I3001" s="42"/>
      <c r="J3001" s="42"/>
      <c r="K3001" s="42"/>
      <c r="L3001" s="42"/>
      <c r="M3001" s="42"/>
    </row>
    <row r="3002" spans="1:13" x14ac:dyDescent="0.2">
      <c r="A3002" s="42"/>
      <c r="B3002" s="42"/>
      <c r="C3002" s="42"/>
      <c r="D3002" s="42"/>
      <c r="E3002" s="42"/>
      <c r="F3002" s="42"/>
      <c r="G3002" s="42"/>
      <c r="H3002" s="42"/>
      <c r="I3002" s="42"/>
      <c r="J3002" s="42"/>
      <c r="K3002" s="42"/>
      <c r="L3002" s="42"/>
      <c r="M3002" s="42"/>
    </row>
    <row r="3003" spans="1:13" x14ac:dyDescent="0.2">
      <c r="A3003" s="42"/>
      <c r="B3003" s="42"/>
      <c r="C3003" s="42"/>
      <c r="D3003" s="42"/>
      <c r="E3003" s="42"/>
      <c r="F3003" s="42"/>
      <c r="G3003" s="42"/>
      <c r="H3003" s="42"/>
      <c r="I3003" s="42"/>
      <c r="J3003" s="42"/>
      <c r="K3003" s="42"/>
      <c r="L3003" s="42"/>
      <c r="M3003" s="42"/>
    </row>
    <row r="3004" spans="1:13" x14ac:dyDescent="0.2">
      <c r="A3004" s="42"/>
      <c r="B3004" s="42"/>
      <c r="C3004" s="42"/>
      <c r="D3004" s="42"/>
      <c r="E3004" s="42"/>
      <c r="F3004" s="42"/>
      <c r="G3004" s="42"/>
      <c r="H3004" s="42"/>
      <c r="I3004" s="42"/>
      <c r="J3004" s="42"/>
      <c r="K3004" s="42"/>
      <c r="L3004" s="42"/>
      <c r="M3004" s="42"/>
    </row>
    <row r="3005" spans="1:13" x14ac:dyDescent="0.2">
      <c r="A3005" s="42"/>
      <c r="B3005" s="42"/>
      <c r="C3005" s="42"/>
      <c r="D3005" s="42"/>
      <c r="E3005" s="42"/>
      <c r="F3005" s="42"/>
      <c r="G3005" s="42"/>
      <c r="H3005" s="42"/>
      <c r="I3005" s="42"/>
      <c r="J3005" s="42"/>
      <c r="K3005" s="42"/>
      <c r="L3005" s="42"/>
      <c r="M3005" s="42"/>
    </row>
    <row r="3006" spans="1:13" x14ac:dyDescent="0.2">
      <c r="A3006" s="42"/>
      <c r="B3006" s="42"/>
      <c r="C3006" s="42"/>
      <c r="D3006" s="42"/>
      <c r="E3006" s="42"/>
      <c r="F3006" s="42"/>
      <c r="G3006" s="42"/>
      <c r="H3006" s="42"/>
      <c r="I3006" s="42"/>
      <c r="J3006" s="42"/>
      <c r="K3006" s="42"/>
      <c r="L3006" s="42"/>
      <c r="M3006" s="42"/>
    </row>
    <row r="3007" spans="1:13" x14ac:dyDescent="0.2">
      <c r="A3007" s="42"/>
      <c r="B3007" s="42"/>
      <c r="C3007" s="42"/>
      <c r="D3007" s="42"/>
      <c r="E3007" s="42"/>
      <c r="F3007" s="42"/>
      <c r="G3007" s="42"/>
      <c r="H3007" s="42"/>
      <c r="I3007" s="42"/>
      <c r="J3007" s="42"/>
      <c r="K3007" s="42"/>
      <c r="L3007" s="42"/>
      <c r="M3007" s="42"/>
    </row>
    <row r="3008" spans="1:13" x14ac:dyDescent="0.2">
      <c r="A3008" s="42"/>
      <c r="B3008" s="42"/>
      <c r="C3008" s="42"/>
      <c r="D3008" s="42"/>
      <c r="E3008" s="42"/>
      <c r="F3008" s="42"/>
      <c r="G3008" s="42"/>
      <c r="H3008" s="42"/>
      <c r="I3008" s="42"/>
      <c r="J3008" s="42"/>
      <c r="K3008" s="42"/>
      <c r="L3008" s="42"/>
      <c r="M3008" s="42"/>
    </row>
    <row r="3009" spans="1:13" x14ac:dyDescent="0.2">
      <c r="A3009" s="42"/>
      <c r="B3009" s="42"/>
      <c r="C3009" s="42"/>
      <c r="D3009" s="42"/>
      <c r="E3009" s="42"/>
      <c r="F3009" s="42"/>
      <c r="G3009" s="42"/>
      <c r="H3009" s="42"/>
      <c r="I3009" s="42"/>
      <c r="J3009" s="42"/>
      <c r="K3009" s="42"/>
      <c r="L3009" s="42"/>
      <c r="M3009" s="42"/>
    </row>
    <row r="3010" spans="1:13" x14ac:dyDescent="0.2">
      <c r="A3010" s="42"/>
      <c r="B3010" s="42"/>
      <c r="C3010" s="42"/>
      <c r="D3010" s="42"/>
      <c r="E3010" s="42"/>
      <c r="F3010" s="42"/>
      <c r="G3010" s="42"/>
      <c r="H3010" s="42"/>
      <c r="I3010" s="42"/>
      <c r="J3010" s="42"/>
      <c r="K3010" s="42"/>
      <c r="L3010" s="42"/>
      <c r="M3010" s="42"/>
    </row>
    <row r="3011" spans="1:13" x14ac:dyDescent="0.2">
      <c r="A3011" s="42"/>
      <c r="B3011" s="42"/>
      <c r="C3011" s="42"/>
      <c r="D3011" s="42"/>
      <c r="E3011" s="42"/>
      <c r="F3011" s="42"/>
      <c r="G3011" s="42"/>
      <c r="H3011" s="42"/>
      <c r="I3011" s="42"/>
      <c r="J3011" s="42"/>
      <c r="K3011" s="42"/>
      <c r="L3011" s="42"/>
      <c r="M3011" s="42"/>
    </row>
    <row r="3012" spans="1:13" x14ac:dyDescent="0.2">
      <c r="A3012" s="42"/>
      <c r="B3012" s="42"/>
      <c r="C3012" s="42"/>
      <c r="D3012" s="42"/>
      <c r="E3012" s="42"/>
      <c r="F3012" s="42"/>
      <c r="G3012" s="42"/>
      <c r="H3012" s="42"/>
      <c r="I3012" s="42"/>
      <c r="J3012" s="42"/>
      <c r="K3012" s="42"/>
      <c r="L3012" s="42"/>
      <c r="M3012" s="42"/>
    </row>
    <row r="3013" spans="1:13" x14ac:dyDescent="0.2">
      <c r="A3013" s="42"/>
      <c r="B3013" s="42"/>
      <c r="C3013" s="42"/>
      <c r="D3013" s="42"/>
      <c r="E3013" s="42"/>
      <c r="F3013" s="42"/>
      <c r="G3013" s="42"/>
      <c r="H3013" s="42"/>
      <c r="I3013" s="42"/>
      <c r="J3013" s="42"/>
      <c r="K3013" s="42"/>
      <c r="L3013" s="42"/>
      <c r="M3013" s="42"/>
    </row>
    <row r="3014" spans="1:13" x14ac:dyDescent="0.2">
      <c r="A3014" s="42"/>
      <c r="B3014" s="42"/>
      <c r="C3014" s="42"/>
      <c r="D3014" s="42"/>
      <c r="E3014" s="42"/>
      <c r="F3014" s="42"/>
      <c r="G3014" s="42"/>
      <c r="H3014" s="42"/>
      <c r="I3014" s="42"/>
      <c r="J3014" s="42"/>
      <c r="K3014" s="42"/>
      <c r="L3014" s="42"/>
      <c r="M3014" s="42"/>
    </row>
    <row r="3015" spans="1:13" x14ac:dyDescent="0.2">
      <c r="A3015" s="42"/>
      <c r="B3015" s="42"/>
      <c r="C3015" s="42"/>
      <c r="D3015" s="42"/>
      <c r="E3015" s="42"/>
      <c r="F3015" s="42"/>
      <c r="G3015" s="42"/>
      <c r="H3015" s="42"/>
      <c r="I3015" s="42"/>
      <c r="J3015" s="42"/>
      <c r="K3015" s="42"/>
      <c r="L3015" s="42"/>
      <c r="M3015" s="42"/>
    </row>
    <row r="3016" spans="1:13" x14ac:dyDescent="0.2">
      <c r="A3016" s="42"/>
      <c r="B3016" s="42"/>
      <c r="C3016" s="42"/>
      <c r="D3016" s="42"/>
      <c r="E3016" s="42"/>
      <c r="F3016" s="42"/>
      <c r="G3016" s="42"/>
      <c r="H3016" s="42"/>
      <c r="I3016" s="42"/>
      <c r="J3016" s="42"/>
      <c r="K3016" s="42"/>
      <c r="L3016" s="42"/>
      <c r="M3016" s="42"/>
    </row>
    <row r="3017" spans="1:13" x14ac:dyDescent="0.2">
      <c r="A3017" s="42"/>
      <c r="B3017" s="42"/>
      <c r="C3017" s="42"/>
      <c r="D3017" s="42"/>
      <c r="E3017" s="42"/>
      <c r="F3017" s="42"/>
      <c r="G3017" s="42"/>
      <c r="H3017" s="42"/>
      <c r="I3017" s="42"/>
      <c r="J3017" s="42"/>
      <c r="K3017" s="42"/>
      <c r="L3017" s="42"/>
      <c r="M3017" s="42"/>
    </row>
    <row r="3018" spans="1:13" x14ac:dyDescent="0.2">
      <c r="A3018" s="42"/>
      <c r="B3018" s="42"/>
      <c r="C3018" s="42"/>
      <c r="D3018" s="42"/>
      <c r="E3018" s="42"/>
      <c r="F3018" s="42"/>
      <c r="G3018" s="42"/>
      <c r="H3018" s="42"/>
      <c r="I3018" s="42"/>
      <c r="J3018" s="42"/>
      <c r="K3018" s="42"/>
      <c r="L3018" s="42"/>
      <c r="M3018" s="42"/>
    </row>
    <row r="3019" spans="1:13" x14ac:dyDescent="0.2">
      <c r="A3019" s="42"/>
      <c r="B3019" s="42"/>
      <c r="C3019" s="42"/>
      <c r="D3019" s="42"/>
      <c r="E3019" s="42"/>
      <c r="F3019" s="42"/>
      <c r="G3019" s="42"/>
      <c r="H3019" s="42"/>
      <c r="I3019" s="42"/>
      <c r="J3019" s="42"/>
      <c r="K3019" s="42"/>
      <c r="L3019" s="42"/>
      <c r="M3019" s="42"/>
    </row>
    <row r="3020" spans="1:13" x14ac:dyDescent="0.2">
      <c r="A3020" s="42"/>
      <c r="B3020" s="42"/>
      <c r="C3020" s="42"/>
      <c r="D3020" s="42"/>
      <c r="E3020" s="42"/>
      <c r="F3020" s="42"/>
      <c r="G3020" s="42"/>
      <c r="H3020" s="42"/>
      <c r="I3020" s="42"/>
      <c r="J3020" s="42"/>
      <c r="K3020" s="42"/>
      <c r="L3020" s="42"/>
      <c r="M3020" s="42"/>
    </row>
    <row r="3021" spans="1:13" x14ac:dyDescent="0.2">
      <c r="A3021" s="42"/>
      <c r="B3021" s="42"/>
      <c r="C3021" s="42"/>
      <c r="D3021" s="42"/>
      <c r="E3021" s="42"/>
      <c r="F3021" s="42"/>
      <c r="G3021" s="42"/>
      <c r="H3021" s="42"/>
      <c r="I3021" s="42"/>
      <c r="J3021" s="42"/>
      <c r="K3021" s="42"/>
      <c r="L3021" s="42"/>
      <c r="M3021" s="42"/>
    </row>
    <row r="3022" spans="1:13" x14ac:dyDescent="0.2">
      <c r="A3022" s="42"/>
      <c r="B3022" s="42"/>
      <c r="C3022" s="42"/>
      <c r="D3022" s="42"/>
      <c r="E3022" s="42"/>
      <c r="F3022" s="42"/>
      <c r="G3022" s="42"/>
      <c r="H3022" s="42"/>
      <c r="I3022" s="42"/>
      <c r="J3022" s="42"/>
      <c r="K3022" s="42"/>
      <c r="L3022" s="42"/>
      <c r="M3022" s="42"/>
    </row>
    <row r="3023" spans="1:13" x14ac:dyDescent="0.2">
      <c r="A3023" s="42"/>
      <c r="B3023" s="42"/>
      <c r="C3023" s="42"/>
      <c r="D3023" s="42"/>
      <c r="E3023" s="42"/>
      <c r="F3023" s="42"/>
      <c r="G3023" s="42"/>
      <c r="H3023" s="42"/>
      <c r="I3023" s="42"/>
      <c r="J3023" s="42"/>
      <c r="K3023" s="42"/>
      <c r="L3023" s="42"/>
      <c r="M3023" s="42"/>
    </row>
    <row r="3024" spans="1:13" x14ac:dyDescent="0.2">
      <c r="A3024" s="42"/>
      <c r="B3024" s="42"/>
      <c r="C3024" s="42"/>
      <c r="D3024" s="42"/>
      <c r="E3024" s="42"/>
      <c r="F3024" s="42"/>
      <c r="G3024" s="42"/>
      <c r="H3024" s="42"/>
      <c r="I3024" s="42"/>
      <c r="J3024" s="42"/>
      <c r="K3024" s="42"/>
      <c r="L3024" s="42"/>
      <c r="M3024" s="42"/>
    </row>
    <row r="3025" spans="1:13" x14ac:dyDescent="0.2">
      <c r="A3025" s="42"/>
      <c r="B3025" s="42"/>
      <c r="C3025" s="42"/>
      <c r="D3025" s="42"/>
      <c r="E3025" s="42"/>
      <c r="F3025" s="42"/>
      <c r="G3025" s="42"/>
      <c r="H3025" s="42"/>
      <c r="I3025" s="42"/>
      <c r="J3025" s="42"/>
      <c r="K3025" s="42"/>
      <c r="L3025" s="42"/>
      <c r="M3025" s="42"/>
    </row>
    <row r="3026" spans="1:13" x14ac:dyDescent="0.2">
      <c r="A3026" s="42"/>
      <c r="B3026" s="42"/>
      <c r="C3026" s="42"/>
      <c r="D3026" s="42"/>
      <c r="E3026" s="42"/>
      <c r="F3026" s="42"/>
      <c r="G3026" s="42"/>
      <c r="H3026" s="42"/>
      <c r="I3026" s="42"/>
      <c r="J3026" s="42"/>
      <c r="K3026" s="42"/>
      <c r="L3026" s="42"/>
      <c r="M3026" s="42"/>
    </row>
    <row r="3027" spans="1:13" x14ac:dyDescent="0.2">
      <c r="A3027" s="42"/>
      <c r="B3027" s="42"/>
      <c r="C3027" s="42"/>
      <c r="D3027" s="42"/>
      <c r="E3027" s="42"/>
      <c r="F3027" s="42"/>
      <c r="G3027" s="42"/>
      <c r="H3027" s="42"/>
      <c r="I3027" s="42"/>
      <c r="J3027" s="42"/>
      <c r="K3027" s="42"/>
      <c r="L3027" s="42"/>
      <c r="M3027" s="42"/>
    </row>
    <row r="3028" spans="1:13" x14ac:dyDescent="0.2">
      <c r="A3028" s="42"/>
      <c r="B3028" s="42"/>
      <c r="C3028" s="42"/>
      <c r="D3028" s="42"/>
      <c r="E3028" s="42"/>
      <c r="F3028" s="42"/>
      <c r="G3028" s="42"/>
      <c r="H3028" s="42"/>
      <c r="I3028" s="42"/>
      <c r="J3028" s="42"/>
      <c r="K3028" s="42"/>
      <c r="L3028" s="42"/>
      <c r="M3028" s="42"/>
    </row>
    <row r="3029" spans="1:13" x14ac:dyDescent="0.2">
      <c r="A3029" s="42"/>
      <c r="B3029" s="42"/>
      <c r="C3029" s="42"/>
      <c r="D3029" s="42"/>
      <c r="E3029" s="42"/>
      <c r="F3029" s="42"/>
      <c r="G3029" s="42"/>
      <c r="H3029" s="42"/>
      <c r="I3029" s="42"/>
      <c r="J3029" s="42"/>
      <c r="K3029" s="42"/>
      <c r="L3029" s="42"/>
      <c r="M3029" s="42"/>
    </row>
    <row r="3030" spans="1:13" x14ac:dyDescent="0.2">
      <c r="A3030" s="42"/>
      <c r="B3030" s="42"/>
      <c r="C3030" s="42"/>
      <c r="D3030" s="42"/>
      <c r="E3030" s="42"/>
      <c r="F3030" s="42"/>
      <c r="G3030" s="42"/>
      <c r="H3030" s="42"/>
      <c r="I3030" s="42"/>
      <c r="J3030" s="42"/>
      <c r="K3030" s="42"/>
      <c r="L3030" s="42"/>
      <c r="M3030" s="42"/>
    </row>
    <row r="3031" spans="1:13" x14ac:dyDescent="0.2">
      <c r="A3031" s="42"/>
      <c r="B3031" s="42"/>
      <c r="C3031" s="42"/>
      <c r="D3031" s="42"/>
      <c r="E3031" s="42"/>
      <c r="F3031" s="42"/>
      <c r="G3031" s="42"/>
      <c r="H3031" s="42"/>
      <c r="I3031" s="42"/>
      <c r="J3031" s="42"/>
      <c r="K3031" s="42"/>
      <c r="L3031" s="42"/>
      <c r="M3031" s="42"/>
    </row>
    <row r="3032" spans="1:13" x14ac:dyDescent="0.2">
      <c r="A3032" s="42"/>
      <c r="B3032" s="42"/>
      <c r="C3032" s="42"/>
      <c r="D3032" s="42"/>
      <c r="E3032" s="42"/>
      <c r="F3032" s="42"/>
      <c r="G3032" s="42"/>
      <c r="H3032" s="42"/>
      <c r="I3032" s="42"/>
      <c r="J3032" s="42"/>
      <c r="K3032" s="42"/>
      <c r="L3032" s="42"/>
      <c r="M3032" s="42"/>
    </row>
    <row r="3033" spans="1:13" x14ac:dyDescent="0.2">
      <c r="A3033" s="42"/>
      <c r="B3033" s="42"/>
      <c r="C3033" s="42"/>
      <c r="D3033" s="42"/>
      <c r="E3033" s="42"/>
      <c r="F3033" s="42"/>
      <c r="G3033" s="42"/>
      <c r="H3033" s="42"/>
      <c r="I3033" s="42"/>
      <c r="J3033" s="42"/>
      <c r="K3033" s="42"/>
      <c r="L3033" s="42"/>
      <c r="M3033" s="42"/>
    </row>
    <row r="3034" spans="1:13" x14ac:dyDescent="0.2">
      <c r="A3034" s="42"/>
      <c r="B3034" s="42"/>
      <c r="C3034" s="42"/>
      <c r="D3034" s="42"/>
      <c r="E3034" s="42"/>
      <c r="F3034" s="42"/>
      <c r="G3034" s="42"/>
      <c r="H3034" s="42"/>
      <c r="I3034" s="42"/>
      <c r="J3034" s="42"/>
      <c r="K3034" s="42"/>
      <c r="L3034" s="42"/>
      <c r="M3034" s="42"/>
    </row>
    <row r="3035" spans="1:13" x14ac:dyDescent="0.2">
      <c r="A3035" s="42"/>
      <c r="B3035" s="42"/>
      <c r="C3035" s="42"/>
      <c r="D3035" s="42"/>
      <c r="E3035" s="42"/>
      <c r="F3035" s="42"/>
      <c r="G3035" s="42"/>
      <c r="H3035" s="42"/>
      <c r="I3035" s="42"/>
      <c r="J3035" s="42"/>
      <c r="K3035" s="42"/>
      <c r="L3035" s="42"/>
      <c r="M3035" s="42"/>
    </row>
    <row r="3036" spans="1:13" x14ac:dyDescent="0.2">
      <c r="A3036" s="42"/>
      <c r="B3036" s="42"/>
      <c r="C3036" s="42"/>
      <c r="D3036" s="42"/>
      <c r="E3036" s="42"/>
      <c r="F3036" s="42"/>
      <c r="G3036" s="42"/>
      <c r="H3036" s="42"/>
      <c r="I3036" s="42"/>
      <c r="J3036" s="42"/>
      <c r="K3036" s="42"/>
      <c r="L3036" s="42"/>
      <c r="M3036" s="42"/>
    </row>
    <row r="3037" spans="1:13" x14ac:dyDescent="0.2">
      <c r="A3037" s="42"/>
      <c r="B3037" s="42"/>
      <c r="C3037" s="42"/>
      <c r="D3037" s="42"/>
      <c r="E3037" s="42"/>
      <c r="F3037" s="42"/>
      <c r="G3037" s="42"/>
      <c r="H3037" s="42"/>
      <c r="I3037" s="42"/>
      <c r="J3037" s="42"/>
      <c r="K3037" s="42"/>
      <c r="L3037" s="42"/>
      <c r="M3037" s="42"/>
    </row>
    <row r="3038" spans="1:13" x14ac:dyDescent="0.2">
      <c r="A3038" s="42"/>
      <c r="B3038" s="42"/>
      <c r="C3038" s="42"/>
      <c r="D3038" s="42"/>
      <c r="E3038" s="42"/>
      <c r="F3038" s="42"/>
      <c r="G3038" s="42"/>
      <c r="H3038" s="42"/>
      <c r="I3038" s="42"/>
      <c r="J3038" s="42"/>
      <c r="K3038" s="42"/>
      <c r="L3038" s="42"/>
      <c r="M3038" s="42"/>
    </row>
    <row r="3039" spans="1:13" x14ac:dyDescent="0.2">
      <c r="A3039" s="42"/>
      <c r="B3039" s="42"/>
      <c r="C3039" s="42"/>
      <c r="D3039" s="42"/>
      <c r="E3039" s="42"/>
      <c r="F3039" s="42"/>
      <c r="G3039" s="42"/>
      <c r="H3039" s="42"/>
      <c r="I3039" s="42"/>
      <c r="J3039" s="42"/>
      <c r="K3039" s="42"/>
      <c r="L3039" s="42"/>
      <c r="M3039" s="42"/>
    </row>
    <row r="3040" spans="1:13" x14ac:dyDescent="0.2">
      <c r="A3040" s="42"/>
      <c r="B3040" s="42"/>
      <c r="C3040" s="42"/>
      <c r="D3040" s="42"/>
      <c r="E3040" s="42"/>
      <c r="F3040" s="42"/>
      <c r="G3040" s="42"/>
      <c r="H3040" s="42"/>
      <c r="I3040" s="42"/>
      <c r="J3040" s="42"/>
      <c r="K3040" s="42"/>
      <c r="L3040" s="42"/>
      <c r="M3040" s="42"/>
    </row>
    <row r="3041" spans="1:13" x14ac:dyDescent="0.2">
      <c r="A3041" s="42"/>
      <c r="B3041" s="42"/>
      <c r="C3041" s="42"/>
      <c r="D3041" s="42"/>
      <c r="E3041" s="42"/>
      <c r="F3041" s="42"/>
      <c r="G3041" s="42"/>
      <c r="H3041" s="42"/>
      <c r="I3041" s="42"/>
      <c r="J3041" s="42"/>
      <c r="K3041" s="42"/>
      <c r="L3041" s="42"/>
      <c r="M3041" s="42"/>
    </row>
    <row r="3042" spans="1:13" x14ac:dyDescent="0.2">
      <c r="A3042" s="42"/>
      <c r="B3042" s="42"/>
      <c r="C3042" s="42"/>
      <c r="D3042" s="42"/>
      <c r="E3042" s="42"/>
      <c r="F3042" s="42"/>
      <c r="G3042" s="42"/>
      <c r="H3042" s="42"/>
      <c r="I3042" s="42"/>
      <c r="J3042" s="42"/>
      <c r="K3042" s="42"/>
      <c r="L3042" s="42"/>
      <c r="M3042" s="42"/>
    </row>
    <row r="3043" spans="1:13" x14ac:dyDescent="0.2">
      <c r="A3043" s="42"/>
      <c r="B3043" s="42"/>
      <c r="C3043" s="42"/>
      <c r="D3043" s="42"/>
      <c r="E3043" s="42"/>
      <c r="F3043" s="42"/>
      <c r="G3043" s="42"/>
      <c r="H3043" s="42"/>
      <c r="I3043" s="42"/>
      <c r="J3043" s="42"/>
      <c r="K3043" s="42"/>
      <c r="L3043" s="42"/>
      <c r="M3043" s="42"/>
    </row>
    <row r="3044" spans="1:13" x14ac:dyDescent="0.2">
      <c r="A3044" s="42"/>
      <c r="B3044" s="42"/>
      <c r="C3044" s="42"/>
      <c r="D3044" s="42"/>
      <c r="E3044" s="42"/>
      <c r="F3044" s="42"/>
      <c r="G3044" s="42"/>
      <c r="H3044" s="42"/>
      <c r="I3044" s="42"/>
      <c r="J3044" s="42"/>
      <c r="K3044" s="42"/>
      <c r="L3044" s="42"/>
      <c r="M3044" s="42"/>
    </row>
    <row r="3045" spans="1:13" x14ac:dyDescent="0.2">
      <c r="A3045" s="42"/>
      <c r="B3045" s="42"/>
      <c r="C3045" s="42"/>
      <c r="D3045" s="42"/>
      <c r="E3045" s="42"/>
      <c r="F3045" s="42"/>
      <c r="G3045" s="42"/>
      <c r="H3045" s="42"/>
      <c r="I3045" s="42"/>
      <c r="J3045" s="42"/>
      <c r="K3045" s="42"/>
      <c r="L3045" s="42"/>
      <c r="M3045" s="42"/>
    </row>
    <row r="3046" spans="1:13" x14ac:dyDescent="0.2">
      <c r="A3046" s="42"/>
      <c r="B3046" s="42"/>
      <c r="C3046" s="42"/>
      <c r="D3046" s="42"/>
      <c r="E3046" s="42"/>
      <c r="F3046" s="42"/>
      <c r="G3046" s="42"/>
      <c r="H3046" s="42"/>
      <c r="I3046" s="42"/>
      <c r="J3046" s="42"/>
      <c r="K3046" s="42"/>
      <c r="L3046" s="42"/>
      <c r="M3046" s="42"/>
    </row>
    <row r="3047" spans="1:13" x14ac:dyDescent="0.2">
      <c r="A3047" s="42"/>
      <c r="B3047" s="42"/>
      <c r="C3047" s="42"/>
      <c r="D3047" s="42"/>
      <c r="E3047" s="42"/>
      <c r="F3047" s="42"/>
      <c r="G3047" s="42"/>
      <c r="H3047" s="42"/>
      <c r="I3047" s="42"/>
      <c r="J3047" s="42"/>
      <c r="K3047" s="42"/>
      <c r="L3047" s="42"/>
      <c r="M3047" s="42"/>
    </row>
    <row r="3048" spans="1:13" x14ac:dyDescent="0.2">
      <c r="A3048" s="42"/>
      <c r="B3048" s="42"/>
      <c r="C3048" s="42"/>
      <c r="D3048" s="42"/>
      <c r="E3048" s="42"/>
      <c r="F3048" s="42"/>
      <c r="G3048" s="42"/>
      <c r="H3048" s="42"/>
      <c r="I3048" s="42"/>
      <c r="J3048" s="42"/>
      <c r="K3048" s="42"/>
      <c r="L3048" s="42"/>
      <c r="M3048" s="42"/>
    </row>
    <row r="3049" spans="1:13" x14ac:dyDescent="0.2">
      <c r="A3049" s="42"/>
      <c r="B3049" s="42"/>
      <c r="C3049" s="42"/>
      <c r="D3049" s="42"/>
      <c r="E3049" s="42"/>
      <c r="F3049" s="42"/>
      <c r="G3049" s="42"/>
      <c r="H3049" s="42"/>
      <c r="I3049" s="42"/>
      <c r="J3049" s="42"/>
      <c r="K3049" s="42"/>
      <c r="L3049" s="42"/>
      <c r="M3049" s="42"/>
    </row>
    <row r="3050" spans="1:13" x14ac:dyDescent="0.2">
      <c r="A3050" s="42"/>
      <c r="B3050" s="42"/>
      <c r="C3050" s="42"/>
      <c r="D3050" s="42"/>
      <c r="E3050" s="42"/>
      <c r="F3050" s="42"/>
      <c r="G3050" s="42"/>
      <c r="H3050" s="42"/>
      <c r="I3050" s="42"/>
      <c r="J3050" s="42"/>
      <c r="K3050" s="42"/>
      <c r="L3050" s="42"/>
      <c r="M3050" s="42"/>
    </row>
    <row r="3051" spans="1:13" x14ac:dyDescent="0.2">
      <c r="A3051" s="42"/>
      <c r="B3051" s="42"/>
      <c r="C3051" s="42"/>
      <c r="D3051" s="42"/>
      <c r="E3051" s="42"/>
      <c r="F3051" s="42"/>
      <c r="G3051" s="42"/>
      <c r="H3051" s="42"/>
      <c r="I3051" s="42"/>
      <c r="J3051" s="42"/>
      <c r="K3051" s="42"/>
      <c r="L3051" s="42"/>
      <c r="M3051" s="42"/>
    </row>
    <row r="3052" spans="1:13" x14ac:dyDescent="0.2">
      <c r="A3052" s="42"/>
      <c r="B3052" s="42"/>
      <c r="C3052" s="42"/>
      <c r="D3052" s="42"/>
      <c r="E3052" s="42"/>
      <c r="F3052" s="42"/>
      <c r="G3052" s="42"/>
      <c r="H3052" s="42"/>
      <c r="I3052" s="42"/>
      <c r="J3052" s="42"/>
      <c r="K3052" s="42"/>
      <c r="L3052" s="42"/>
      <c r="M3052" s="42"/>
    </row>
    <row r="3053" spans="1:13" x14ac:dyDescent="0.2">
      <c r="A3053" s="42"/>
      <c r="B3053" s="42"/>
      <c r="C3053" s="42"/>
      <c r="D3053" s="42"/>
      <c r="E3053" s="42"/>
      <c r="F3053" s="42"/>
      <c r="G3053" s="42"/>
      <c r="H3053" s="42"/>
      <c r="I3053" s="42"/>
      <c r="J3053" s="42"/>
      <c r="K3053" s="42"/>
      <c r="L3053" s="42"/>
      <c r="M3053" s="42"/>
    </row>
    <row r="3054" spans="1:13" x14ac:dyDescent="0.2">
      <c r="A3054" s="42"/>
      <c r="B3054" s="42"/>
      <c r="C3054" s="42"/>
      <c r="D3054" s="42"/>
      <c r="E3054" s="42"/>
      <c r="F3054" s="42"/>
      <c r="G3054" s="42"/>
      <c r="H3054" s="42"/>
      <c r="I3054" s="42"/>
      <c r="J3054" s="42"/>
      <c r="K3054" s="42"/>
      <c r="L3054" s="42"/>
      <c r="M3054" s="42"/>
    </row>
    <row r="3055" spans="1:13" x14ac:dyDescent="0.2">
      <c r="A3055" s="42"/>
      <c r="B3055" s="42"/>
      <c r="C3055" s="42"/>
      <c r="D3055" s="42"/>
      <c r="E3055" s="42"/>
      <c r="F3055" s="42"/>
      <c r="G3055" s="42"/>
      <c r="H3055" s="42"/>
      <c r="I3055" s="42"/>
      <c r="J3055" s="42"/>
      <c r="K3055" s="42"/>
      <c r="L3055" s="42"/>
      <c r="M3055" s="42"/>
    </row>
    <row r="3056" spans="1:13" x14ac:dyDescent="0.2">
      <c r="A3056" s="42"/>
      <c r="B3056" s="42"/>
      <c r="C3056" s="42"/>
      <c r="D3056" s="42"/>
      <c r="E3056" s="42"/>
      <c r="F3056" s="42"/>
      <c r="G3056" s="42"/>
      <c r="H3056" s="42"/>
      <c r="I3056" s="42"/>
      <c r="J3056" s="42"/>
      <c r="K3056" s="42"/>
      <c r="L3056" s="42"/>
      <c r="M3056" s="42"/>
    </row>
    <row r="3057" spans="1:13" x14ac:dyDescent="0.2">
      <c r="A3057" s="42"/>
      <c r="B3057" s="42"/>
      <c r="C3057" s="42"/>
      <c r="D3057" s="42"/>
      <c r="E3057" s="42"/>
      <c r="F3057" s="42"/>
      <c r="G3057" s="42"/>
      <c r="H3057" s="42"/>
      <c r="I3057" s="42"/>
      <c r="J3057" s="42"/>
      <c r="K3057" s="42"/>
      <c r="L3057" s="42"/>
      <c r="M3057" s="42"/>
    </row>
    <row r="3058" spans="1:13" x14ac:dyDescent="0.2">
      <c r="A3058" s="42"/>
      <c r="B3058" s="42"/>
      <c r="C3058" s="42"/>
      <c r="D3058" s="42"/>
      <c r="E3058" s="42"/>
      <c r="F3058" s="42"/>
      <c r="G3058" s="42"/>
      <c r="H3058" s="42"/>
      <c r="I3058" s="42"/>
      <c r="J3058" s="42"/>
      <c r="K3058" s="42"/>
      <c r="L3058" s="42"/>
      <c r="M3058" s="42"/>
    </row>
    <row r="3059" spans="1:13" x14ac:dyDescent="0.2">
      <c r="A3059" s="42"/>
      <c r="B3059" s="42"/>
      <c r="C3059" s="42"/>
      <c r="D3059" s="42"/>
      <c r="E3059" s="42"/>
      <c r="F3059" s="42"/>
      <c r="G3059" s="42"/>
      <c r="H3059" s="42"/>
      <c r="I3059" s="42"/>
      <c r="J3059" s="42"/>
      <c r="K3059" s="42"/>
      <c r="L3059" s="42"/>
      <c r="M3059" s="42"/>
    </row>
    <row r="3060" spans="1:13" x14ac:dyDescent="0.2">
      <c r="A3060" s="42"/>
      <c r="B3060" s="42"/>
      <c r="C3060" s="42"/>
      <c r="D3060" s="42"/>
      <c r="E3060" s="42"/>
      <c r="F3060" s="42"/>
      <c r="G3060" s="42"/>
      <c r="H3060" s="42"/>
      <c r="I3060" s="42"/>
      <c r="J3060" s="42"/>
      <c r="K3060" s="42"/>
      <c r="L3060" s="42"/>
      <c r="M3060" s="42"/>
    </row>
    <row r="3061" spans="1:13" x14ac:dyDescent="0.2">
      <c r="A3061" s="42"/>
      <c r="B3061" s="42"/>
      <c r="C3061" s="42"/>
      <c r="D3061" s="42"/>
      <c r="E3061" s="42"/>
      <c r="F3061" s="42"/>
      <c r="G3061" s="42"/>
      <c r="H3061" s="42"/>
      <c r="I3061" s="42"/>
      <c r="J3061" s="42"/>
      <c r="K3061" s="42"/>
      <c r="L3061" s="42"/>
      <c r="M3061" s="42"/>
    </row>
    <row r="3062" spans="1:13" x14ac:dyDescent="0.2">
      <c r="A3062" s="42"/>
      <c r="B3062" s="42"/>
      <c r="C3062" s="42"/>
      <c r="D3062" s="42"/>
      <c r="E3062" s="42"/>
      <c r="F3062" s="42"/>
      <c r="G3062" s="42"/>
      <c r="H3062" s="42"/>
      <c r="I3062" s="42"/>
      <c r="J3062" s="42"/>
      <c r="K3062" s="42"/>
      <c r="L3062" s="42"/>
      <c r="M3062" s="42"/>
    </row>
    <row r="3063" spans="1:13" x14ac:dyDescent="0.2">
      <c r="A3063" s="42"/>
      <c r="B3063" s="42"/>
      <c r="C3063" s="42"/>
      <c r="D3063" s="42"/>
      <c r="E3063" s="42"/>
      <c r="F3063" s="42"/>
      <c r="G3063" s="42"/>
      <c r="H3063" s="42"/>
      <c r="I3063" s="42"/>
      <c r="J3063" s="42"/>
      <c r="K3063" s="42"/>
      <c r="L3063" s="42"/>
      <c r="M3063" s="42"/>
    </row>
    <row r="3064" spans="1:13" x14ac:dyDescent="0.2">
      <c r="A3064" s="42"/>
      <c r="B3064" s="42"/>
      <c r="C3064" s="42"/>
      <c r="D3064" s="42"/>
      <c r="E3064" s="42"/>
      <c r="F3064" s="42"/>
      <c r="G3064" s="42"/>
      <c r="H3064" s="42"/>
      <c r="I3064" s="42"/>
      <c r="J3064" s="42"/>
      <c r="K3064" s="42"/>
      <c r="L3064" s="42"/>
      <c r="M3064" s="42"/>
    </row>
    <row r="3065" spans="1:13" x14ac:dyDescent="0.2">
      <c r="A3065" s="42"/>
      <c r="B3065" s="42"/>
      <c r="C3065" s="42"/>
      <c r="D3065" s="42"/>
      <c r="E3065" s="42"/>
      <c r="F3065" s="42"/>
      <c r="G3065" s="42"/>
      <c r="H3065" s="42"/>
      <c r="I3065" s="42"/>
      <c r="J3065" s="42"/>
      <c r="K3065" s="42"/>
      <c r="L3065" s="42"/>
      <c r="M3065" s="42"/>
    </row>
    <row r="3066" spans="1:13" x14ac:dyDescent="0.2">
      <c r="A3066" s="42"/>
      <c r="B3066" s="42"/>
      <c r="C3066" s="42"/>
      <c r="D3066" s="42"/>
      <c r="E3066" s="42"/>
      <c r="F3066" s="42"/>
      <c r="G3066" s="42"/>
      <c r="H3066" s="42"/>
      <c r="I3066" s="42"/>
      <c r="J3066" s="42"/>
      <c r="K3066" s="42"/>
      <c r="L3066" s="42"/>
      <c r="M3066" s="42"/>
    </row>
    <row r="3067" spans="1:13" x14ac:dyDescent="0.2">
      <c r="A3067" s="42"/>
      <c r="B3067" s="42"/>
      <c r="C3067" s="42"/>
      <c r="D3067" s="42"/>
      <c r="E3067" s="42"/>
      <c r="F3067" s="42"/>
      <c r="G3067" s="42"/>
      <c r="H3067" s="42"/>
      <c r="I3067" s="42"/>
      <c r="J3067" s="42"/>
      <c r="K3067" s="42"/>
      <c r="L3067" s="42"/>
      <c r="M3067" s="42"/>
    </row>
    <row r="3068" spans="1:13" x14ac:dyDescent="0.2">
      <c r="A3068" s="42"/>
      <c r="B3068" s="42"/>
      <c r="C3068" s="42"/>
      <c r="D3068" s="42"/>
      <c r="E3068" s="42"/>
      <c r="F3068" s="42"/>
      <c r="G3068" s="42"/>
      <c r="H3068" s="42"/>
      <c r="I3068" s="42"/>
      <c r="J3068" s="42"/>
      <c r="K3068" s="42"/>
      <c r="L3068" s="42"/>
      <c r="M3068" s="42"/>
    </row>
    <row r="3069" spans="1:13" x14ac:dyDescent="0.2">
      <c r="A3069" s="42"/>
      <c r="B3069" s="42"/>
      <c r="C3069" s="42"/>
      <c r="D3069" s="42"/>
      <c r="E3069" s="42"/>
      <c r="F3069" s="42"/>
      <c r="G3069" s="42"/>
      <c r="H3069" s="42"/>
      <c r="I3069" s="42"/>
      <c r="J3069" s="42"/>
      <c r="K3069" s="42"/>
      <c r="L3069" s="42"/>
      <c r="M3069" s="42"/>
    </row>
    <row r="3070" spans="1:13" x14ac:dyDescent="0.2">
      <c r="A3070" s="42"/>
      <c r="B3070" s="42"/>
      <c r="C3070" s="42"/>
      <c r="D3070" s="42"/>
      <c r="E3070" s="42"/>
      <c r="F3070" s="42"/>
      <c r="G3070" s="42"/>
      <c r="H3070" s="42"/>
      <c r="I3070" s="42"/>
      <c r="J3070" s="42"/>
      <c r="K3070" s="42"/>
      <c r="L3070" s="42"/>
      <c r="M3070" s="42"/>
    </row>
    <row r="3071" spans="1:13" x14ac:dyDescent="0.2">
      <c r="A3071" s="42"/>
      <c r="B3071" s="42"/>
      <c r="C3071" s="42"/>
      <c r="D3071" s="42"/>
      <c r="E3071" s="42"/>
      <c r="F3071" s="42"/>
      <c r="G3071" s="42"/>
      <c r="H3071" s="42"/>
      <c r="I3071" s="42"/>
      <c r="J3071" s="42"/>
      <c r="K3071" s="42"/>
      <c r="L3071" s="42"/>
      <c r="M3071" s="42"/>
    </row>
    <row r="3072" spans="1:13" x14ac:dyDescent="0.2">
      <c r="A3072" s="42"/>
      <c r="B3072" s="42"/>
      <c r="C3072" s="42"/>
      <c r="D3072" s="42"/>
      <c r="E3072" s="42"/>
      <c r="F3072" s="42"/>
      <c r="G3072" s="42"/>
      <c r="H3072" s="42"/>
      <c r="I3072" s="42"/>
      <c r="J3072" s="42"/>
      <c r="K3072" s="42"/>
      <c r="L3072" s="42"/>
      <c r="M3072" s="42"/>
    </row>
    <row r="3073" spans="1:13" x14ac:dyDescent="0.2">
      <c r="A3073" s="42"/>
      <c r="B3073" s="42"/>
      <c r="C3073" s="42"/>
      <c r="D3073" s="42"/>
      <c r="E3073" s="42"/>
      <c r="F3073" s="42"/>
      <c r="G3073" s="42"/>
      <c r="H3073" s="42"/>
      <c r="I3073" s="42"/>
      <c r="J3073" s="42"/>
      <c r="K3073" s="42"/>
      <c r="L3073" s="42"/>
      <c r="M3073" s="42"/>
    </row>
    <row r="3074" spans="1:13" x14ac:dyDescent="0.2">
      <c r="A3074" s="42"/>
      <c r="B3074" s="42"/>
      <c r="C3074" s="42"/>
      <c r="D3074" s="42"/>
      <c r="E3074" s="42"/>
      <c r="F3074" s="42"/>
      <c r="G3074" s="42"/>
      <c r="H3074" s="42"/>
      <c r="I3074" s="42"/>
      <c r="J3074" s="42"/>
      <c r="K3074" s="42"/>
      <c r="L3074" s="42"/>
      <c r="M3074" s="42"/>
    </row>
    <row r="3075" spans="1:13" x14ac:dyDescent="0.2">
      <c r="A3075" s="42"/>
      <c r="B3075" s="42"/>
      <c r="C3075" s="42"/>
      <c r="D3075" s="42"/>
      <c r="E3075" s="42"/>
      <c r="F3075" s="42"/>
      <c r="G3075" s="42"/>
      <c r="H3075" s="42"/>
      <c r="I3075" s="42"/>
      <c r="J3075" s="42"/>
      <c r="K3075" s="42"/>
      <c r="L3075" s="42"/>
      <c r="M3075" s="42"/>
    </row>
    <row r="3076" spans="1:13" x14ac:dyDescent="0.2">
      <c r="A3076" s="42"/>
      <c r="B3076" s="42"/>
      <c r="C3076" s="42"/>
      <c r="D3076" s="42"/>
      <c r="E3076" s="42"/>
      <c r="F3076" s="42"/>
      <c r="G3076" s="42"/>
      <c r="H3076" s="42"/>
      <c r="I3076" s="42"/>
      <c r="J3076" s="42"/>
      <c r="K3076" s="42"/>
      <c r="L3076" s="42"/>
      <c r="M3076" s="42"/>
    </row>
    <row r="3077" spans="1:13" x14ac:dyDescent="0.2">
      <c r="A3077" s="42"/>
      <c r="B3077" s="42"/>
      <c r="C3077" s="42"/>
      <c r="D3077" s="42"/>
      <c r="E3077" s="42"/>
      <c r="F3077" s="42"/>
      <c r="G3077" s="42"/>
      <c r="H3077" s="42"/>
      <c r="I3077" s="42"/>
      <c r="J3077" s="42"/>
      <c r="K3077" s="42"/>
      <c r="L3077" s="42"/>
      <c r="M3077" s="42"/>
    </row>
    <row r="3078" spans="1:13" x14ac:dyDescent="0.2">
      <c r="A3078" s="42"/>
      <c r="B3078" s="42"/>
      <c r="C3078" s="42"/>
      <c r="D3078" s="42"/>
      <c r="E3078" s="42"/>
      <c r="F3078" s="42"/>
      <c r="G3078" s="42"/>
      <c r="H3078" s="42"/>
      <c r="I3078" s="42"/>
      <c r="J3078" s="42"/>
      <c r="K3078" s="42"/>
      <c r="L3078" s="42"/>
      <c r="M3078" s="42"/>
    </row>
    <row r="3079" spans="1:13" x14ac:dyDescent="0.2">
      <c r="A3079" s="42"/>
      <c r="B3079" s="42"/>
      <c r="C3079" s="42"/>
      <c r="D3079" s="42"/>
      <c r="E3079" s="42"/>
      <c r="F3079" s="42"/>
      <c r="G3079" s="42"/>
      <c r="H3079" s="42"/>
      <c r="I3079" s="42"/>
      <c r="J3079" s="42"/>
      <c r="K3079" s="42"/>
      <c r="L3079" s="42"/>
      <c r="M3079" s="42"/>
    </row>
    <row r="3080" spans="1:13" x14ac:dyDescent="0.2">
      <c r="A3080" s="42"/>
      <c r="B3080" s="42"/>
      <c r="C3080" s="42"/>
      <c r="D3080" s="42"/>
      <c r="E3080" s="42"/>
      <c r="F3080" s="42"/>
      <c r="G3080" s="42"/>
      <c r="H3080" s="42"/>
      <c r="I3080" s="42"/>
      <c r="J3080" s="42"/>
      <c r="K3080" s="42"/>
      <c r="L3080" s="42"/>
      <c r="M3080" s="42"/>
    </row>
    <row r="3081" spans="1:13" x14ac:dyDescent="0.2">
      <c r="A3081" s="42"/>
      <c r="B3081" s="42"/>
      <c r="C3081" s="42"/>
      <c r="D3081" s="42"/>
      <c r="E3081" s="42"/>
      <c r="F3081" s="42"/>
      <c r="G3081" s="42"/>
      <c r="H3081" s="42"/>
      <c r="I3081" s="42"/>
      <c r="J3081" s="42"/>
      <c r="K3081" s="42"/>
      <c r="L3081" s="42"/>
      <c r="M3081" s="42"/>
    </row>
    <row r="3082" spans="1:13" x14ac:dyDescent="0.2">
      <c r="A3082" s="42"/>
      <c r="B3082" s="42"/>
      <c r="C3082" s="42"/>
      <c r="D3082" s="42"/>
      <c r="E3082" s="42"/>
      <c r="F3082" s="42"/>
      <c r="G3082" s="42"/>
      <c r="H3082" s="42"/>
      <c r="I3082" s="42"/>
      <c r="J3082" s="42"/>
      <c r="K3082" s="42"/>
      <c r="L3082" s="42"/>
      <c r="M3082" s="42"/>
    </row>
    <row r="3083" spans="1:13" x14ac:dyDescent="0.2">
      <c r="A3083" s="42"/>
      <c r="B3083" s="42"/>
      <c r="C3083" s="42"/>
      <c r="D3083" s="42"/>
      <c r="E3083" s="42"/>
      <c r="F3083" s="42"/>
      <c r="G3083" s="42"/>
      <c r="H3083" s="42"/>
      <c r="I3083" s="42"/>
      <c r="J3083" s="42"/>
      <c r="K3083" s="42"/>
      <c r="L3083" s="42"/>
      <c r="M3083" s="42"/>
    </row>
    <row r="3084" spans="1:13" x14ac:dyDescent="0.2">
      <c r="A3084" s="42"/>
      <c r="B3084" s="42"/>
      <c r="C3084" s="42"/>
      <c r="D3084" s="42"/>
      <c r="E3084" s="42"/>
      <c r="F3084" s="42"/>
      <c r="G3084" s="42"/>
      <c r="H3084" s="42"/>
      <c r="I3084" s="42"/>
      <c r="J3084" s="42"/>
      <c r="K3084" s="42"/>
      <c r="L3084" s="42"/>
      <c r="M3084" s="42"/>
    </row>
    <row r="3085" spans="1:13" x14ac:dyDescent="0.2">
      <c r="A3085" s="42"/>
      <c r="B3085" s="42"/>
      <c r="C3085" s="42"/>
      <c r="D3085" s="42"/>
      <c r="E3085" s="42"/>
      <c r="F3085" s="42"/>
      <c r="G3085" s="42"/>
      <c r="H3085" s="42"/>
      <c r="I3085" s="42"/>
      <c r="J3085" s="42"/>
      <c r="K3085" s="42"/>
      <c r="L3085" s="42"/>
      <c r="M3085" s="42"/>
    </row>
    <row r="3086" spans="1:13" x14ac:dyDescent="0.2">
      <c r="A3086" s="42"/>
      <c r="B3086" s="42"/>
      <c r="C3086" s="42"/>
      <c r="D3086" s="42"/>
      <c r="E3086" s="42"/>
      <c r="F3086" s="42"/>
      <c r="G3086" s="42"/>
      <c r="H3086" s="42"/>
      <c r="I3086" s="42"/>
      <c r="J3086" s="42"/>
      <c r="K3086" s="42"/>
      <c r="L3086" s="42"/>
      <c r="M3086" s="42"/>
    </row>
    <row r="3087" spans="1:13" x14ac:dyDescent="0.2">
      <c r="A3087" s="42"/>
      <c r="B3087" s="42"/>
      <c r="C3087" s="42"/>
      <c r="D3087" s="42"/>
      <c r="E3087" s="42"/>
      <c r="F3087" s="42"/>
      <c r="G3087" s="42"/>
      <c r="H3087" s="42"/>
      <c r="I3087" s="42"/>
      <c r="J3087" s="42"/>
      <c r="K3087" s="42"/>
      <c r="L3087" s="42"/>
      <c r="M3087" s="42"/>
    </row>
    <row r="3088" spans="1:13" x14ac:dyDescent="0.2">
      <c r="A3088" s="42"/>
      <c r="B3088" s="42"/>
      <c r="C3088" s="42"/>
      <c r="D3088" s="42"/>
      <c r="E3088" s="42"/>
      <c r="F3088" s="42"/>
      <c r="G3088" s="42"/>
      <c r="H3088" s="42"/>
      <c r="I3088" s="42"/>
      <c r="J3088" s="42"/>
      <c r="K3088" s="42"/>
      <c r="L3088" s="42"/>
      <c r="M3088" s="42"/>
    </row>
    <row r="3089" spans="1:13" x14ac:dyDescent="0.2">
      <c r="A3089" s="42"/>
      <c r="B3089" s="42"/>
      <c r="C3089" s="42"/>
      <c r="D3089" s="42"/>
      <c r="E3089" s="42"/>
      <c r="F3089" s="42"/>
      <c r="G3089" s="42"/>
      <c r="H3089" s="42"/>
      <c r="I3089" s="42"/>
      <c r="J3089" s="42"/>
      <c r="K3089" s="42"/>
      <c r="L3089" s="42"/>
      <c r="M3089" s="42"/>
    </row>
    <row r="3090" spans="1:13" x14ac:dyDescent="0.2">
      <c r="A3090" s="42"/>
      <c r="B3090" s="42"/>
      <c r="C3090" s="42"/>
      <c r="D3090" s="42"/>
      <c r="E3090" s="42"/>
      <c r="F3090" s="42"/>
      <c r="G3090" s="42"/>
      <c r="H3090" s="42"/>
      <c r="I3090" s="42"/>
      <c r="J3090" s="42"/>
      <c r="K3090" s="42"/>
      <c r="L3090" s="42"/>
      <c r="M3090" s="42"/>
    </row>
    <row r="3091" spans="1:13" x14ac:dyDescent="0.2">
      <c r="A3091" s="42"/>
      <c r="B3091" s="42"/>
      <c r="C3091" s="42"/>
      <c r="D3091" s="42"/>
      <c r="E3091" s="42"/>
      <c r="F3091" s="42"/>
      <c r="G3091" s="42"/>
      <c r="H3091" s="42"/>
      <c r="I3091" s="42"/>
      <c r="J3091" s="42"/>
      <c r="K3091" s="42"/>
      <c r="L3091" s="42"/>
      <c r="M3091" s="42"/>
    </row>
    <row r="3092" spans="1:13" x14ac:dyDescent="0.2">
      <c r="A3092" s="42"/>
      <c r="B3092" s="42"/>
      <c r="C3092" s="42"/>
      <c r="D3092" s="42"/>
      <c r="E3092" s="42"/>
      <c r="F3092" s="42"/>
      <c r="G3092" s="42"/>
      <c r="H3092" s="42"/>
      <c r="I3092" s="42"/>
      <c r="J3092" s="42"/>
      <c r="K3092" s="42"/>
      <c r="L3092" s="42"/>
      <c r="M3092" s="42"/>
    </row>
    <row r="3093" spans="1:13" x14ac:dyDescent="0.2">
      <c r="A3093" s="42"/>
      <c r="B3093" s="42"/>
      <c r="C3093" s="42"/>
      <c r="D3093" s="42"/>
      <c r="E3093" s="42"/>
      <c r="F3093" s="42"/>
      <c r="G3093" s="42"/>
      <c r="H3093" s="42"/>
      <c r="I3093" s="42"/>
      <c r="J3093" s="42"/>
      <c r="K3093" s="42"/>
      <c r="L3093" s="42"/>
      <c r="M3093" s="42"/>
    </row>
    <row r="3094" spans="1:13" x14ac:dyDescent="0.2">
      <c r="A3094" s="42"/>
      <c r="B3094" s="42"/>
      <c r="C3094" s="42"/>
      <c r="D3094" s="42"/>
      <c r="E3094" s="42"/>
      <c r="F3094" s="42"/>
      <c r="G3094" s="42"/>
      <c r="H3094" s="42"/>
      <c r="I3094" s="42"/>
      <c r="J3094" s="42"/>
      <c r="K3094" s="42"/>
      <c r="L3094" s="42"/>
      <c r="M3094" s="42"/>
    </row>
    <row r="3095" spans="1:13" x14ac:dyDescent="0.2">
      <c r="A3095" s="42"/>
      <c r="B3095" s="42"/>
      <c r="C3095" s="42"/>
      <c r="D3095" s="42"/>
      <c r="E3095" s="42"/>
      <c r="F3095" s="42"/>
      <c r="G3095" s="42"/>
      <c r="H3095" s="42"/>
      <c r="I3095" s="42"/>
      <c r="J3095" s="42"/>
      <c r="K3095" s="42"/>
      <c r="L3095" s="42"/>
      <c r="M3095" s="42"/>
    </row>
    <row r="3096" spans="1:13" x14ac:dyDescent="0.2">
      <c r="A3096" s="42"/>
      <c r="B3096" s="42"/>
      <c r="C3096" s="42"/>
      <c r="D3096" s="42"/>
      <c r="E3096" s="42"/>
      <c r="F3096" s="42"/>
      <c r="G3096" s="42"/>
      <c r="H3096" s="42"/>
      <c r="I3096" s="42"/>
      <c r="J3096" s="42"/>
      <c r="K3096" s="42"/>
      <c r="L3096" s="42"/>
      <c r="M3096" s="42"/>
    </row>
    <row r="3097" spans="1:13" x14ac:dyDescent="0.2">
      <c r="A3097" s="42"/>
      <c r="B3097" s="42"/>
      <c r="C3097" s="42"/>
      <c r="D3097" s="42"/>
      <c r="E3097" s="42"/>
      <c r="F3097" s="42"/>
      <c r="G3097" s="42"/>
      <c r="H3097" s="42"/>
      <c r="I3097" s="42"/>
      <c r="J3097" s="42"/>
      <c r="K3097" s="42"/>
      <c r="L3097" s="42"/>
      <c r="M3097" s="42"/>
    </row>
    <row r="3098" spans="1:13" x14ac:dyDescent="0.2">
      <c r="A3098" s="42"/>
      <c r="B3098" s="42"/>
      <c r="C3098" s="42"/>
      <c r="D3098" s="42"/>
      <c r="E3098" s="42"/>
      <c r="F3098" s="42"/>
      <c r="G3098" s="42"/>
      <c r="H3098" s="42"/>
      <c r="I3098" s="42"/>
      <c r="J3098" s="42"/>
      <c r="K3098" s="42"/>
      <c r="L3098" s="42"/>
      <c r="M3098" s="42"/>
    </row>
    <row r="3099" spans="1:13" x14ac:dyDescent="0.2">
      <c r="A3099" s="42"/>
      <c r="B3099" s="42"/>
      <c r="C3099" s="42"/>
      <c r="D3099" s="42"/>
      <c r="E3099" s="42"/>
      <c r="F3099" s="42"/>
      <c r="G3099" s="42"/>
      <c r="H3099" s="42"/>
      <c r="I3099" s="42"/>
      <c r="J3099" s="42"/>
      <c r="K3099" s="42"/>
      <c r="L3099" s="42"/>
      <c r="M3099" s="42"/>
    </row>
    <row r="3100" spans="1:13" x14ac:dyDescent="0.2">
      <c r="A3100" s="42"/>
      <c r="B3100" s="42"/>
      <c r="C3100" s="42"/>
      <c r="D3100" s="42"/>
      <c r="E3100" s="42"/>
      <c r="F3100" s="42"/>
      <c r="G3100" s="42"/>
      <c r="H3100" s="42"/>
      <c r="I3100" s="42"/>
      <c r="J3100" s="42"/>
      <c r="K3100" s="42"/>
      <c r="L3100" s="42"/>
      <c r="M3100" s="42"/>
    </row>
    <row r="3101" spans="1:13" x14ac:dyDescent="0.2">
      <c r="A3101" s="42"/>
      <c r="B3101" s="42"/>
      <c r="C3101" s="42"/>
      <c r="D3101" s="42"/>
      <c r="E3101" s="42"/>
      <c r="F3101" s="42"/>
      <c r="G3101" s="42"/>
      <c r="H3101" s="42"/>
      <c r="I3101" s="42"/>
      <c r="J3101" s="42"/>
      <c r="K3101" s="42"/>
      <c r="L3101" s="42"/>
      <c r="M3101" s="42"/>
    </row>
    <row r="3102" spans="1:13" x14ac:dyDescent="0.2">
      <c r="A3102" s="42"/>
      <c r="B3102" s="42"/>
      <c r="C3102" s="42"/>
      <c r="D3102" s="42"/>
      <c r="E3102" s="42"/>
      <c r="F3102" s="42"/>
      <c r="G3102" s="42"/>
      <c r="H3102" s="42"/>
      <c r="I3102" s="42"/>
      <c r="J3102" s="42"/>
      <c r="K3102" s="42"/>
      <c r="L3102" s="42"/>
      <c r="M3102" s="42"/>
    </row>
    <row r="3103" spans="1:13" x14ac:dyDescent="0.2">
      <c r="A3103" s="42"/>
      <c r="B3103" s="42"/>
      <c r="C3103" s="42"/>
      <c r="D3103" s="42"/>
      <c r="E3103" s="42"/>
      <c r="F3103" s="42"/>
      <c r="G3103" s="42"/>
      <c r="H3103" s="42"/>
      <c r="I3103" s="42"/>
      <c r="J3103" s="42"/>
      <c r="K3103" s="42"/>
      <c r="L3103" s="42"/>
      <c r="M3103" s="42"/>
    </row>
    <row r="3104" spans="1:13" x14ac:dyDescent="0.2">
      <c r="A3104" s="42"/>
      <c r="B3104" s="42"/>
      <c r="C3104" s="42"/>
      <c r="D3104" s="42"/>
      <c r="E3104" s="42"/>
      <c r="F3104" s="42"/>
      <c r="G3104" s="42"/>
      <c r="H3104" s="42"/>
      <c r="I3104" s="42"/>
      <c r="J3104" s="42"/>
      <c r="K3104" s="42"/>
      <c r="L3104" s="42"/>
      <c r="M3104" s="42"/>
    </row>
    <row r="3105" spans="1:13" x14ac:dyDescent="0.2">
      <c r="A3105" s="42"/>
      <c r="B3105" s="42"/>
      <c r="C3105" s="42"/>
      <c r="D3105" s="42"/>
      <c r="E3105" s="42"/>
      <c r="F3105" s="42"/>
      <c r="G3105" s="42"/>
      <c r="H3105" s="42"/>
      <c r="I3105" s="42"/>
      <c r="J3105" s="42"/>
      <c r="K3105" s="42"/>
      <c r="L3105" s="42"/>
      <c r="M3105" s="42"/>
    </row>
    <row r="3106" spans="1:13" x14ac:dyDescent="0.2">
      <c r="A3106" s="42"/>
      <c r="B3106" s="42"/>
      <c r="C3106" s="42"/>
      <c r="D3106" s="42"/>
      <c r="E3106" s="42"/>
      <c r="F3106" s="42"/>
      <c r="G3106" s="42"/>
      <c r="H3106" s="42"/>
      <c r="I3106" s="42"/>
      <c r="J3106" s="42"/>
      <c r="K3106" s="42"/>
      <c r="L3106" s="42"/>
      <c r="M3106" s="42"/>
    </row>
    <row r="3107" spans="1:13" x14ac:dyDescent="0.2">
      <c r="A3107" s="42"/>
      <c r="B3107" s="42"/>
      <c r="C3107" s="42"/>
      <c r="D3107" s="42"/>
      <c r="E3107" s="42"/>
      <c r="F3107" s="42"/>
      <c r="G3107" s="42"/>
      <c r="H3107" s="42"/>
      <c r="I3107" s="42"/>
      <c r="J3107" s="42"/>
      <c r="K3107" s="42"/>
      <c r="L3107" s="42"/>
      <c r="M3107" s="42"/>
    </row>
    <row r="3108" spans="1:13" x14ac:dyDescent="0.2">
      <c r="A3108" s="42"/>
      <c r="B3108" s="42"/>
      <c r="C3108" s="42"/>
      <c r="D3108" s="42"/>
      <c r="E3108" s="42"/>
      <c r="F3108" s="42"/>
      <c r="G3108" s="42"/>
      <c r="H3108" s="42"/>
      <c r="I3108" s="42"/>
      <c r="J3108" s="42"/>
      <c r="K3108" s="42"/>
      <c r="L3108" s="42"/>
      <c r="M3108" s="42"/>
    </row>
    <row r="3109" spans="1:13" x14ac:dyDescent="0.2">
      <c r="A3109" s="42"/>
      <c r="B3109" s="42"/>
      <c r="C3109" s="42"/>
      <c r="D3109" s="42"/>
      <c r="E3109" s="42"/>
      <c r="F3109" s="42"/>
      <c r="G3109" s="42"/>
      <c r="H3109" s="42"/>
      <c r="I3109" s="42"/>
      <c r="J3109" s="42"/>
      <c r="K3109" s="42"/>
      <c r="L3109" s="42"/>
      <c r="M3109" s="42"/>
    </row>
    <row r="3110" spans="1:13" x14ac:dyDescent="0.2">
      <c r="A3110" s="42"/>
      <c r="B3110" s="42"/>
      <c r="C3110" s="42"/>
      <c r="D3110" s="42"/>
      <c r="E3110" s="42"/>
      <c r="F3110" s="42"/>
      <c r="G3110" s="42"/>
      <c r="H3110" s="42"/>
      <c r="I3110" s="42"/>
      <c r="J3110" s="42"/>
      <c r="K3110" s="42"/>
      <c r="L3110" s="42"/>
      <c r="M3110" s="42"/>
    </row>
    <row r="3111" spans="1:13" x14ac:dyDescent="0.2">
      <c r="A3111" s="42"/>
      <c r="B3111" s="42"/>
      <c r="C3111" s="42"/>
      <c r="D3111" s="42"/>
      <c r="E3111" s="42"/>
      <c r="F3111" s="42"/>
      <c r="G3111" s="42"/>
      <c r="H3111" s="42"/>
      <c r="I3111" s="42"/>
      <c r="J3111" s="42"/>
      <c r="K3111" s="42"/>
      <c r="L3111" s="42"/>
      <c r="M3111" s="42"/>
    </row>
    <row r="3112" spans="1:13" x14ac:dyDescent="0.2">
      <c r="A3112" s="42"/>
      <c r="B3112" s="42"/>
      <c r="C3112" s="42"/>
      <c r="D3112" s="42"/>
      <c r="E3112" s="42"/>
      <c r="F3112" s="42"/>
      <c r="G3112" s="42"/>
      <c r="H3112" s="42"/>
      <c r="I3112" s="42"/>
      <c r="J3112" s="42"/>
      <c r="K3112" s="42"/>
      <c r="L3112" s="42"/>
      <c r="M3112" s="42"/>
    </row>
    <row r="3113" spans="1:13" x14ac:dyDescent="0.2">
      <c r="A3113" s="42"/>
      <c r="B3113" s="42"/>
      <c r="C3113" s="42"/>
      <c r="D3113" s="42"/>
      <c r="E3113" s="42"/>
      <c r="F3113" s="42"/>
      <c r="G3113" s="42"/>
      <c r="H3113" s="42"/>
      <c r="I3113" s="42"/>
      <c r="J3113" s="42"/>
      <c r="K3113" s="42"/>
      <c r="L3113" s="42"/>
      <c r="M3113" s="42"/>
    </row>
    <row r="3114" spans="1:13" x14ac:dyDescent="0.2">
      <c r="A3114" s="42"/>
      <c r="B3114" s="42"/>
      <c r="C3114" s="42"/>
      <c r="D3114" s="42"/>
      <c r="E3114" s="42"/>
      <c r="F3114" s="42"/>
      <c r="G3114" s="42"/>
      <c r="H3114" s="42"/>
      <c r="I3114" s="42"/>
      <c r="J3114" s="42"/>
      <c r="K3114" s="42"/>
      <c r="L3114" s="42"/>
      <c r="M3114" s="42"/>
    </row>
    <row r="3115" spans="1:13" x14ac:dyDescent="0.2">
      <c r="A3115" s="42"/>
      <c r="B3115" s="42"/>
      <c r="C3115" s="42"/>
      <c r="D3115" s="42"/>
      <c r="E3115" s="42"/>
      <c r="F3115" s="42"/>
      <c r="G3115" s="42"/>
      <c r="H3115" s="42"/>
      <c r="I3115" s="42"/>
      <c r="J3115" s="42"/>
      <c r="K3115" s="42"/>
      <c r="L3115" s="42"/>
      <c r="M3115" s="42"/>
    </row>
    <row r="3116" spans="1:13" x14ac:dyDescent="0.2">
      <c r="A3116" s="42"/>
      <c r="B3116" s="42"/>
      <c r="C3116" s="42"/>
      <c r="D3116" s="42"/>
      <c r="E3116" s="42"/>
      <c r="F3116" s="42"/>
      <c r="G3116" s="42"/>
      <c r="H3116" s="42"/>
      <c r="I3116" s="42"/>
      <c r="J3116" s="42"/>
      <c r="K3116" s="42"/>
      <c r="L3116" s="42"/>
      <c r="M3116" s="42"/>
    </row>
    <row r="3117" spans="1:13" x14ac:dyDescent="0.2">
      <c r="A3117" s="42"/>
      <c r="B3117" s="42"/>
      <c r="C3117" s="42"/>
      <c r="D3117" s="42"/>
      <c r="E3117" s="42"/>
      <c r="F3117" s="42"/>
      <c r="G3117" s="42"/>
      <c r="H3117" s="42"/>
      <c r="I3117" s="42"/>
      <c r="J3117" s="42"/>
      <c r="K3117" s="42"/>
      <c r="L3117" s="42"/>
      <c r="M3117" s="42"/>
    </row>
    <row r="3118" spans="1:13" x14ac:dyDescent="0.2">
      <c r="A3118" s="42"/>
      <c r="B3118" s="42"/>
      <c r="C3118" s="42"/>
      <c r="D3118" s="42"/>
      <c r="E3118" s="42"/>
      <c r="F3118" s="42"/>
      <c r="G3118" s="42"/>
      <c r="H3118" s="42"/>
      <c r="I3118" s="42"/>
      <c r="J3118" s="42"/>
      <c r="K3118" s="42"/>
      <c r="L3118" s="42"/>
      <c r="M3118" s="42"/>
    </row>
    <row r="3119" spans="1:13" x14ac:dyDescent="0.2">
      <c r="A3119" s="42"/>
      <c r="B3119" s="42"/>
      <c r="C3119" s="42"/>
      <c r="D3119" s="42"/>
      <c r="E3119" s="42"/>
      <c r="F3119" s="42"/>
      <c r="G3119" s="42"/>
      <c r="H3119" s="42"/>
      <c r="I3119" s="42"/>
      <c r="J3119" s="42"/>
      <c r="K3119" s="42"/>
      <c r="L3119" s="42"/>
      <c r="M3119" s="42"/>
    </row>
    <row r="3120" spans="1:13" x14ac:dyDescent="0.2">
      <c r="A3120" s="42"/>
      <c r="B3120" s="42"/>
      <c r="C3120" s="42"/>
      <c r="D3120" s="42"/>
      <c r="E3120" s="42"/>
      <c r="F3120" s="42"/>
      <c r="G3120" s="42"/>
      <c r="H3120" s="42"/>
      <c r="I3120" s="42"/>
      <c r="J3120" s="42"/>
      <c r="K3120" s="42"/>
      <c r="L3120" s="42"/>
      <c r="M3120" s="42"/>
    </row>
    <row r="3121" spans="1:13" x14ac:dyDescent="0.2">
      <c r="A3121" s="42"/>
      <c r="B3121" s="42"/>
      <c r="C3121" s="42"/>
      <c r="D3121" s="42"/>
      <c r="E3121" s="42"/>
      <c r="F3121" s="42"/>
      <c r="G3121" s="42"/>
      <c r="H3121" s="42"/>
      <c r="I3121" s="42"/>
      <c r="J3121" s="42"/>
      <c r="K3121" s="42"/>
      <c r="L3121" s="42"/>
      <c r="M3121" s="42"/>
    </row>
    <row r="3122" spans="1:13" x14ac:dyDescent="0.2">
      <c r="A3122" s="42"/>
      <c r="B3122" s="42"/>
      <c r="C3122" s="42"/>
      <c r="D3122" s="42"/>
      <c r="E3122" s="42"/>
      <c r="F3122" s="42"/>
      <c r="G3122" s="42"/>
      <c r="H3122" s="42"/>
      <c r="I3122" s="42"/>
      <c r="J3122" s="42"/>
      <c r="K3122" s="42"/>
      <c r="L3122" s="42"/>
      <c r="M3122" s="42"/>
    </row>
    <row r="3123" spans="1:13" x14ac:dyDescent="0.2">
      <c r="A3123" s="42"/>
      <c r="B3123" s="42"/>
      <c r="C3123" s="42"/>
      <c r="D3123" s="42"/>
      <c r="E3123" s="42"/>
      <c r="F3123" s="42"/>
      <c r="G3123" s="42"/>
      <c r="H3123" s="42"/>
      <c r="I3123" s="42"/>
      <c r="J3123" s="42"/>
      <c r="K3123" s="42"/>
      <c r="L3123" s="42"/>
      <c r="M3123" s="42"/>
    </row>
    <row r="3124" spans="1:13" x14ac:dyDescent="0.2">
      <c r="A3124" s="42"/>
      <c r="B3124" s="42"/>
      <c r="C3124" s="42"/>
      <c r="D3124" s="42"/>
      <c r="E3124" s="42"/>
      <c r="F3124" s="42"/>
      <c r="G3124" s="42"/>
      <c r="H3124" s="42"/>
      <c r="I3124" s="42"/>
      <c r="J3124" s="42"/>
      <c r="K3124" s="42"/>
      <c r="L3124" s="42"/>
      <c r="M3124" s="42"/>
    </row>
    <row r="3125" spans="1:13" x14ac:dyDescent="0.2">
      <c r="A3125" s="42"/>
      <c r="B3125" s="42"/>
      <c r="C3125" s="42"/>
      <c r="D3125" s="42"/>
      <c r="E3125" s="42"/>
      <c r="F3125" s="42"/>
      <c r="G3125" s="42"/>
      <c r="H3125" s="42"/>
      <c r="I3125" s="42"/>
      <c r="J3125" s="42"/>
      <c r="K3125" s="42"/>
      <c r="L3125" s="42"/>
      <c r="M3125" s="42"/>
    </row>
    <row r="3126" spans="1:13" x14ac:dyDescent="0.2">
      <c r="A3126" s="42"/>
      <c r="B3126" s="42"/>
      <c r="C3126" s="42"/>
      <c r="D3126" s="42"/>
      <c r="E3126" s="42"/>
      <c r="F3126" s="42"/>
      <c r="G3126" s="42"/>
      <c r="H3126" s="42"/>
      <c r="I3126" s="42"/>
      <c r="J3126" s="42"/>
      <c r="K3126" s="42"/>
      <c r="L3126" s="42"/>
      <c r="M3126" s="42"/>
    </row>
    <row r="3127" spans="1:13" x14ac:dyDescent="0.2">
      <c r="A3127" s="42"/>
      <c r="B3127" s="42"/>
      <c r="C3127" s="42"/>
      <c r="D3127" s="42"/>
      <c r="E3127" s="42"/>
      <c r="F3127" s="42"/>
      <c r="G3127" s="42"/>
      <c r="H3127" s="42"/>
      <c r="I3127" s="42"/>
      <c r="J3127" s="42"/>
      <c r="K3127" s="42"/>
      <c r="L3127" s="42"/>
      <c r="M3127" s="42"/>
    </row>
    <row r="3128" spans="1:13" x14ac:dyDescent="0.2">
      <c r="A3128" s="42"/>
      <c r="B3128" s="42"/>
      <c r="C3128" s="42"/>
      <c r="D3128" s="42"/>
      <c r="E3128" s="42"/>
      <c r="F3128" s="42"/>
      <c r="G3128" s="42"/>
      <c r="H3128" s="42"/>
      <c r="I3128" s="42"/>
      <c r="J3128" s="42"/>
      <c r="K3128" s="42"/>
      <c r="L3128" s="42"/>
      <c r="M3128" s="42"/>
    </row>
    <row r="3129" spans="1:13" x14ac:dyDescent="0.2">
      <c r="A3129" s="42"/>
      <c r="B3129" s="42"/>
      <c r="C3129" s="42"/>
      <c r="D3129" s="42"/>
      <c r="E3129" s="42"/>
      <c r="F3129" s="42"/>
      <c r="G3129" s="42"/>
      <c r="H3129" s="42"/>
      <c r="I3129" s="42"/>
      <c r="J3129" s="42"/>
      <c r="K3129" s="42"/>
      <c r="L3129" s="42"/>
      <c r="M3129" s="42"/>
    </row>
    <row r="3130" spans="1:13" x14ac:dyDescent="0.2">
      <c r="A3130" s="42"/>
      <c r="B3130" s="42"/>
      <c r="C3130" s="42"/>
      <c r="D3130" s="42"/>
      <c r="E3130" s="42"/>
      <c r="F3130" s="42"/>
      <c r="G3130" s="42"/>
      <c r="H3130" s="42"/>
      <c r="I3130" s="42"/>
      <c r="J3130" s="42"/>
      <c r="K3130" s="42"/>
      <c r="L3130" s="42"/>
      <c r="M3130" s="42"/>
    </row>
    <row r="3131" spans="1:13" x14ac:dyDescent="0.2">
      <c r="A3131" s="42"/>
      <c r="B3131" s="42"/>
      <c r="C3131" s="42"/>
      <c r="D3131" s="42"/>
      <c r="E3131" s="42"/>
      <c r="F3131" s="42"/>
      <c r="G3131" s="42"/>
      <c r="H3131" s="42"/>
      <c r="I3131" s="42"/>
      <c r="J3131" s="42"/>
      <c r="K3131" s="42"/>
      <c r="L3131" s="42"/>
      <c r="M3131" s="42"/>
    </row>
    <row r="3132" spans="1:13" x14ac:dyDescent="0.2">
      <c r="A3132" s="42"/>
      <c r="B3132" s="42"/>
      <c r="C3132" s="42"/>
      <c r="D3132" s="42"/>
      <c r="E3132" s="42"/>
      <c r="F3132" s="42"/>
      <c r="G3132" s="42"/>
      <c r="H3132" s="42"/>
      <c r="I3132" s="42"/>
      <c r="J3132" s="42"/>
      <c r="K3132" s="42"/>
      <c r="L3132" s="42"/>
      <c r="M3132" s="42"/>
    </row>
    <row r="3133" spans="1:13" x14ac:dyDescent="0.2">
      <c r="A3133" s="42"/>
      <c r="B3133" s="42"/>
      <c r="C3133" s="42"/>
      <c r="D3133" s="42"/>
      <c r="E3133" s="42"/>
      <c r="F3133" s="42"/>
      <c r="G3133" s="42"/>
      <c r="H3133" s="42"/>
      <c r="I3133" s="42"/>
      <c r="J3133" s="42"/>
      <c r="K3133" s="42"/>
      <c r="L3133" s="42"/>
      <c r="M3133" s="42"/>
    </row>
    <row r="3134" spans="1:13" x14ac:dyDescent="0.2">
      <c r="A3134" s="42"/>
      <c r="B3134" s="42"/>
      <c r="C3134" s="42"/>
      <c r="D3134" s="42"/>
      <c r="E3134" s="42"/>
      <c r="F3134" s="42"/>
      <c r="G3134" s="42"/>
      <c r="H3134" s="42"/>
      <c r="I3134" s="42"/>
      <c r="J3134" s="42"/>
      <c r="K3134" s="42"/>
      <c r="L3134" s="42"/>
      <c r="M3134" s="42"/>
    </row>
    <row r="3135" spans="1:13" x14ac:dyDescent="0.2">
      <c r="A3135" s="42"/>
      <c r="B3135" s="42"/>
      <c r="C3135" s="42"/>
      <c r="D3135" s="42"/>
      <c r="E3135" s="42"/>
      <c r="F3135" s="42"/>
      <c r="G3135" s="42"/>
      <c r="H3135" s="42"/>
      <c r="I3135" s="42"/>
      <c r="J3135" s="42"/>
      <c r="K3135" s="42"/>
      <c r="L3135" s="42"/>
      <c r="M3135" s="42"/>
    </row>
    <row r="3136" spans="1:13" x14ac:dyDescent="0.2">
      <c r="A3136" s="42"/>
      <c r="B3136" s="42"/>
      <c r="C3136" s="42"/>
      <c r="D3136" s="42"/>
      <c r="E3136" s="42"/>
      <c r="F3136" s="42"/>
      <c r="G3136" s="42"/>
      <c r="H3136" s="42"/>
      <c r="I3136" s="42"/>
      <c r="J3136" s="42"/>
      <c r="K3136" s="42"/>
      <c r="L3136" s="42"/>
      <c r="M3136" s="42"/>
    </row>
    <row r="3137" spans="1:13" x14ac:dyDescent="0.2">
      <c r="A3137" s="42"/>
      <c r="B3137" s="42"/>
      <c r="C3137" s="42"/>
      <c r="D3137" s="42"/>
      <c r="E3137" s="42"/>
      <c r="F3137" s="42"/>
      <c r="G3137" s="42"/>
      <c r="H3137" s="42"/>
      <c r="I3137" s="42"/>
      <c r="J3137" s="42"/>
      <c r="K3137" s="42"/>
      <c r="L3137" s="42"/>
      <c r="M3137" s="42"/>
    </row>
    <row r="3138" spans="1:13" x14ac:dyDescent="0.2">
      <c r="A3138" s="42"/>
      <c r="B3138" s="42"/>
      <c r="C3138" s="42"/>
      <c r="D3138" s="42"/>
      <c r="E3138" s="42"/>
      <c r="F3138" s="42"/>
      <c r="G3138" s="42"/>
      <c r="H3138" s="42"/>
      <c r="I3138" s="42"/>
      <c r="J3138" s="42"/>
      <c r="K3138" s="42"/>
      <c r="L3138" s="42"/>
      <c r="M3138" s="42"/>
    </row>
    <row r="3139" spans="1:13" x14ac:dyDescent="0.2">
      <c r="A3139" s="42"/>
      <c r="B3139" s="42"/>
      <c r="C3139" s="42"/>
      <c r="D3139" s="42"/>
      <c r="E3139" s="42"/>
      <c r="F3139" s="42"/>
      <c r="G3139" s="42"/>
      <c r="H3139" s="42"/>
      <c r="I3139" s="42"/>
      <c r="J3139" s="42"/>
      <c r="K3139" s="42"/>
      <c r="L3139" s="42"/>
      <c r="M3139" s="42"/>
    </row>
    <row r="3140" spans="1:13" x14ac:dyDescent="0.2">
      <c r="A3140" s="42"/>
      <c r="B3140" s="42"/>
      <c r="C3140" s="42"/>
      <c r="D3140" s="42"/>
      <c r="E3140" s="42"/>
      <c r="F3140" s="42"/>
      <c r="G3140" s="42"/>
      <c r="H3140" s="42"/>
      <c r="I3140" s="42"/>
      <c r="J3140" s="42"/>
      <c r="K3140" s="42"/>
      <c r="L3140" s="42"/>
      <c r="M3140" s="42"/>
    </row>
    <row r="3141" spans="1:13" x14ac:dyDescent="0.2">
      <c r="A3141" s="42"/>
      <c r="B3141" s="42"/>
      <c r="C3141" s="42"/>
      <c r="D3141" s="42"/>
      <c r="E3141" s="42"/>
      <c r="F3141" s="42"/>
      <c r="G3141" s="42"/>
      <c r="H3141" s="42"/>
      <c r="I3141" s="42"/>
      <c r="J3141" s="42"/>
      <c r="K3141" s="42"/>
      <c r="L3141" s="42"/>
      <c r="M3141" s="42"/>
    </row>
    <row r="3142" spans="1:13" x14ac:dyDescent="0.2">
      <c r="A3142" s="42"/>
      <c r="B3142" s="42"/>
      <c r="C3142" s="42"/>
      <c r="D3142" s="42"/>
      <c r="E3142" s="42"/>
      <c r="F3142" s="42"/>
      <c r="G3142" s="42"/>
      <c r="H3142" s="42"/>
      <c r="I3142" s="42"/>
      <c r="J3142" s="42"/>
      <c r="K3142" s="42"/>
      <c r="L3142" s="42"/>
      <c r="M3142" s="42"/>
    </row>
    <row r="3143" spans="1:13" x14ac:dyDescent="0.2">
      <c r="A3143" s="42"/>
      <c r="B3143" s="42"/>
      <c r="C3143" s="42"/>
      <c r="D3143" s="42"/>
      <c r="E3143" s="42"/>
      <c r="F3143" s="42"/>
      <c r="G3143" s="42"/>
      <c r="H3143" s="42"/>
      <c r="I3143" s="42"/>
      <c r="J3143" s="42"/>
      <c r="K3143" s="42"/>
      <c r="L3143" s="42"/>
      <c r="M3143" s="42"/>
    </row>
    <row r="3144" spans="1:13" x14ac:dyDescent="0.2">
      <c r="A3144" s="42"/>
      <c r="B3144" s="42"/>
      <c r="C3144" s="42"/>
      <c r="D3144" s="42"/>
      <c r="E3144" s="42"/>
      <c r="F3144" s="42"/>
      <c r="G3144" s="42"/>
      <c r="H3144" s="42"/>
      <c r="I3144" s="42"/>
      <c r="J3144" s="42"/>
      <c r="K3144" s="42"/>
      <c r="L3144" s="42"/>
      <c r="M3144" s="42"/>
    </row>
    <row r="3145" spans="1:13" x14ac:dyDescent="0.2">
      <c r="A3145" s="42"/>
      <c r="B3145" s="42"/>
      <c r="C3145" s="42"/>
      <c r="D3145" s="42"/>
      <c r="E3145" s="42"/>
      <c r="F3145" s="42"/>
      <c r="G3145" s="42"/>
      <c r="H3145" s="42"/>
      <c r="I3145" s="42"/>
      <c r="J3145" s="42"/>
      <c r="K3145" s="42"/>
      <c r="L3145" s="42"/>
      <c r="M3145" s="42"/>
    </row>
    <row r="3146" spans="1:13" x14ac:dyDescent="0.2">
      <c r="A3146" s="42"/>
      <c r="B3146" s="42"/>
      <c r="C3146" s="42"/>
      <c r="D3146" s="42"/>
      <c r="E3146" s="42"/>
      <c r="F3146" s="42"/>
      <c r="G3146" s="42"/>
      <c r="H3146" s="42"/>
      <c r="I3146" s="42"/>
      <c r="J3146" s="42"/>
      <c r="K3146" s="42"/>
      <c r="L3146" s="42"/>
      <c r="M3146" s="42"/>
    </row>
    <row r="3147" spans="1:13" x14ac:dyDescent="0.2">
      <c r="A3147" s="42"/>
      <c r="B3147" s="42"/>
      <c r="C3147" s="42"/>
      <c r="D3147" s="42"/>
      <c r="E3147" s="42"/>
      <c r="F3147" s="42"/>
      <c r="G3147" s="42"/>
      <c r="H3147" s="42"/>
      <c r="I3147" s="42"/>
      <c r="J3147" s="42"/>
      <c r="K3147" s="42"/>
      <c r="L3147" s="42"/>
      <c r="M3147" s="42"/>
    </row>
    <row r="3148" spans="1:13" x14ac:dyDescent="0.2">
      <c r="A3148" s="42"/>
      <c r="B3148" s="42"/>
      <c r="C3148" s="42"/>
      <c r="D3148" s="42"/>
      <c r="E3148" s="42"/>
      <c r="F3148" s="42"/>
      <c r="G3148" s="42"/>
      <c r="H3148" s="42"/>
      <c r="I3148" s="42"/>
      <c r="J3148" s="42"/>
      <c r="K3148" s="42"/>
      <c r="L3148" s="42"/>
      <c r="M3148" s="42"/>
    </row>
    <row r="3149" spans="1:13" x14ac:dyDescent="0.2">
      <c r="A3149" s="42"/>
      <c r="B3149" s="42"/>
      <c r="C3149" s="42"/>
      <c r="D3149" s="42"/>
      <c r="E3149" s="42"/>
      <c r="F3149" s="42"/>
      <c r="G3149" s="42"/>
      <c r="H3149" s="42"/>
      <c r="I3149" s="42"/>
      <c r="J3149" s="42"/>
      <c r="K3149" s="42"/>
      <c r="L3149" s="42"/>
      <c r="M3149" s="42"/>
    </row>
    <row r="3150" spans="1:13" x14ac:dyDescent="0.2">
      <c r="A3150" s="42"/>
      <c r="B3150" s="42"/>
      <c r="C3150" s="42"/>
      <c r="D3150" s="42"/>
      <c r="E3150" s="42"/>
      <c r="F3150" s="42"/>
      <c r="G3150" s="42"/>
      <c r="H3150" s="42"/>
      <c r="I3150" s="42"/>
      <c r="J3150" s="42"/>
      <c r="K3150" s="42"/>
      <c r="L3150" s="42"/>
      <c r="M3150" s="42"/>
    </row>
    <row r="3151" spans="1:13" x14ac:dyDescent="0.2">
      <c r="A3151" s="42"/>
      <c r="B3151" s="42"/>
      <c r="C3151" s="42"/>
      <c r="D3151" s="42"/>
      <c r="E3151" s="42"/>
      <c r="F3151" s="42"/>
      <c r="G3151" s="42"/>
      <c r="H3151" s="42"/>
      <c r="I3151" s="42"/>
      <c r="J3151" s="42"/>
      <c r="K3151" s="42"/>
      <c r="L3151" s="42"/>
      <c r="M3151" s="42"/>
    </row>
    <row r="3152" spans="1:13" x14ac:dyDescent="0.2">
      <c r="A3152" s="42"/>
      <c r="B3152" s="42"/>
      <c r="C3152" s="42"/>
      <c r="D3152" s="42"/>
      <c r="E3152" s="42"/>
      <c r="F3152" s="42"/>
      <c r="G3152" s="42"/>
      <c r="H3152" s="42"/>
      <c r="I3152" s="42"/>
      <c r="J3152" s="42"/>
      <c r="K3152" s="42"/>
      <c r="L3152" s="42"/>
      <c r="M3152" s="42"/>
    </row>
    <row r="3153" spans="1:13" x14ac:dyDescent="0.2">
      <c r="A3153" s="42"/>
      <c r="B3153" s="42"/>
      <c r="C3153" s="42"/>
      <c r="D3153" s="42"/>
      <c r="E3153" s="42"/>
      <c r="F3153" s="42"/>
      <c r="G3153" s="42"/>
      <c r="H3153" s="42"/>
      <c r="I3153" s="42"/>
      <c r="J3153" s="42"/>
      <c r="K3153" s="42"/>
      <c r="L3153" s="42"/>
      <c r="M3153" s="42"/>
    </row>
    <row r="3154" spans="1:13" x14ac:dyDescent="0.2">
      <c r="A3154" s="42"/>
      <c r="B3154" s="42"/>
      <c r="C3154" s="42"/>
      <c r="D3154" s="42"/>
      <c r="E3154" s="42"/>
      <c r="F3154" s="42"/>
      <c r="G3154" s="42"/>
      <c r="H3154" s="42"/>
      <c r="I3154" s="42"/>
      <c r="J3154" s="42"/>
      <c r="K3154" s="42"/>
      <c r="L3154" s="42"/>
      <c r="M3154" s="42"/>
    </row>
    <row r="3155" spans="1:13" x14ac:dyDescent="0.2">
      <c r="A3155" s="42"/>
      <c r="B3155" s="42"/>
      <c r="C3155" s="42"/>
      <c r="D3155" s="42"/>
      <c r="E3155" s="42"/>
      <c r="F3155" s="42"/>
      <c r="G3155" s="42"/>
      <c r="H3155" s="42"/>
      <c r="I3155" s="42"/>
      <c r="J3155" s="42"/>
      <c r="K3155" s="42"/>
      <c r="L3155" s="42"/>
      <c r="M3155" s="42"/>
    </row>
    <row r="3156" spans="1:13" x14ac:dyDescent="0.2">
      <c r="A3156" s="42"/>
      <c r="B3156" s="42"/>
      <c r="C3156" s="42"/>
      <c r="D3156" s="42"/>
      <c r="E3156" s="42"/>
      <c r="F3156" s="42"/>
      <c r="G3156" s="42"/>
      <c r="H3156" s="42"/>
      <c r="I3156" s="42"/>
      <c r="J3156" s="42"/>
      <c r="K3156" s="42"/>
      <c r="L3156" s="42"/>
      <c r="M3156" s="42"/>
    </row>
    <row r="3157" spans="1:13" x14ac:dyDescent="0.2">
      <c r="A3157" s="42"/>
      <c r="B3157" s="42"/>
      <c r="C3157" s="42"/>
      <c r="D3157" s="42"/>
      <c r="E3157" s="42"/>
      <c r="F3157" s="42"/>
      <c r="G3157" s="42"/>
      <c r="H3157" s="42"/>
      <c r="I3157" s="42"/>
      <c r="J3157" s="42"/>
      <c r="K3157" s="42"/>
      <c r="L3157" s="42"/>
      <c r="M3157" s="42"/>
    </row>
    <row r="3158" spans="1:13" x14ac:dyDescent="0.2">
      <c r="A3158" s="42"/>
      <c r="B3158" s="42"/>
      <c r="C3158" s="42"/>
      <c r="D3158" s="42"/>
      <c r="E3158" s="42"/>
      <c r="F3158" s="42"/>
      <c r="G3158" s="42"/>
      <c r="H3158" s="42"/>
      <c r="I3158" s="42"/>
      <c r="J3158" s="42"/>
      <c r="K3158" s="42"/>
      <c r="L3158" s="42"/>
      <c r="M3158" s="42"/>
    </row>
    <row r="3159" spans="1:13" x14ac:dyDescent="0.2">
      <c r="A3159" s="42"/>
      <c r="B3159" s="42"/>
      <c r="C3159" s="42"/>
      <c r="D3159" s="42"/>
      <c r="E3159" s="42"/>
      <c r="F3159" s="42"/>
      <c r="G3159" s="42"/>
      <c r="H3159" s="42"/>
      <c r="I3159" s="42"/>
      <c r="J3159" s="42"/>
      <c r="K3159" s="42"/>
      <c r="L3159" s="42"/>
      <c r="M3159" s="42"/>
    </row>
    <row r="3160" spans="1:13" x14ac:dyDescent="0.2">
      <c r="A3160" s="42"/>
      <c r="B3160" s="42"/>
      <c r="C3160" s="42"/>
      <c r="D3160" s="42"/>
      <c r="E3160" s="42"/>
      <c r="F3160" s="42"/>
      <c r="G3160" s="42"/>
      <c r="H3160" s="42"/>
      <c r="I3160" s="42"/>
      <c r="J3160" s="42"/>
      <c r="K3160" s="42"/>
      <c r="L3160" s="42"/>
      <c r="M3160" s="42"/>
    </row>
    <row r="3161" spans="1:13" x14ac:dyDescent="0.2">
      <c r="A3161" s="42"/>
      <c r="B3161" s="42"/>
      <c r="C3161" s="42"/>
      <c r="D3161" s="42"/>
      <c r="E3161" s="42"/>
      <c r="F3161" s="42"/>
      <c r="G3161" s="42"/>
      <c r="H3161" s="42"/>
      <c r="I3161" s="42"/>
      <c r="J3161" s="42"/>
      <c r="K3161" s="42"/>
      <c r="L3161" s="42"/>
      <c r="M3161" s="42"/>
    </row>
    <row r="3162" spans="1:13" x14ac:dyDescent="0.2">
      <c r="A3162" s="42"/>
      <c r="B3162" s="42"/>
      <c r="C3162" s="42"/>
      <c r="D3162" s="42"/>
      <c r="E3162" s="42"/>
      <c r="F3162" s="42"/>
      <c r="G3162" s="42"/>
      <c r="H3162" s="42"/>
      <c r="I3162" s="42"/>
      <c r="J3162" s="42"/>
      <c r="K3162" s="42"/>
      <c r="L3162" s="42"/>
      <c r="M3162" s="42"/>
    </row>
    <row r="3163" spans="1:13" x14ac:dyDescent="0.2">
      <c r="A3163" s="42"/>
      <c r="B3163" s="42"/>
      <c r="C3163" s="42"/>
      <c r="D3163" s="42"/>
      <c r="E3163" s="42"/>
      <c r="F3163" s="42"/>
      <c r="G3163" s="42"/>
      <c r="H3163" s="42"/>
      <c r="I3163" s="42"/>
      <c r="J3163" s="42"/>
      <c r="K3163" s="42"/>
      <c r="L3163" s="42"/>
      <c r="M3163" s="42"/>
    </row>
    <row r="3164" spans="1:13" x14ac:dyDescent="0.2">
      <c r="A3164" s="42"/>
      <c r="B3164" s="42"/>
      <c r="C3164" s="42"/>
      <c r="D3164" s="42"/>
      <c r="E3164" s="42"/>
      <c r="F3164" s="42"/>
      <c r="G3164" s="42"/>
      <c r="H3164" s="42"/>
      <c r="I3164" s="42"/>
      <c r="J3164" s="42"/>
      <c r="K3164" s="42"/>
      <c r="L3164" s="42"/>
      <c r="M3164" s="42"/>
    </row>
    <row r="3165" spans="1:13" x14ac:dyDescent="0.2">
      <c r="A3165" s="42"/>
      <c r="B3165" s="42"/>
      <c r="C3165" s="42"/>
      <c r="D3165" s="42"/>
      <c r="E3165" s="42"/>
      <c r="F3165" s="42"/>
      <c r="G3165" s="42"/>
      <c r="H3165" s="42"/>
      <c r="I3165" s="42"/>
      <c r="J3165" s="42"/>
      <c r="K3165" s="42"/>
      <c r="L3165" s="42"/>
      <c r="M3165" s="42"/>
    </row>
    <row r="3166" spans="1:13" x14ac:dyDescent="0.2">
      <c r="A3166" s="42"/>
      <c r="B3166" s="42"/>
      <c r="C3166" s="42"/>
      <c r="D3166" s="42"/>
      <c r="E3166" s="42"/>
      <c r="F3166" s="42"/>
      <c r="G3166" s="42"/>
      <c r="H3166" s="42"/>
      <c r="I3166" s="42"/>
      <c r="J3166" s="42"/>
      <c r="K3166" s="42"/>
      <c r="L3166" s="42"/>
      <c r="M3166" s="42"/>
    </row>
    <row r="3167" spans="1:13" x14ac:dyDescent="0.2">
      <c r="A3167" s="42"/>
      <c r="B3167" s="42"/>
      <c r="C3167" s="42"/>
      <c r="D3167" s="42"/>
      <c r="E3167" s="42"/>
      <c r="F3167" s="42"/>
      <c r="G3167" s="42"/>
      <c r="H3167" s="42"/>
      <c r="I3167" s="42"/>
      <c r="J3167" s="42"/>
      <c r="K3167" s="42"/>
      <c r="L3167" s="42"/>
      <c r="M3167" s="42"/>
    </row>
    <row r="3168" spans="1:13" x14ac:dyDescent="0.2">
      <c r="A3168" s="42"/>
      <c r="B3168" s="42"/>
      <c r="C3168" s="42"/>
      <c r="D3168" s="42"/>
      <c r="E3168" s="42"/>
      <c r="F3168" s="42"/>
      <c r="G3168" s="42"/>
      <c r="H3168" s="42"/>
      <c r="I3168" s="42"/>
      <c r="J3168" s="42"/>
      <c r="K3168" s="42"/>
      <c r="L3168" s="42"/>
      <c r="M3168" s="42"/>
    </row>
    <row r="3169" spans="1:13" x14ac:dyDescent="0.2">
      <c r="A3169" s="42"/>
      <c r="B3169" s="42"/>
      <c r="C3169" s="42"/>
      <c r="D3169" s="42"/>
      <c r="E3169" s="42"/>
      <c r="F3169" s="42"/>
      <c r="G3169" s="42"/>
      <c r="H3169" s="42"/>
      <c r="I3169" s="42"/>
      <c r="J3169" s="42"/>
      <c r="K3169" s="42"/>
      <c r="L3169" s="42"/>
      <c r="M3169" s="42"/>
    </row>
    <row r="3170" spans="1:13" x14ac:dyDescent="0.2">
      <c r="A3170" s="42"/>
      <c r="B3170" s="42"/>
      <c r="C3170" s="42"/>
      <c r="D3170" s="42"/>
      <c r="E3170" s="42"/>
      <c r="F3170" s="42"/>
      <c r="G3170" s="42"/>
      <c r="H3170" s="42"/>
      <c r="I3170" s="42"/>
      <c r="J3170" s="42"/>
      <c r="K3170" s="42"/>
      <c r="L3170" s="42"/>
      <c r="M3170" s="42"/>
    </row>
    <row r="3171" spans="1:13" x14ac:dyDescent="0.2">
      <c r="A3171" s="42"/>
      <c r="B3171" s="42"/>
      <c r="C3171" s="42"/>
      <c r="D3171" s="42"/>
      <c r="E3171" s="42"/>
      <c r="F3171" s="42"/>
      <c r="G3171" s="42"/>
      <c r="H3171" s="42"/>
      <c r="I3171" s="42"/>
      <c r="J3171" s="42"/>
      <c r="K3171" s="42"/>
      <c r="L3171" s="42"/>
      <c r="M3171" s="42"/>
    </row>
    <row r="3172" spans="1:13" x14ac:dyDescent="0.2">
      <c r="A3172" s="42"/>
      <c r="B3172" s="42"/>
      <c r="C3172" s="42"/>
      <c r="D3172" s="42"/>
      <c r="E3172" s="42"/>
      <c r="F3172" s="42"/>
      <c r="G3172" s="42"/>
      <c r="H3172" s="42"/>
      <c r="I3172" s="42"/>
      <c r="J3172" s="42"/>
      <c r="K3172" s="42"/>
      <c r="L3172" s="42"/>
      <c r="M3172" s="42"/>
    </row>
    <row r="3173" spans="1:13" x14ac:dyDescent="0.2">
      <c r="A3173" s="42"/>
      <c r="B3173" s="42"/>
      <c r="C3173" s="42"/>
      <c r="D3173" s="42"/>
      <c r="E3173" s="42"/>
      <c r="F3173" s="42"/>
      <c r="G3173" s="42"/>
      <c r="H3173" s="42"/>
      <c r="I3173" s="42"/>
      <c r="J3173" s="42"/>
      <c r="K3173" s="42"/>
      <c r="L3173" s="42"/>
      <c r="M3173" s="42"/>
    </row>
    <row r="3174" spans="1:13" x14ac:dyDescent="0.2">
      <c r="A3174" s="42"/>
      <c r="B3174" s="42"/>
      <c r="C3174" s="42"/>
      <c r="D3174" s="42"/>
      <c r="E3174" s="42"/>
      <c r="F3174" s="42"/>
      <c r="G3174" s="42"/>
      <c r="H3174" s="42"/>
      <c r="I3174" s="42"/>
      <c r="J3174" s="42"/>
      <c r="K3174" s="42"/>
      <c r="L3174" s="42"/>
      <c r="M3174" s="42"/>
    </row>
    <row r="3175" spans="1:13" x14ac:dyDescent="0.2">
      <c r="A3175" s="42"/>
      <c r="B3175" s="42"/>
      <c r="C3175" s="42"/>
      <c r="D3175" s="42"/>
      <c r="E3175" s="42"/>
      <c r="F3175" s="42"/>
      <c r="G3175" s="42"/>
      <c r="H3175" s="42"/>
      <c r="I3175" s="42"/>
      <c r="J3175" s="42"/>
      <c r="K3175" s="42"/>
      <c r="L3175" s="42"/>
      <c r="M3175" s="42"/>
    </row>
    <row r="3176" spans="1:13" x14ac:dyDescent="0.2">
      <c r="A3176" s="42"/>
      <c r="B3176" s="42"/>
      <c r="C3176" s="42"/>
      <c r="D3176" s="42"/>
      <c r="E3176" s="42"/>
      <c r="F3176" s="42"/>
      <c r="G3176" s="42"/>
      <c r="H3176" s="42"/>
      <c r="I3176" s="42"/>
      <c r="J3176" s="42"/>
      <c r="K3176" s="42"/>
      <c r="L3176" s="42"/>
      <c r="M3176" s="42"/>
    </row>
    <row r="3177" spans="1:13" x14ac:dyDescent="0.2">
      <c r="A3177" s="42"/>
      <c r="B3177" s="42"/>
      <c r="C3177" s="42"/>
      <c r="D3177" s="42"/>
      <c r="E3177" s="42"/>
      <c r="F3177" s="42"/>
      <c r="G3177" s="42"/>
      <c r="H3177" s="42"/>
      <c r="I3177" s="42"/>
      <c r="J3177" s="42"/>
      <c r="K3177" s="42"/>
      <c r="L3177" s="42"/>
      <c r="M3177" s="42"/>
    </row>
    <row r="3178" spans="1:13" x14ac:dyDescent="0.2">
      <c r="A3178" s="42"/>
      <c r="B3178" s="42"/>
      <c r="C3178" s="42"/>
      <c r="D3178" s="42"/>
      <c r="E3178" s="42"/>
      <c r="F3178" s="42"/>
      <c r="G3178" s="42"/>
      <c r="H3178" s="42"/>
      <c r="I3178" s="42"/>
      <c r="J3178" s="42"/>
      <c r="K3178" s="42"/>
      <c r="L3178" s="42"/>
      <c r="M3178" s="42"/>
    </row>
    <row r="3179" spans="1:13" x14ac:dyDescent="0.2">
      <c r="A3179" s="42"/>
      <c r="B3179" s="42"/>
      <c r="C3179" s="42"/>
      <c r="D3179" s="42"/>
      <c r="E3179" s="42"/>
      <c r="F3179" s="42"/>
      <c r="G3179" s="42"/>
      <c r="H3179" s="42"/>
      <c r="I3179" s="42"/>
      <c r="J3179" s="42"/>
      <c r="K3179" s="42"/>
      <c r="L3179" s="42"/>
      <c r="M3179" s="42"/>
    </row>
    <row r="3180" spans="1:13" x14ac:dyDescent="0.2">
      <c r="A3180" s="42"/>
      <c r="B3180" s="42"/>
      <c r="C3180" s="42"/>
      <c r="D3180" s="42"/>
      <c r="E3180" s="42"/>
      <c r="F3180" s="42"/>
      <c r="G3180" s="42"/>
      <c r="H3180" s="42"/>
      <c r="I3180" s="42"/>
      <c r="J3180" s="42"/>
      <c r="K3180" s="42"/>
      <c r="L3180" s="42"/>
      <c r="M3180" s="42"/>
    </row>
    <row r="3181" spans="1:13" x14ac:dyDescent="0.2">
      <c r="A3181" s="42"/>
      <c r="B3181" s="42"/>
      <c r="C3181" s="42"/>
      <c r="D3181" s="42"/>
      <c r="E3181" s="42"/>
      <c r="F3181" s="42"/>
      <c r="G3181" s="42"/>
      <c r="H3181" s="42"/>
      <c r="I3181" s="42"/>
      <c r="J3181" s="42"/>
      <c r="K3181" s="42"/>
      <c r="L3181" s="42"/>
      <c r="M3181" s="42"/>
    </row>
    <row r="3182" spans="1:13" x14ac:dyDescent="0.2">
      <c r="A3182" s="42"/>
      <c r="B3182" s="42"/>
      <c r="C3182" s="42"/>
      <c r="D3182" s="42"/>
      <c r="E3182" s="42"/>
      <c r="F3182" s="42"/>
      <c r="G3182" s="42"/>
      <c r="H3182" s="42"/>
      <c r="I3182" s="42"/>
      <c r="J3182" s="42"/>
      <c r="K3182" s="42"/>
      <c r="L3182" s="42"/>
      <c r="M3182" s="42"/>
    </row>
    <row r="3183" spans="1:13" x14ac:dyDescent="0.2">
      <c r="A3183" s="42"/>
      <c r="B3183" s="42"/>
      <c r="C3183" s="42"/>
      <c r="D3183" s="42"/>
      <c r="E3183" s="42"/>
      <c r="F3183" s="42"/>
      <c r="G3183" s="42"/>
      <c r="H3183" s="42"/>
      <c r="I3183" s="42"/>
      <c r="J3183" s="42"/>
      <c r="K3183" s="42"/>
      <c r="L3183" s="42"/>
      <c r="M3183" s="42"/>
    </row>
    <row r="3184" spans="1:13" x14ac:dyDescent="0.2">
      <c r="A3184" s="42"/>
      <c r="B3184" s="42"/>
      <c r="C3184" s="42"/>
      <c r="D3184" s="42"/>
      <c r="E3184" s="42"/>
      <c r="F3184" s="42"/>
      <c r="G3184" s="42"/>
      <c r="H3184" s="42"/>
      <c r="I3184" s="42"/>
      <c r="J3184" s="42"/>
      <c r="K3184" s="42"/>
      <c r="L3184" s="42"/>
      <c r="M3184" s="42"/>
    </row>
    <row r="3185" spans="1:13" x14ac:dyDescent="0.2">
      <c r="A3185" s="42"/>
      <c r="B3185" s="42"/>
      <c r="C3185" s="42"/>
      <c r="D3185" s="42"/>
      <c r="E3185" s="42"/>
      <c r="F3185" s="42"/>
      <c r="G3185" s="42"/>
      <c r="H3185" s="42"/>
      <c r="I3185" s="42"/>
      <c r="J3185" s="42"/>
      <c r="K3185" s="42"/>
      <c r="L3185" s="42"/>
      <c r="M3185" s="42"/>
    </row>
    <row r="3186" spans="1:13" x14ac:dyDescent="0.2">
      <c r="A3186" s="42"/>
      <c r="B3186" s="42"/>
      <c r="C3186" s="42"/>
      <c r="D3186" s="42"/>
      <c r="E3186" s="42"/>
      <c r="F3186" s="42"/>
      <c r="G3186" s="42"/>
      <c r="H3186" s="42"/>
      <c r="I3186" s="42"/>
      <c r="J3186" s="42"/>
      <c r="K3186" s="42"/>
      <c r="L3186" s="42"/>
      <c r="M3186" s="42"/>
    </row>
    <row r="3187" spans="1:13" x14ac:dyDescent="0.2">
      <c r="A3187" s="42"/>
      <c r="B3187" s="42"/>
      <c r="C3187" s="42"/>
      <c r="D3187" s="42"/>
      <c r="E3187" s="42"/>
      <c r="F3187" s="42"/>
      <c r="G3187" s="42"/>
      <c r="H3187" s="42"/>
      <c r="I3187" s="42"/>
      <c r="J3187" s="42"/>
      <c r="K3187" s="42"/>
      <c r="L3187" s="42"/>
      <c r="M3187" s="42"/>
    </row>
    <row r="3188" spans="1:13" x14ac:dyDescent="0.2">
      <c r="A3188" s="42"/>
      <c r="B3188" s="42"/>
      <c r="C3188" s="42"/>
      <c r="D3188" s="42"/>
      <c r="E3188" s="42"/>
      <c r="F3188" s="42"/>
      <c r="G3188" s="42"/>
      <c r="H3188" s="42"/>
      <c r="I3188" s="42"/>
      <c r="J3188" s="42"/>
      <c r="K3188" s="42"/>
      <c r="L3188" s="42"/>
      <c r="M3188" s="42"/>
    </row>
    <row r="3189" spans="1:13" x14ac:dyDescent="0.2">
      <c r="A3189" s="42"/>
      <c r="B3189" s="42"/>
      <c r="C3189" s="42"/>
      <c r="D3189" s="42"/>
      <c r="E3189" s="42"/>
      <c r="F3189" s="42"/>
      <c r="G3189" s="42"/>
      <c r="H3189" s="42"/>
      <c r="I3189" s="42"/>
      <c r="J3189" s="42"/>
      <c r="K3189" s="42"/>
      <c r="L3189" s="42"/>
      <c r="M3189" s="42"/>
    </row>
    <row r="3190" spans="1:13" x14ac:dyDescent="0.2">
      <c r="A3190" s="42"/>
      <c r="B3190" s="42"/>
      <c r="C3190" s="42"/>
      <c r="D3190" s="42"/>
      <c r="E3190" s="42"/>
      <c r="F3190" s="42"/>
      <c r="G3190" s="42"/>
      <c r="H3190" s="42"/>
      <c r="I3190" s="42"/>
      <c r="J3190" s="42"/>
      <c r="K3190" s="42"/>
      <c r="L3190" s="42"/>
      <c r="M3190" s="42"/>
    </row>
    <row r="3191" spans="1:13" x14ac:dyDescent="0.2">
      <c r="A3191" s="42"/>
      <c r="B3191" s="42"/>
      <c r="C3191" s="42"/>
      <c r="D3191" s="42"/>
      <c r="E3191" s="42"/>
      <c r="F3191" s="42"/>
      <c r="G3191" s="42"/>
      <c r="H3191" s="42"/>
      <c r="I3191" s="42"/>
      <c r="J3191" s="42"/>
      <c r="K3191" s="42"/>
      <c r="L3191" s="42"/>
      <c r="M3191" s="42"/>
    </row>
    <row r="3192" spans="1:13" x14ac:dyDescent="0.2">
      <c r="A3192" s="42"/>
      <c r="B3192" s="42"/>
      <c r="C3192" s="42"/>
      <c r="D3192" s="42"/>
      <c r="E3192" s="42"/>
      <c r="F3192" s="42"/>
      <c r="G3192" s="42"/>
      <c r="H3192" s="42"/>
      <c r="I3192" s="42"/>
      <c r="J3192" s="42"/>
      <c r="K3192" s="42"/>
      <c r="L3192" s="42"/>
      <c r="M3192" s="42"/>
    </row>
    <row r="3193" spans="1:13" x14ac:dyDescent="0.2">
      <c r="A3193" s="42"/>
      <c r="B3193" s="42"/>
      <c r="C3193" s="42"/>
      <c r="D3193" s="42"/>
      <c r="E3193" s="42"/>
      <c r="F3193" s="42"/>
      <c r="G3193" s="42"/>
      <c r="H3193" s="42"/>
      <c r="I3193" s="42"/>
      <c r="J3193" s="42"/>
      <c r="K3193" s="42"/>
      <c r="L3193" s="42"/>
      <c r="M3193" s="42"/>
    </row>
    <row r="3194" spans="1:13" x14ac:dyDescent="0.2">
      <c r="A3194" s="42"/>
      <c r="B3194" s="42"/>
      <c r="C3194" s="42"/>
      <c r="D3194" s="42"/>
      <c r="E3194" s="42"/>
      <c r="F3194" s="42"/>
      <c r="G3194" s="42"/>
      <c r="H3194" s="42"/>
      <c r="I3194" s="42"/>
      <c r="J3194" s="42"/>
      <c r="K3194" s="42"/>
      <c r="L3194" s="42"/>
      <c r="M3194" s="42"/>
    </row>
    <row r="3195" spans="1:13" x14ac:dyDescent="0.2">
      <c r="A3195" s="42"/>
      <c r="B3195" s="42"/>
      <c r="C3195" s="42"/>
      <c r="D3195" s="42"/>
      <c r="E3195" s="42"/>
      <c r="F3195" s="42"/>
      <c r="G3195" s="42"/>
      <c r="H3195" s="42"/>
      <c r="I3195" s="42"/>
      <c r="J3195" s="42"/>
      <c r="K3195" s="42"/>
      <c r="L3195" s="42"/>
      <c r="M3195" s="42"/>
    </row>
    <row r="3196" spans="1:13" x14ac:dyDescent="0.2">
      <c r="A3196" s="42"/>
      <c r="B3196" s="42"/>
      <c r="C3196" s="42"/>
      <c r="D3196" s="42"/>
      <c r="E3196" s="42"/>
      <c r="F3196" s="42"/>
      <c r="G3196" s="42"/>
      <c r="H3196" s="42"/>
      <c r="I3196" s="42"/>
      <c r="J3196" s="42"/>
      <c r="K3196" s="42"/>
      <c r="L3196" s="42"/>
      <c r="M3196" s="42"/>
    </row>
    <row r="3197" spans="1:13" x14ac:dyDescent="0.2">
      <c r="A3197" s="42"/>
      <c r="B3197" s="42"/>
      <c r="C3197" s="42"/>
      <c r="D3197" s="42"/>
      <c r="E3197" s="42"/>
      <c r="F3197" s="42"/>
      <c r="G3197" s="42"/>
      <c r="H3197" s="42"/>
      <c r="I3197" s="42"/>
      <c r="J3197" s="42"/>
      <c r="K3197" s="42"/>
      <c r="L3197" s="42"/>
      <c r="M3197" s="42"/>
    </row>
    <row r="3198" spans="1:13" x14ac:dyDescent="0.2">
      <c r="A3198" s="42"/>
      <c r="B3198" s="42"/>
      <c r="C3198" s="42"/>
      <c r="D3198" s="42"/>
      <c r="E3198" s="42"/>
      <c r="F3198" s="42"/>
      <c r="G3198" s="42"/>
      <c r="H3198" s="42"/>
      <c r="I3198" s="42"/>
      <c r="J3198" s="42"/>
      <c r="K3198" s="42"/>
      <c r="L3198" s="42"/>
      <c r="M3198" s="42"/>
    </row>
    <row r="3199" spans="1:13" x14ac:dyDescent="0.2">
      <c r="A3199" s="42"/>
      <c r="B3199" s="42"/>
      <c r="C3199" s="42"/>
      <c r="D3199" s="42"/>
      <c r="E3199" s="42"/>
      <c r="F3199" s="42"/>
      <c r="G3199" s="42"/>
      <c r="H3199" s="42"/>
      <c r="I3199" s="42"/>
      <c r="J3199" s="42"/>
      <c r="K3199" s="42"/>
      <c r="L3199" s="42"/>
      <c r="M3199" s="42"/>
    </row>
    <row r="3200" spans="1:13" x14ac:dyDescent="0.2">
      <c r="A3200" s="42"/>
      <c r="B3200" s="42"/>
      <c r="C3200" s="42"/>
      <c r="D3200" s="42"/>
      <c r="E3200" s="42"/>
      <c r="F3200" s="42"/>
      <c r="G3200" s="42"/>
      <c r="H3200" s="42"/>
      <c r="I3200" s="42"/>
      <c r="J3200" s="42"/>
      <c r="K3200" s="42"/>
      <c r="L3200" s="42"/>
      <c r="M3200" s="42"/>
    </row>
    <row r="3201" spans="1:13" x14ac:dyDescent="0.2">
      <c r="A3201" s="42"/>
      <c r="B3201" s="42"/>
      <c r="C3201" s="42"/>
      <c r="D3201" s="42"/>
      <c r="E3201" s="42"/>
      <c r="F3201" s="42"/>
      <c r="G3201" s="42"/>
      <c r="H3201" s="42"/>
      <c r="I3201" s="42"/>
      <c r="J3201" s="42"/>
      <c r="K3201" s="42"/>
      <c r="L3201" s="42"/>
      <c r="M3201" s="42"/>
    </row>
    <row r="3202" spans="1:13" x14ac:dyDescent="0.2">
      <c r="A3202" s="42"/>
      <c r="B3202" s="42"/>
      <c r="C3202" s="42"/>
      <c r="D3202" s="42"/>
      <c r="E3202" s="42"/>
      <c r="F3202" s="42"/>
      <c r="G3202" s="42"/>
      <c r="H3202" s="42"/>
      <c r="I3202" s="42"/>
      <c r="J3202" s="42"/>
      <c r="K3202" s="42"/>
      <c r="L3202" s="42"/>
      <c r="M3202" s="42"/>
    </row>
    <row r="3203" spans="1:13" x14ac:dyDescent="0.2">
      <c r="A3203" s="42"/>
      <c r="B3203" s="42"/>
      <c r="C3203" s="42"/>
      <c r="D3203" s="42"/>
      <c r="E3203" s="42"/>
      <c r="F3203" s="42"/>
      <c r="G3203" s="42"/>
      <c r="H3203" s="42"/>
      <c r="I3203" s="42"/>
      <c r="J3203" s="42"/>
      <c r="K3203" s="42"/>
      <c r="L3203" s="42"/>
      <c r="M3203" s="42"/>
    </row>
    <row r="3204" spans="1:13" x14ac:dyDescent="0.2">
      <c r="A3204" s="42"/>
      <c r="B3204" s="42"/>
      <c r="C3204" s="42"/>
      <c r="D3204" s="42"/>
      <c r="E3204" s="42"/>
      <c r="F3204" s="42"/>
      <c r="G3204" s="42"/>
      <c r="H3204" s="42"/>
      <c r="I3204" s="42"/>
      <c r="J3204" s="42"/>
      <c r="K3204" s="42"/>
      <c r="L3204" s="42"/>
      <c r="M3204" s="42"/>
    </row>
    <row r="3205" spans="1:13" x14ac:dyDescent="0.2">
      <c r="A3205" s="42"/>
      <c r="B3205" s="42"/>
      <c r="C3205" s="42"/>
      <c r="D3205" s="42"/>
      <c r="E3205" s="42"/>
      <c r="F3205" s="42"/>
      <c r="G3205" s="42"/>
      <c r="H3205" s="42"/>
      <c r="I3205" s="42"/>
      <c r="J3205" s="42"/>
      <c r="K3205" s="42"/>
      <c r="L3205" s="42"/>
      <c r="M3205" s="42"/>
    </row>
    <row r="3206" spans="1:13" x14ac:dyDescent="0.2">
      <c r="A3206" s="42"/>
      <c r="B3206" s="42"/>
      <c r="C3206" s="42"/>
      <c r="D3206" s="42"/>
      <c r="E3206" s="42"/>
      <c r="F3206" s="42"/>
      <c r="G3206" s="42"/>
      <c r="H3206" s="42"/>
      <c r="I3206" s="42"/>
      <c r="J3206" s="42"/>
      <c r="K3206" s="42"/>
      <c r="L3206" s="42"/>
      <c r="M3206" s="42"/>
    </row>
    <row r="3207" spans="1:13" x14ac:dyDescent="0.2">
      <c r="A3207" s="42"/>
      <c r="B3207" s="42"/>
      <c r="C3207" s="42"/>
      <c r="D3207" s="42"/>
      <c r="E3207" s="42"/>
      <c r="F3207" s="42"/>
      <c r="G3207" s="42"/>
      <c r="H3207" s="42"/>
      <c r="I3207" s="42"/>
      <c r="J3207" s="42"/>
      <c r="K3207" s="42"/>
      <c r="L3207" s="42"/>
      <c r="M3207" s="42"/>
    </row>
    <row r="3208" spans="1:13" x14ac:dyDescent="0.2">
      <c r="A3208" s="42"/>
      <c r="B3208" s="42"/>
      <c r="C3208" s="42"/>
      <c r="D3208" s="42"/>
      <c r="E3208" s="42"/>
      <c r="F3208" s="42"/>
      <c r="G3208" s="42"/>
      <c r="H3208" s="42"/>
      <c r="I3208" s="42"/>
      <c r="J3208" s="42"/>
      <c r="K3208" s="42"/>
      <c r="L3208" s="42"/>
      <c r="M3208" s="42"/>
    </row>
    <row r="3209" spans="1:13" x14ac:dyDescent="0.2">
      <c r="A3209" s="42"/>
      <c r="B3209" s="42"/>
      <c r="C3209" s="42"/>
      <c r="D3209" s="42"/>
      <c r="E3209" s="42"/>
      <c r="F3209" s="42"/>
      <c r="G3209" s="42"/>
      <c r="H3209" s="42"/>
      <c r="I3209" s="42"/>
      <c r="J3209" s="42"/>
      <c r="K3209" s="42"/>
      <c r="L3209" s="42"/>
      <c r="M3209" s="42"/>
    </row>
    <row r="3210" spans="1:13" x14ac:dyDescent="0.2">
      <c r="A3210" s="42"/>
      <c r="B3210" s="42"/>
      <c r="C3210" s="42"/>
      <c r="D3210" s="42"/>
      <c r="E3210" s="42"/>
      <c r="F3210" s="42"/>
      <c r="G3210" s="42"/>
      <c r="H3210" s="42"/>
      <c r="I3210" s="42"/>
      <c r="J3210" s="42"/>
      <c r="K3210" s="42"/>
      <c r="L3210" s="42"/>
      <c r="M3210" s="42"/>
    </row>
    <row r="3211" spans="1:13" x14ac:dyDescent="0.2">
      <c r="A3211" s="42"/>
      <c r="B3211" s="42"/>
      <c r="C3211" s="42"/>
      <c r="D3211" s="42"/>
      <c r="E3211" s="42"/>
      <c r="F3211" s="42"/>
      <c r="G3211" s="42"/>
      <c r="H3211" s="42"/>
      <c r="I3211" s="42"/>
      <c r="J3211" s="42"/>
      <c r="K3211" s="42"/>
      <c r="L3211" s="42"/>
      <c r="M3211" s="42"/>
    </row>
    <row r="3212" spans="1:13" x14ac:dyDescent="0.2">
      <c r="A3212" s="42"/>
      <c r="B3212" s="42"/>
      <c r="C3212" s="42"/>
      <c r="D3212" s="42"/>
      <c r="E3212" s="42"/>
      <c r="F3212" s="42"/>
      <c r="G3212" s="42"/>
      <c r="H3212" s="42"/>
      <c r="I3212" s="42"/>
      <c r="J3212" s="42"/>
      <c r="K3212" s="42"/>
      <c r="L3212" s="42"/>
      <c r="M3212" s="42"/>
    </row>
    <row r="3213" spans="1:13" x14ac:dyDescent="0.2">
      <c r="A3213" s="42"/>
      <c r="B3213" s="42"/>
      <c r="C3213" s="42"/>
      <c r="D3213" s="42"/>
      <c r="E3213" s="42"/>
      <c r="F3213" s="42"/>
      <c r="G3213" s="42"/>
      <c r="H3213" s="42"/>
      <c r="I3213" s="42"/>
      <c r="J3213" s="42"/>
      <c r="K3213" s="42"/>
      <c r="L3213" s="42"/>
      <c r="M3213" s="42"/>
    </row>
    <row r="3214" spans="1:13" x14ac:dyDescent="0.2">
      <c r="A3214" s="42"/>
      <c r="B3214" s="42"/>
      <c r="C3214" s="42"/>
      <c r="D3214" s="42"/>
      <c r="E3214" s="42"/>
      <c r="F3214" s="42"/>
      <c r="G3214" s="42"/>
      <c r="H3214" s="42"/>
      <c r="I3214" s="42"/>
      <c r="J3214" s="42"/>
      <c r="K3214" s="42"/>
      <c r="L3214" s="42"/>
      <c r="M3214" s="42"/>
    </row>
    <row r="3215" spans="1:13" x14ac:dyDescent="0.2">
      <c r="A3215" s="42"/>
      <c r="B3215" s="42"/>
      <c r="C3215" s="42"/>
      <c r="D3215" s="42"/>
      <c r="E3215" s="42"/>
      <c r="F3215" s="42"/>
      <c r="G3215" s="42"/>
      <c r="H3215" s="42"/>
      <c r="I3215" s="42"/>
      <c r="J3215" s="42"/>
      <c r="K3215" s="42"/>
      <c r="L3215" s="42"/>
      <c r="M3215" s="42"/>
    </row>
    <row r="3216" spans="1:13" x14ac:dyDescent="0.2">
      <c r="A3216" s="42"/>
      <c r="B3216" s="42"/>
      <c r="C3216" s="42"/>
      <c r="D3216" s="42"/>
      <c r="E3216" s="42"/>
      <c r="F3216" s="42"/>
      <c r="G3216" s="42"/>
      <c r="H3216" s="42"/>
      <c r="I3216" s="42"/>
      <c r="J3216" s="42"/>
      <c r="K3216" s="42"/>
      <c r="L3216" s="42"/>
      <c r="M3216" s="42"/>
    </row>
    <row r="3217" spans="1:13" x14ac:dyDescent="0.2">
      <c r="A3217" s="42"/>
      <c r="B3217" s="42"/>
      <c r="C3217" s="42"/>
      <c r="D3217" s="42"/>
      <c r="E3217" s="42"/>
      <c r="F3217" s="42"/>
      <c r="G3217" s="42"/>
      <c r="H3217" s="42"/>
      <c r="I3217" s="42"/>
      <c r="J3217" s="42"/>
      <c r="K3217" s="42"/>
      <c r="L3217" s="42"/>
      <c r="M3217" s="42"/>
    </row>
    <row r="3218" spans="1:13" x14ac:dyDescent="0.2">
      <c r="A3218" s="42"/>
      <c r="B3218" s="42"/>
      <c r="C3218" s="42"/>
      <c r="D3218" s="42"/>
      <c r="E3218" s="42"/>
      <c r="F3218" s="42"/>
      <c r="G3218" s="42"/>
      <c r="H3218" s="42"/>
      <c r="I3218" s="42"/>
      <c r="J3218" s="42"/>
      <c r="K3218" s="42"/>
      <c r="L3218" s="42"/>
      <c r="M3218" s="42"/>
    </row>
    <row r="3219" spans="1:13" x14ac:dyDescent="0.2">
      <c r="A3219" s="42"/>
      <c r="B3219" s="42"/>
      <c r="C3219" s="42"/>
      <c r="D3219" s="42"/>
      <c r="E3219" s="42"/>
      <c r="F3219" s="42"/>
      <c r="G3219" s="42"/>
      <c r="H3219" s="42"/>
      <c r="I3219" s="42"/>
      <c r="J3219" s="42"/>
      <c r="K3219" s="42"/>
      <c r="L3219" s="42"/>
      <c r="M3219" s="42"/>
    </row>
    <row r="3220" spans="1:13" x14ac:dyDescent="0.2">
      <c r="A3220" s="42"/>
      <c r="B3220" s="42"/>
      <c r="C3220" s="42"/>
      <c r="D3220" s="42"/>
      <c r="E3220" s="42"/>
      <c r="F3220" s="42"/>
      <c r="G3220" s="42"/>
      <c r="H3220" s="42"/>
      <c r="I3220" s="42"/>
      <c r="J3220" s="42"/>
      <c r="K3220" s="42"/>
      <c r="L3220" s="42"/>
      <c r="M3220" s="42"/>
    </row>
    <row r="3221" spans="1:13" x14ac:dyDescent="0.2">
      <c r="A3221" s="42"/>
      <c r="B3221" s="42"/>
      <c r="C3221" s="42"/>
      <c r="D3221" s="42"/>
      <c r="E3221" s="42"/>
      <c r="F3221" s="42"/>
      <c r="G3221" s="42"/>
      <c r="H3221" s="42"/>
      <c r="I3221" s="42"/>
      <c r="J3221" s="42"/>
      <c r="K3221" s="42"/>
      <c r="L3221" s="42"/>
      <c r="M3221" s="42"/>
    </row>
    <row r="3222" spans="1:13" x14ac:dyDescent="0.2">
      <c r="A3222" s="42"/>
      <c r="B3222" s="42"/>
      <c r="C3222" s="42"/>
      <c r="D3222" s="42"/>
      <c r="E3222" s="42"/>
      <c r="F3222" s="42"/>
      <c r="G3222" s="42"/>
      <c r="H3222" s="42"/>
      <c r="I3222" s="42"/>
      <c r="J3222" s="42"/>
      <c r="K3222" s="42"/>
      <c r="L3222" s="42"/>
      <c r="M3222" s="42"/>
    </row>
    <row r="3223" spans="1:13" x14ac:dyDescent="0.2">
      <c r="A3223" s="42"/>
      <c r="B3223" s="42"/>
      <c r="C3223" s="42"/>
      <c r="D3223" s="42"/>
      <c r="E3223" s="42"/>
      <c r="F3223" s="42"/>
      <c r="G3223" s="42"/>
      <c r="H3223" s="42"/>
      <c r="I3223" s="42"/>
      <c r="J3223" s="42"/>
      <c r="K3223" s="42"/>
      <c r="L3223" s="42"/>
      <c r="M3223" s="42"/>
    </row>
    <row r="3224" spans="1:13" x14ac:dyDescent="0.2">
      <c r="A3224" s="42"/>
      <c r="B3224" s="42"/>
      <c r="C3224" s="42"/>
      <c r="D3224" s="42"/>
      <c r="E3224" s="42"/>
      <c r="F3224" s="42"/>
      <c r="G3224" s="42"/>
      <c r="H3224" s="42"/>
      <c r="I3224" s="42"/>
      <c r="J3224" s="42"/>
      <c r="K3224" s="42"/>
      <c r="L3224" s="42"/>
      <c r="M3224" s="42"/>
    </row>
    <row r="3225" spans="1:13" x14ac:dyDescent="0.2">
      <c r="A3225" s="42"/>
      <c r="B3225" s="42"/>
      <c r="C3225" s="42"/>
      <c r="D3225" s="42"/>
      <c r="E3225" s="42"/>
      <c r="F3225" s="42"/>
      <c r="G3225" s="42"/>
      <c r="H3225" s="42"/>
      <c r="I3225" s="42"/>
      <c r="J3225" s="42"/>
      <c r="K3225" s="42"/>
      <c r="L3225" s="42"/>
      <c r="M3225" s="42"/>
    </row>
    <row r="3226" spans="1:13" x14ac:dyDescent="0.2">
      <c r="A3226" s="42"/>
      <c r="B3226" s="42"/>
      <c r="C3226" s="42"/>
      <c r="D3226" s="42"/>
      <c r="E3226" s="42"/>
      <c r="F3226" s="42"/>
      <c r="G3226" s="42"/>
      <c r="H3226" s="42"/>
      <c r="I3226" s="42"/>
      <c r="J3226" s="42"/>
      <c r="K3226" s="42"/>
      <c r="L3226" s="42"/>
      <c r="M3226" s="42"/>
    </row>
    <row r="3227" spans="1:13" x14ac:dyDescent="0.2">
      <c r="A3227" s="42"/>
      <c r="B3227" s="42"/>
      <c r="C3227" s="42"/>
      <c r="D3227" s="42"/>
      <c r="E3227" s="42"/>
      <c r="F3227" s="42"/>
      <c r="G3227" s="42"/>
      <c r="H3227" s="42"/>
      <c r="I3227" s="42"/>
      <c r="J3227" s="42"/>
      <c r="K3227" s="42"/>
      <c r="L3227" s="42"/>
      <c r="M3227" s="42"/>
    </row>
    <row r="3228" spans="1:13" x14ac:dyDescent="0.2">
      <c r="A3228" s="42"/>
      <c r="B3228" s="42"/>
      <c r="C3228" s="42"/>
      <c r="D3228" s="42"/>
      <c r="E3228" s="42"/>
      <c r="F3228" s="42"/>
      <c r="G3228" s="42"/>
      <c r="H3228" s="42"/>
      <c r="I3228" s="42"/>
      <c r="J3228" s="42"/>
      <c r="K3228" s="42"/>
      <c r="L3228" s="42"/>
      <c r="M3228" s="42"/>
    </row>
    <row r="3229" spans="1:13" x14ac:dyDescent="0.2">
      <c r="A3229" s="42"/>
      <c r="B3229" s="42"/>
      <c r="C3229" s="42"/>
      <c r="D3229" s="42"/>
      <c r="E3229" s="42"/>
      <c r="F3229" s="42"/>
      <c r="G3229" s="42"/>
      <c r="H3229" s="42"/>
      <c r="I3229" s="42"/>
      <c r="J3229" s="42"/>
      <c r="K3229" s="42"/>
      <c r="L3229" s="42"/>
      <c r="M3229" s="42"/>
    </row>
    <row r="3230" spans="1:13" x14ac:dyDescent="0.2">
      <c r="A3230" s="42"/>
      <c r="B3230" s="42"/>
      <c r="C3230" s="42"/>
      <c r="D3230" s="42"/>
      <c r="E3230" s="42"/>
      <c r="F3230" s="42"/>
      <c r="G3230" s="42"/>
      <c r="H3230" s="42"/>
      <c r="I3230" s="42"/>
      <c r="J3230" s="42"/>
      <c r="K3230" s="42"/>
      <c r="L3230" s="42"/>
      <c r="M3230" s="42"/>
    </row>
    <row r="3231" spans="1:13" x14ac:dyDescent="0.2">
      <c r="A3231" s="42"/>
      <c r="B3231" s="42"/>
      <c r="C3231" s="42"/>
      <c r="D3231" s="42"/>
      <c r="E3231" s="42"/>
      <c r="F3231" s="42"/>
      <c r="G3231" s="42"/>
      <c r="H3231" s="42"/>
      <c r="I3231" s="42"/>
      <c r="J3231" s="42"/>
      <c r="K3231" s="42"/>
      <c r="L3231" s="42"/>
      <c r="M3231" s="42"/>
    </row>
    <row r="3232" spans="1:13" x14ac:dyDescent="0.2">
      <c r="A3232" s="42"/>
      <c r="B3232" s="42"/>
      <c r="C3232" s="42"/>
      <c r="D3232" s="42"/>
      <c r="E3232" s="42"/>
      <c r="F3232" s="42"/>
      <c r="G3232" s="42"/>
      <c r="H3232" s="42"/>
      <c r="I3232" s="42"/>
      <c r="J3232" s="42"/>
      <c r="K3232" s="42"/>
      <c r="L3232" s="42"/>
      <c r="M3232" s="42"/>
    </row>
    <row r="3233" spans="1:13" x14ac:dyDescent="0.2">
      <c r="A3233" s="42"/>
      <c r="B3233" s="42"/>
      <c r="C3233" s="42"/>
      <c r="D3233" s="42"/>
      <c r="E3233" s="42"/>
      <c r="F3233" s="42"/>
      <c r="G3233" s="42"/>
      <c r="H3233" s="42"/>
      <c r="I3233" s="42"/>
      <c r="J3233" s="42"/>
      <c r="K3233" s="42"/>
      <c r="L3233" s="42"/>
      <c r="M3233" s="42"/>
    </row>
    <row r="3234" spans="1:13" x14ac:dyDescent="0.2">
      <c r="A3234" s="42"/>
      <c r="B3234" s="42"/>
      <c r="C3234" s="42"/>
      <c r="D3234" s="42"/>
      <c r="E3234" s="42"/>
      <c r="F3234" s="42"/>
      <c r="G3234" s="42"/>
      <c r="H3234" s="42"/>
      <c r="I3234" s="42"/>
      <c r="J3234" s="42"/>
      <c r="K3234" s="42"/>
      <c r="L3234" s="42"/>
      <c r="M3234" s="42"/>
    </row>
    <row r="3235" spans="1:13" x14ac:dyDescent="0.2">
      <c r="A3235" s="42"/>
      <c r="B3235" s="42"/>
      <c r="C3235" s="42"/>
      <c r="D3235" s="42"/>
      <c r="E3235" s="42"/>
      <c r="F3235" s="42"/>
      <c r="G3235" s="42"/>
      <c r="H3235" s="42"/>
      <c r="I3235" s="42"/>
      <c r="J3235" s="42"/>
      <c r="K3235" s="42"/>
      <c r="L3235" s="42"/>
      <c r="M3235" s="42"/>
    </row>
    <row r="3236" spans="1:13" x14ac:dyDescent="0.2">
      <c r="A3236" s="42"/>
      <c r="B3236" s="42"/>
      <c r="C3236" s="42"/>
      <c r="D3236" s="42"/>
      <c r="E3236" s="42"/>
      <c r="F3236" s="42"/>
      <c r="G3236" s="42"/>
      <c r="H3236" s="42"/>
      <c r="I3236" s="42"/>
      <c r="J3236" s="42"/>
      <c r="K3236" s="42"/>
      <c r="L3236" s="42"/>
      <c r="M3236" s="42"/>
    </row>
    <row r="3237" spans="1:13" x14ac:dyDescent="0.2">
      <c r="A3237" s="42"/>
      <c r="B3237" s="42"/>
      <c r="C3237" s="42"/>
      <c r="D3237" s="42"/>
      <c r="E3237" s="42"/>
      <c r="F3237" s="42"/>
      <c r="G3237" s="42"/>
      <c r="H3237" s="42"/>
      <c r="I3237" s="42"/>
      <c r="J3237" s="42"/>
      <c r="K3237" s="42"/>
      <c r="L3237" s="42"/>
      <c r="M3237" s="42"/>
    </row>
    <row r="3238" spans="1:13" x14ac:dyDescent="0.2">
      <c r="A3238" s="42"/>
      <c r="B3238" s="42"/>
      <c r="C3238" s="42"/>
      <c r="D3238" s="42"/>
      <c r="E3238" s="42"/>
      <c r="F3238" s="42"/>
      <c r="G3238" s="42"/>
      <c r="H3238" s="42"/>
      <c r="I3238" s="42"/>
      <c r="J3238" s="42"/>
      <c r="K3238" s="42"/>
      <c r="L3238" s="42"/>
      <c r="M3238" s="42"/>
    </row>
    <row r="3239" spans="1:13" x14ac:dyDescent="0.2">
      <c r="A3239" s="42"/>
      <c r="B3239" s="42"/>
      <c r="C3239" s="42"/>
      <c r="D3239" s="42"/>
      <c r="E3239" s="42"/>
      <c r="F3239" s="42"/>
      <c r="G3239" s="42"/>
      <c r="H3239" s="42"/>
      <c r="I3239" s="42"/>
      <c r="J3239" s="42"/>
      <c r="K3239" s="42"/>
      <c r="L3239" s="42"/>
      <c r="M3239" s="42"/>
    </row>
    <row r="3240" spans="1:13" x14ac:dyDescent="0.2">
      <c r="A3240" s="42"/>
      <c r="B3240" s="42"/>
      <c r="C3240" s="42"/>
      <c r="D3240" s="42"/>
      <c r="E3240" s="42"/>
      <c r="F3240" s="42"/>
      <c r="G3240" s="42"/>
      <c r="H3240" s="42"/>
      <c r="I3240" s="42"/>
      <c r="J3240" s="42"/>
      <c r="K3240" s="42"/>
      <c r="L3240" s="42"/>
      <c r="M3240" s="42"/>
    </row>
    <row r="3241" spans="1:13" x14ac:dyDescent="0.2">
      <c r="A3241" s="42"/>
      <c r="B3241" s="42"/>
      <c r="C3241" s="42"/>
      <c r="D3241" s="42"/>
      <c r="E3241" s="42"/>
      <c r="F3241" s="42"/>
      <c r="G3241" s="42"/>
      <c r="H3241" s="42"/>
      <c r="I3241" s="42"/>
      <c r="J3241" s="42"/>
      <c r="K3241" s="42"/>
      <c r="L3241" s="42"/>
      <c r="M3241" s="42"/>
    </row>
    <row r="3242" spans="1:13" x14ac:dyDescent="0.2">
      <c r="A3242" s="42"/>
      <c r="B3242" s="42"/>
      <c r="C3242" s="42"/>
      <c r="D3242" s="42"/>
      <c r="E3242" s="42"/>
      <c r="F3242" s="42"/>
      <c r="G3242" s="42"/>
      <c r="H3242" s="42"/>
      <c r="I3242" s="42"/>
      <c r="J3242" s="42"/>
      <c r="K3242" s="42"/>
      <c r="L3242" s="42"/>
      <c r="M3242" s="42"/>
    </row>
    <row r="3243" spans="1:13" x14ac:dyDescent="0.2">
      <c r="A3243" s="42"/>
      <c r="B3243" s="42"/>
      <c r="C3243" s="42"/>
      <c r="D3243" s="42"/>
      <c r="E3243" s="42"/>
      <c r="F3243" s="42"/>
      <c r="G3243" s="42"/>
      <c r="H3243" s="42"/>
      <c r="I3243" s="42"/>
      <c r="J3243" s="42"/>
      <c r="K3243" s="42"/>
      <c r="L3243" s="42"/>
      <c r="M3243" s="42"/>
    </row>
    <row r="3244" spans="1:13" x14ac:dyDescent="0.2">
      <c r="A3244" s="42"/>
      <c r="B3244" s="42"/>
      <c r="C3244" s="42"/>
      <c r="D3244" s="42"/>
      <c r="E3244" s="42"/>
      <c r="F3244" s="42"/>
      <c r="G3244" s="42"/>
      <c r="H3244" s="42"/>
      <c r="I3244" s="42"/>
      <c r="J3244" s="42"/>
      <c r="K3244" s="42"/>
      <c r="L3244" s="42"/>
      <c r="M3244" s="42"/>
    </row>
    <row r="3245" spans="1:13" x14ac:dyDescent="0.2">
      <c r="A3245" s="42"/>
      <c r="B3245" s="42"/>
      <c r="C3245" s="42"/>
      <c r="D3245" s="42"/>
      <c r="E3245" s="42"/>
      <c r="F3245" s="42"/>
      <c r="G3245" s="42"/>
      <c r="H3245" s="42"/>
      <c r="I3245" s="42"/>
      <c r="J3245" s="42"/>
      <c r="K3245" s="42"/>
      <c r="L3245" s="42"/>
      <c r="M3245" s="42"/>
    </row>
    <row r="3246" spans="1:13" x14ac:dyDescent="0.2">
      <c r="A3246" s="42"/>
      <c r="B3246" s="42"/>
      <c r="C3246" s="42"/>
      <c r="D3246" s="42"/>
      <c r="E3246" s="42"/>
      <c r="F3246" s="42"/>
      <c r="G3246" s="42"/>
      <c r="H3246" s="42"/>
      <c r="I3246" s="42"/>
      <c r="J3246" s="42"/>
      <c r="K3246" s="42"/>
      <c r="L3246" s="42"/>
      <c r="M3246" s="42"/>
    </row>
    <row r="3247" spans="1:13" x14ac:dyDescent="0.2">
      <c r="A3247" s="42"/>
      <c r="B3247" s="42"/>
      <c r="C3247" s="42"/>
      <c r="D3247" s="42"/>
      <c r="E3247" s="42"/>
      <c r="F3247" s="42"/>
      <c r="G3247" s="42"/>
      <c r="H3247" s="42"/>
      <c r="I3247" s="42"/>
      <c r="J3247" s="42"/>
      <c r="K3247" s="42"/>
      <c r="L3247" s="42"/>
      <c r="M3247" s="42"/>
    </row>
    <row r="3248" spans="1:13" x14ac:dyDescent="0.2">
      <c r="A3248" s="42"/>
      <c r="B3248" s="42"/>
      <c r="C3248" s="42"/>
      <c r="D3248" s="42"/>
      <c r="E3248" s="42"/>
      <c r="F3248" s="42"/>
      <c r="G3248" s="42"/>
      <c r="H3248" s="42"/>
      <c r="I3248" s="42"/>
      <c r="J3248" s="42"/>
      <c r="K3248" s="42"/>
      <c r="L3248" s="42"/>
      <c r="M3248" s="42"/>
    </row>
    <row r="3249" spans="1:13" x14ac:dyDescent="0.2">
      <c r="A3249" s="42"/>
      <c r="B3249" s="42"/>
      <c r="C3249" s="42"/>
      <c r="D3249" s="42"/>
      <c r="E3249" s="42"/>
      <c r="F3249" s="42"/>
      <c r="G3249" s="42"/>
      <c r="H3249" s="42"/>
      <c r="I3249" s="42"/>
      <c r="J3249" s="42"/>
      <c r="K3249" s="42"/>
      <c r="L3249" s="42"/>
      <c r="M3249" s="42"/>
    </row>
    <row r="3250" spans="1:13" x14ac:dyDescent="0.2">
      <c r="A3250" s="42"/>
      <c r="B3250" s="42"/>
      <c r="C3250" s="42"/>
      <c r="D3250" s="42"/>
      <c r="E3250" s="42"/>
      <c r="F3250" s="42"/>
      <c r="G3250" s="42"/>
      <c r="H3250" s="42"/>
      <c r="I3250" s="42"/>
      <c r="J3250" s="42"/>
      <c r="K3250" s="42"/>
      <c r="L3250" s="42"/>
      <c r="M3250" s="42"/>
    </row>
    <row r="3251" spans="1:13" x14ac:dyDescent="0.2">
      <c r="A3251" s="42"/>
      <c r="B3251" s="42"/>
      <c r="C3251" s="42"/>
      <c r="D3251" s="42"/>
      <c r="E3251" s="42"/>
      <c r="F3251" s="42"/>
      <c r="G3251" s="42"/>
      <c r="H3251" s="42"/>
      <c r="I3251" s="42"/>
      <c r="J3251" s="42"/>
      <c r="K3251" s="42"/>
      <c r="L3251" s="42"/>
      <c r="M3251" s="42"/>
    </row>
    <row r="3252" spans="1:13" x14ac:dyDescent="0.2">
      <c r="A3252" s="42"/>
      <c r="B3252" s="42"/>
      <c r="C3252" s="42"/>
      <c r="D3252" s="42"/>
      <c r="E3252" s="42"/>
      <c r="F3252" s="42"/>
      <c r="G3252" s="42"/>
      <c r="H3252" s="42"/>
      <c r="I3252" s="42"/>
      <c r="J3252" s="42"/>
      <c r="K3252" s="42"/>
      <c r="L3252" s="42"/>
      <c r="M3252" s="42"/>
    </row>
    <row r="3253" spans="1:13" x14ac:dyDescent="0.2">
      <c r="A3253" s="42"/>
      <c r="B3253" s="42"/>
      <c r="C3253" s="42"/>
      <c r="D3253" s="42"/>
      <c r="E3253" s="42"/>
      <c r="F3253" s="42"/>
      <c r="G3253" s="42"/>
      <c r="H3253" s="42"/>
      <c r="I3253" s="42"/>
      <c r="J3253" s="42"/>
      <c r="K3253" s="42"/>
      <c r="L3253" s="42"/>
      <c r="M3253" s="42"/>
    </row>
    <row r="3254" spans="1:13" x14ac:dyDescent="0.2">
      <c r="A3254" s="42"/>
      <c r="B3254" s="42"/>
      <c r="C3254" s="42"/>
      <c r="D3254" s="42"/>
      <c r="E3254" s="42"/>
      <c r="F3254" s="42"/>
      <c r="G3254" s="42"/>
      <c r="H3254" s="42"/>
      <c r="I3254" s="42"/>
      <c r="J3254" s="42"/>
      <c r="K3254" s="42"/>
      <c r="L3254" s="42"/>
      <c r="M3254" s="42"/>
    </row>
    <row r="3255" spans="1:13" x14ac:dyDescent="0.2">
      <c r="A3255" s="42"/>
      <c r="B3255" s="42"/>
      <c r="C3255" s="42"/>
      <c r="D3255" s="42"/>
      <c r="E3255" s="42"/>
      <c r="F3255" s="42"/>
      <c r="G3255" s="42"/>
      <c r="H3255" s="42"/>
      <c r="I3255" s="42"/>
      <c r="J3255" s="42"/>
      <c r="K3255" s="42"/>
      <c r="L3255" s="42"/>
      <c r="M3255" s="42"/>
    </row>
    <row r="3256" spans="1:13" x14ac:dyDescent="0.2">
      <c r="A3256" s="42"/>
      <c r="B3256" s="42"/>
      <c r="C3256" s="42"/>
      <c r="D3256" s="42"/>
      <c r="E3256" s="42"/>
      <c r="F3256" s="42"/>
      <c r="G3256" s="42"/>
      <c r="H3256" s="42"/>
      <c r="I3256" s="42"/>
      <c r="J3256" s="42"/>
      <c r="K3256" s="42"/>
      <c r="L3256" s="42"/>
      <c r="M3256" s="42"/>
    </row>
    <row r="3257" spans="1:13" x14ac:dyDescent="0.2">
      <c r="A3257" s="42"/>
      <c r="B3257" s="42"/>
      <c r="C3257" s="42"/>
      <c r="D3257" s="42"/>
      <c r="E3257" s="42"/>
      <c r="F3257" s="42"/>
      <c r="G3257" s="42"/>
      <c r="H3257" s="42"/>
      <c r="I3257" s="42"/>
      <c r="J3257" s="42"/>
      <c r="K3257" s="42"/>
      <c r="L3257" s="42"/>
      <c r="M3257" s="42"/>
    </row>
    <row r="3258" spans="1:13" x14ac:dyDescent="0.2">
      <c r="A3258" s="42"/>
      <c r="B3258" s="42"/>
      <c r="C3258" s="42"/>
      <c r="D3258" s="42"/>
      <c r="E3258" s="42"/>
      <c r="F3258" s="42"/>
      <c r="G3258" s="42"/>
      <c r="H3258" s="42"/>
      <c r="I3258" s="42"/>
      <c r="J3258" s="42"/>
      <c r="K3258" s="42"/>
      <c r="L3258" s="42"/>
      <c r="M3258" s="42"/>
    </row>
    <row r="3259" spans="1:13" x14ac:dyDescent="0.2">
      <c r="A3259" s="42"/>
      <c r="B3259" s="42"/>
      <c r="C3259" s="42"/>
      <c r="D3259" s="42"/>
      <c r="E3259" s="42"/>
      <c r="F3259" s="42"/>
      <c r="G3259" s="42"/>
      <c r="H3259" s="42"/>
      <c r="I3259" s="42"/>
      <c r="J3259" s="42"/>
      <c r="K3259" s="42"/>
      <c r="L3259" s="42"/>
      <c r="M3259" s="42"/>
    </row>
    <row r="3260" spans="1:13" x14ac:dyDescent="0.2">
      <c r="A3260" s="42"/>
      <c r="B3260" s="42"/>
      <c r="C3260" s="42"/>
      <c r="D3260" s="42"/>
      <c r="E3260" s="42"/>
      <c r="F3260" s="42"/>
      <c r="G3260" s="42"/>
      <c r="H3260" s="42"/>
      <c r="I3260" s="42"/>
      <c r="J3260" s="42"/>
      <c r="K3260" s="42"/>
      <c r="L3260" s="42"/>
      <c r="M3260" s="42"/>
    </row>
    <row r="3261" spans="1:13" x14ac:dyDescent="0.2">
      <c r="A3261" s="42"/>
      <c r="B3261" s="42"/>
      <c r="C3261" s="42"/>
      <c r="D3261" s="42"/>
      <c r="E3261" s="42"/>
      <c r="F3261" s="42"/>
      <c r="G3261" s="42"/>
      <c r="H3261" s="42"/>
      <c r="I3261" s="42"/>
      <c r="J3261" s="42"/>
      <c r="K3261" s="42"/>
      <c r="L3261" s="42"/>
      <c r="M3261" s="42"/>
    </row>
    <row r="3262" spans="1:13" x14ac:dyDescent="0.2">
      <c r="A3262" s="42"/>
      <c r="B3262" s="42"/>
      <c r="C3262" s="42"/>
      <c r="D3262" s="42"/>
      <c r="E3262" s="42"/>
      <c r="F3262" s="42"/>
      <c r="G3262" s="42"/>
      <c r="H3262" s="42"/>
      <c r="I3262" s="42"/>
      <c r="J3262" s="42"/>
      <c r="K3262" s="42"/>
      <c r="L3262" s="42"/>
      <c r="M3262" s="42"/>
    </row>
    <row r="3263" spans="1:13" x14ac:dyDescent="0.2">
      <c r="A3263" s="42"/>
      <c r="B3263" s="42"/>
      <c r="C3263" s="42"/>
      <c r="D3263" s="42"/>
      <c r="E3263" s="42"/>
      <c r="F3263" s="42"/>
      <c r="G3263" s="42"/>
      <c r="H3263" s="42"/>
      <c r="I3263" s="42"/>
      <c r="J3263" s="42"/>
      <c r="K3263" s="42"/>
      <c r="L3263" s="42"/>
      <c r="M3263" s="42"/>
    </row>
    <row r="3264" spans="1:13" x14ac:dyDescent="0.2">
      <c r="A3264" s="42"/>
      <c r="B3264" s="42"/>
      <c r="C3264" s="42"/>
      <c r="D3264" s="42"/>
      <c r="E3264" s="42"/>
      <c r="F3264" s="42"/>
      <c r="G3264" s="42"/>
      <c r="H3264" s="42"/>
      <c r="I3264" s="42"/>
      <c r="J3264" s="42"/>
      <c r="K3264" s="42"/>
      <c r="L3264" s="42"/>
      <c r="M3264" s="42"/>
    </row>
    <row r="3265" spans="1:13" x14ac:dyDescent="0.2">
      <c r="A3265" s="42"/>
      <c r="B3265" s="42"/>
      <c r="C3265" s="42"/>
      <c r="D3265" s="42"/>
      <c r="E3265" s="42"/>
      <c r="F3265" s="42"/>
      <c r="G3265" s="42"/>
      <c r="H3265" s="42"/>
      <c r="I3265" s="42"/>
      <c r="J3265" s="42"/>
      <c r="K3265" s="42"/>
      <c r="L3265" s="42"/>
      <c r="M3265" s="42"/>
    </row>
    <row r="3266" spans="1:13" x14ac:dyDescent="0.2">
      <c r="A3266" s="42"/>
      <c r="B3266" s="42"/>
      <c r="C3266" s="42"/>
      <c r="D3266" s="42"/>
      <c r="E3266" s="42"/>
      <c r="F3266" s="42"/>
      <c r="G3266" s="42"/>
      <c r="H3266" s="42"/>
      <c r="I3266" s="42"/>
      <c r="J3266" s="42"/>
      <c r="K3266" s="42"/>
      <c r="L3266" s="42"/>
      <c r="M3266" s="42"/>
    </row>
    <row r="3267" spans="1:13" x14ac:dyDescent="0.2">
      <c r="A3267" s="42"/>
      <c r="B3267" s="42"/>
      <c r="C3267" s="42"/>
      <c r="D3267" s="42"/>
      <c r="E3267" s="42"/>
      <c r="F3267" s="42"/>
      <c r="G3267" s="42"/>
      <c r="H3267" s="42"/>
      <c r="I3267" s="42"/>
      <c r="J3267" s="42"/>
      <c r="K3267" s="42"/>
      <c r="L3267" s="42"/>
      <c r="M3267" s="42"/>
    </row>
    <row r="3268" spans="1:13" x14ac:dyDescent="0.2">
      <c r="A3268" s="42"/>
      <c r="B3268" s="42"/>
      <c r="C3268" s="42"/>
      <c r="D3268" s="42"/>
      <c r="E3268" s="42"/>
      <c r="F3268" s="42"/>
      <c r="G3268" s="42"/>
      <c r="H3268" s="42"/>
      <c r="I3268" s="42"/>
      <c r="J3268" s="42"/>
      <c r="K3268" s="42"/>
      <c r="L3268" s="42"/>
      <c r="M3268" s="42"/>
    </row>
    <row r="3269" spans="1:13" x14ac:dyDescent="0.2">
      <c r="A3269" s="42"/>
      <c r="B3269" s="42"/>
      <c r="C3269" s="42"/>
      <c r="D3269" s="42"/>
      <c r="E3269" s="42"/>
      <c r="F3269" s="42"/>
      <c r="G3269" s="42"/>
      <c r="H3269" s="42"/>
      <c r="I3269" s="42"/>
      <c r="J3269" s="42"/>
      <c r="K3269" s="42"/>
      <c r="L3269" s="42"/>
      <c r="M3269" s="42"/>
    </row>
    <row r="3270" spans="1:13" x14ac:dyDescent="0.2">
      <c r="A3270" s="42"/>
      <c r="B3270" s="42"/>
      <c r="C3270" s="42"/>
      <c r="D3270" s="42"/>
      <c r="E3270" s="42"/>
      <c r="F3270" s="42"/>
      <c r="G3270" s="42"/>
      <c r="H3270" s="42"/>
      <c r="I3270" s="42"/>
      <c r="J3270" s="42"/>
      <c r="K3270" s="42"/>
      <c r="L3270" s="42"/>
      <c r="M3270" s="42"/>
    </row>
    <row r="3271" spans="1:13" x14ac:dyDescent="0.2">
      <c r="A3271" s="42"/>
      <c r="B3271" s="42"/>
      <c r="C3271" s="42"/>
      <c r="D3271" s="42"/>
      <c r="E3271" s="42"/>
      <c r="F3271" s="42"/>
      <c r="G3271" s="42"/>
      <c r="H3271" s="42"/>
      <c r="I3271" s="42"/>
      <c r="J3271" s="42"/>
      <c r="K3271" s="42"/>
      <c r="L3271" s="42"/>
      <c r="M3271" s="42"/>
    </row>
    <row r="3272" spans="1:13" x14ac:dyDescent="0.2">
      <c r="A3272" s="42"/>
      <c r="B3272" s="42"/>
      <c r="C3272" s="42"/>
      <c r="D3272" s="42"/>
      <c r="E3272" s="42"/>
      <c r="F3272" s="42"/>
      <c r="G3272" s="42"/>
      <c r="H3272" s="42"/>
      <c r="I3272" s="42"/>
      <c r="J3272" s="42"/>
      <c r="K3272" s="42"/>
      <c r="L3272" s="42"/>
      <c r="M3272" s="42"/>
    </row>
    <row r="3273" spans="1:13" x14ac:dyDescent="0.2">
      <c r="A3273" s="42"/>
      <c r="B3273" s="42"/>
      <c r="C3273" s="42"/>
      <c r="D3273" s="42"/>
      <c r="E3273" s="42"/>
      <c r="F3273" s="42"/>
      <c r="G3273" s="42"/>
      <c r="H3273" s="42"/>
      <c r="I3273" s="42"/>
      <c r="J3273" s="42"/>
      <c r="K3273" s="42"/>
      <c r="L3273" s="42"/>
      <c r="M3273" s="42"/>
    </row>
    <row r="3274" spans="1:13" x14ac:dyDescent="0.2">
      <c r="A3274" s="42"/>
      <c r="B3274" s="42"/>
      <c r="C3274" s="42"/>
      <c r="D3274" s="42"/>
      <c r="E3274" s="42"/>
      <c r="F3274" s="42"/>
      <c r="G3274" s="42"/>
      <c r="H3274" s="42"/>
      <c r="I3274" s="42"/>
      <c r="J3274" s="42"/>
      <c r="K3274" s="42"/>
      <c r="L3274" s="42"/>
      <c r="M3274" s="42"/>
    </row>
    <row r="3275" spans="1:13" x14ac:dyDescent="0.2">
      <c r="A3275" s="42"/>
      <c r="B3275" s="42"/>
      <c r="C3275" s="42"/>
      <c r="D3275" s="42"/>
      <c r="E3275" s="42"/>
      <c r="F3275" s="42"/>
      <c r="G3275" s="42"/>
      <c r="H3275" s="42"/>
      <c r="I3275" s="42"/>
      <c r="J3275" s="42"/>
      <c r="K3275" s="42"/>
      <c r="L3275" s="42"/>
      <c r="M3275" s="42"/>
    </row>
    <row r="3276" spans="1:13" x14ac:dyDescent="0.2">
      <c r="A3276" s="42"/>
      <c r="B3276" s="42"/>
      <c r="C3276" s="42"/>
      <c r="D3276" s="42"/>
      <c r="E3276" s="42"/>
      <c r="F3276" s="42"/>
      <c r="G3276" s="42"/>
      <c r="H3276" s="42"/>
      <c r="I3276" s="42"/>
      <c r="J3276" s="42"/>
      <c r="K3276" s="42"/>
      <c r="L3276" s="42"/>
      <c r="M3276" s="42"/>
    </row>
    <row r="3277" spans="1:13" x14ac:dyDescent="0.2">
      <c r="A3277" s="42"/>
      <c r="B3277" s="42"/>
      <c r="C3277" s="42"/>
      <c r="D3277" s="42"/>
      <c r="E3277" s="42"/>
      <c r="F3277" s="42"/>
      <c r="G3277" s="42"/>
      <c r="H3277" s="42"/>
      <c r="I3277" s="42"/>
      <c r="J3277" s="42"/>
      <c r="K3277" s="42"/>
      <c r="L3277" s="42"/>
      <c r="M3277" s="42"/>
    </row>
    <row r="3278" spans="1:13" x14ac:dyDescent="0.2">
      <c r="A3278" s="42"/>
      <c r="B3278" s="42"/>
      <c r="C3278" s="42"/>
      <c r="D3278" s="42"/>
      <c r="E3278" s="42"/>
      <c r="F3278" s="42"/>
      <c r="G3278" s="42"/>
      <c r="H3278" s="42"/>
      <c r="I3278" s="42"/>
      <c r="J3278" s="42"/>
      <c r="K3278" s="42"/>
      <c r="L3278" s="42"/>
      <c r="M3278" s="42"/>
    </row>
    <row r="3279" spans="1:13" x14ac:dyDescent="0.2">
      <c r="A3279" s="42"/>
      <c r="B3279" s="42"/>
      <c r="C3279" s="42"/>
      <c r="D3279" s="42"/>
      <c r="E3279" s="42"/>
      <c r="F3279" s="42"/>
      <c r="G3279" s="42"/>
      <c r="H3279" s="42"/>
      <c r="I3279" s="42"/>
      <c r="J3279" s="42"/>
      <c r="K3279" s="42"/>
      <c r="L3279" s="42"/>
      <c r="M3279" s="42"/>
    </row>
    <row r="3280" spans="1:13" x14ac:dyDescent="0.2">
      <c r="A3280" s="42"/>
      <c r="B3280" s="42"/>
      <c r="C3280" s="42"/>
      <c r="D3280" s="42"/>
      <c r="E3280" s="42"/>
      <c r="F3280" s="42"/>
      <c r="G3280" s="42"/>
      <c r="H3280" s="42"/>
      <c r="I3280" s="42"/>
      <c r="J3280" s="42"/>
      <c r="K3280" s="42"/>
      <c r="L3280" s="42"/>
      <c r="M3280" s="42"/>
    </row>
    <row r="3281" spans="1:13" x14ac:dyDescent="0.2">
      <c r="A3281" s="42"/>
      <c r="B3281" s="42"/>
      <c r="C3281" s="42"/>
      <c r="D3281" s="42"/>
      <c r="E3281" s="42"/>
      <c r="F3281" s="42"/>
      <c r="G3281" s="42"/>
      <c r="H3281" s="42"/>
      <c r="I3281" s="42"/>
      <c r="J3281" s="42"/>
      <c r="K3281" s="42"/>
      <c r="L3281" s="42"/>
      <c r="M3281" s="42"/>
    </row>
    <row r="3282" spans="1:13" x14ac:dyDescent="0.2">
      <c r="A3282" s="42"/>
      <c r="B3282" s="42"/>
      <c r="C3282" s="42"/>
      <c r="D3282" s="42"/>
      <c r="E3282" s="42"/>
      <c r="F3282" s="42"/>
      <c r="G3282" s="42"/>
      <c r="H3282" s="42"/>
      <c r="I3282" s="42"/>
      <c r="J3282" s="42"/>
      <c r="K3282" s="42"/>
      <c r="L3282" s="42"/>
      <c r="M3282" s="42"/>
    </row>
    <row r="3283" spans="1:13" x14ac:dyDescent="0.2">
      <c r="A3283" s="42"/>
      <c r="B3283" s="42"/>
      <c r="C3283" s="42"/>
      <c r="D3283" s="42"/>
      <c r="E3283" s="42"/>
      <c r="F3283" s="42"/>
      <c r="G3283" s="42"/>
      <c r="H3283" s="42"/>
      <c r="I3283" s="42"/>
      <c r="J3283" s="42"/>
      <c r="K3283" s="42"/>
      <c r="L3283" s="42"/>
      <c r="M3283" s="42"/>
    </row>
    <row r="3284" spans="1:13" x14ac:dyDescent="0.2">
      <c r="A3284" s="42"/>
      <c r="B3284" s="42"/>
      <c r="C3284" s="42"/>
      <c r="D3284" s="42"/>
      <c r="E3284" s="42"/>
      <c r="F3284" s="42"/>
      <c r="G3284" s="42"/>
      <c r="H3284" s="42"/>
      <c r="I3284" s="42"/>
      <c r="J3284" s="42"/>
      <c r="K3284" s="42"/>
      <c r="L3284" s="42"/>
      <c r="M3284" s="42"/>
    </row>
    <row r="3285" spans="1:13" x14ac:dyDescent="0.2">
      <c r="A3285" s="42"/>
      <c r="B3285" s="42"/>
      <c r="C3285" s="42"/>
      <c r="D3285" s="42"/>
      <c r="E3285" s="42"/>
      <c r="F3285" s="42"/>
      <c r="G3285" s="42"/>
      <c r="H3285" s="42"/>
      <c r="I3285" s="42"/>
      <c r="J3285" s="42"/>
      <c r="K3285" s="42"/>
      <c r="L3285" s="42"/>
      <c r="M3285" s="42"/>
    </row>
    <row r="3286" spans="1:13" x14ac:dyDescent="0.2">
      <c r="A3286" s="42"/>
      <c r="B3286" s="42"/>
      <c r="C3286" s="42"/>
      <c r="D3286" s="42"/>
      <c r="E3286" s="42"/>
      <c r="F3286" s="42"/>
      <c r="G3286" s="42"/>
      <c r="H3286" s="42"/>
      <c r="I3286" s="42"/>
      <c r="J3286" s="42"/>
      <c r="K3286" s="42"/>
      <c r="L3286" s="42"/>
      <c r="M3286" s="42"/>
    </row>
    <row r="3287" spans="1:13" x14ac:dyDescent="0.2">
      <c r="A3287" s="42"/>
      <c r="B3287" s="42"/>
      <c r="C3287" s="42"/>
      <c r="D3287" s="42"/>
      <c r="E3287" s="42"/>
      <c r="F3287" s="42"/>
      <c r="G3287" s="42"/>
      <c r="H3287" s="42"/>
      <c r="I3287" s="42"/>
      <c r="J3287" s="42"/>
      <c r="K3287" s="42"/>
      <c r="L3287" s="42"/>
      <c r="M3287" s="42"/>
    </row>
    <row r="3288" spans="1:13" x14ac:dyDescent="0.2">
      <c r="A3288" s="42"/>
      <c r="B3288" s="42"/>
      <c r="C3288" s="42"/>
      <c r="D3288" s="42"/>
      <c r="E3288" s="42"/>
      <c r="F3288" s="42"/>
      <c r="G3288" s="42"/>
      <c r="H3288" s="42"/>
      <c r="I3288" s="42"/>
      <c r="J3288" s="42"/>
      <c r="K3288" s="42"/>
      <c r="L3288" s="42"/>
      <c r="M3288" s="42"/>
    </row>
    <row r="3289" spans="1:13" x14ac:dyDescent="0.2">
      <c r="A3289" s="42"/>
      <c r="B3289" s="42"/>
      <c r="C3289" s="42"/>
      <c r="D3289" s="42"/>
      <c r="E3289" s="42"/>
      <c r="F3289" s="42"/>
      <c r="G3289" s="42"/>
      <c r="H3289" s="42"/>
      <c r="I3289" s="42"/>
      <c r="J3289" s="42"/>
      <c r="K3289" s="42"/>
      <c r="L3289" s="42"/>
      <c r="M3289" s="42"/>
    </row>
    <row r="3290" spans="1:13" x14ac:dyDescent="0.2">
      <c r="A3290" s="42"/>
      <c r="B3290" s="42"/>
      <c r="C3290" s="42"/>
      <c r="D3290" s="42"/>
      <c r="E3290" s="42"/>
      <c r="F3290" s="42"/>
      <c r="G3290" s="42"/>
      <c r="H3290" s="42"/>
      <c r="I3290" s="42"/>
      <c r="J3290" s="42"/>
      <c r="K3290" s="42"/>
      <c r="L3290" s="42"/>
      <c r="M3290" s="42"/>
    </row>
    <row r="3291" spans="1:13" x14ac:dyDescent="0.2">
      <c r="A3291" s="42"/>
      <c r="B3291" s="42"/>
      <c r="C3291" s="42"/>
      <c r="D3291" s="42"/>
      <c r="E3291" s="42"/>
      <c r="F3291" s="42"/>
      <c r="G3291" s="42"/>
      <c r="H3291" s="42"/>
      <c r="I3291" s="42"/>
      <c r="J3291" s="42"/>
      <c r="K3291" s="42"/>
      <c r="L3291" s="42"/>
      <c r="M3291" s="42"/>
    </row>
    <row r="3292" spans="1:13" x14ac:dyDescent="0.2">
      <c r="A3292" s="42"/>
      <c r="B3292" s="42"/>
      <c r="C3292" s="42"/>
      <c r="D3292" s="42"/>
      <c r="E3292" s="42"/>
      <c r="F3292" s="42"/>
      <c r="G3292" s="42"/>
      <c r="H3292" s="42"/>
      <c r="I3292" s="42"/>
      <c r="J3292" s="42"/>
      <c r="K3292" s="42"/>
      <c r="L3292" s="42"/>
      <c r="M3292" s="42"/>
    </row>
    <row r="3293" spans="1:13" x14ac:dyDescent="0.2">
      <c r="A3293" s="42"/>
      <c r="B3293" s="42"/>
      <c r="C3293" s="42"/>
      <c r="D3293" s="42"/>
      <c r="E3293" s="42"/>
      <c r="F3293" s="42"/>
      <c r="G3293" s="42"/>
      <c r="H3293" s="42"/>
      <c r="I3293" s="42"/>
      <c r="J3293" s="42"/>
      <c r="K3293" s="42"/>
      <c r="L3293" s="42"/>
      <c r="M3293" s="42"/>
    </row>
    <row r="3294" spans="1:13" x14ac:dyDescent="0.2">
      <c r="A3294" s="42"/>
      <c r="B3294" s="42"/>
      <c r="C3294" s="42"/>
      <c r="D3294" s="42"/>
      <c r="E3294" s="42"/>
      <c r="F3294" s="42"/>
      <c r="G3294" s="42"/>
      <c r="H3294" s="42"/>
      <c r="I3294" s="42"/>
      <c r="J3294" s="42"/>
      <c r="K3294" s="42"/>
      <c r="L3294" s="42"/>
      <c r="M3294" s="42"/>
    </row>
    <row r="3295" spans="1:13" x14ac:dyDescent="0.2">
      <c r="A3295" s="42"/>
      <c r="B3295" s="42"/>
      <c r="C3295" s="42"/>
      <c r="D3295" s="42"/>
      <c r="E3295" s="42"/>
      <c r="F3295" s="42"/>
      <c r="G3295" s="42"/>
      <c r="H3295" s="42"/>
      <c r="I3295" s="42"/>
      <c r="J3295" s="42"/>
      <c r="K3295" s="42"/>
      <c r="L3295" s="42"/>
      <c r="M3295" s="42"/>
    </row>
    <row r="3296" spans="1:13" x14ac:dyDescent="0.2">
      <c r="A3296" s="42"/>
      <c r="B3296" s="42"/>
      <c r="C3296" s="42"/>
      <c r="D3296" s="42"/>
      <c r="E3296" s="42"/>
      <c r="F3296" s="42"/>
      <c r="G3296" s="42"/>
      <c r="H3296" s="42"/>
      <c r="I3296" s="42"/>
      <c r="J3296" s="42"/>
      <c r="K3296" s="42"/>
      <c r="L3296" s="42"/>
      <c r="M3296" s="42"/>
    </row>
    <row r="3297" spans="1:13" x14ac:dyDescent="0.2">
      <c r="A3297" s="42"/>
      <c r="B3297" s="42"/>
      <c r="C3297" s="42"/>
      <c r="D3297" s="42"/>
      <c r="E3297" s="42"/>
      <c r="F3297" s="42"/>
      <c r="G3297" s="42"/>
      <c r="H3297" s="42"/>
      <c r="I3297" s="42"/>
      <c r="J3297" s="42"/>
      <c r="K3297" s="42"/>
      <c r="L3297" s="42"/>
      <c r="M3297" s="42"/>
    </row>
    <row r="3298" spans="1:13" x14ac:dyDescent="0.2">
      <c r="A3298" s="42"/>
      <c r="B3298" s="42"/>
      <c r="C3298" s="42"/>
      <c r="D3298" s="42"/>
      <c r="E3298" s="42"/>
      <c r="F3298" s="42"/>
      <c r="G3298" s="42"/>
      <c r="H3298" s="42"/>
      <c r="I3298" s="42"/>
      <c r="J3298" s="42"/>
      <c r="K3298" s="42"/>
      <c r="L3298" s="42"/>
      <c r="M3298" s="42"/>
    </row>
    <row r="3299" spans="1:13" x14ac:dyDescent="0.2">
      <c r="A3299" s="42"/>
      <c r="B3299" s="42"/>
      <c r="C3299" s="42"/>
      <c r="D3299" s="42"/>
      <c r="E3299" s="42"/>
      <c r="F3299" s="42"/>
      <c r="G3299" s="42"/>
      <c r="H3299" s="42"/>
      <c r="I3299" s="42"/>
      <c r="J3299" s="42"/>
      <c r="K3299" s="42"/>
      <c r="L3299" s="42"/>
      <c r="M3299" s="42"/>
    </row>
    <row r="3300" spans="1:13" x14ac:dyDescent="0.2">
      <c r="A3300" s="42"/>
      <c r="B3300" s="42"/>
      <c r="C3300" s="42"/>
      <c r="D3300" s="42"/>
      <c r="E3300" s="42"/>
      <c r="F3300" s="42"/>
      <c r="G3300" s="42"/>
      <c r="H3300" s="42"/>
      <c r="I3300" s="42"/>
      <c r="J3300" s="42"/>
      <c r="K3300" s="42"/>
      <c r="L3300" s="42"/>
      <c r="M3300" s="42"/>
    </row>
    <row r="3301" spans="1:13" x14ac:dyDescent="0.2">
      <c r="A3301" s="42"/>
      <c r="B3301" s="42"/>
      <c r="C3301" s="42"/>
      <c r="D3301" s="42"/>
      <c r="E3301" s="42"/>
      <c r="F3301" s="42"/>
      <c r="G3301" s="42"/>
      <c r="H3301" s="42"/>
      <c r="I3301" s="42"/>
      <c r="J3301" s="42"/>
      <c r="K3301" s="42"/>
      <c r="L3301" s="42"/>
      <c r="M3301" s="42"/>
    </row>
    <row r="3302" spans="1:13" x14ac:dyDescent="0.2">
      <c r="A3302" s="42"/>
      <c r="B3302" s="42"/>
      <c r="C3302" s="42"/>
      <c r="D3302" s="42"/>
      <c r="E3302" s="42"/>
      <c r="F3302" s="42"/>
      <c r="G3302" s="42"/>
      <c r="H3302" s="42"/>
      <c r="I3302" s="42"/>
      <c r="J3302" s="42"/>
      <c r="K3302" s="42"/>
      <c r="L3302" s="42"/>
      <c r="M3302" s="42"/>
    </row>
    <row r="3303" spans="1:13" x14ac:dyDescent="0.2">
      <c r="A3303" s="42"/>
      <c r="B3303" s="42"/>
      <c r="C3303" s="42"/>
      <c r="D3303" s="42"/>
      <c r="E3303" s="42"/>
      <c r="F3303" s="42"/>
      <c r="G3303" s="42"/>
      <c r="H3303" s="42"/>
      <c r="I3303" s="42"/>
      <c r="J3303" s="42"/>
      <c r="K3303" s="42"/>
      <c r="L3303" s="42"/>
      <c r="M3303" s="42"/>
    </row>
    <row r="3304" spans="1:13" x14ac:dyDescent="0.2">
      <c r="A3304" s="42"/>
      <c r="B3304" s="42"/>
      <c r="C3304" s="42"/>
      <c r="D3304" s="42"/>
      <c r="E3304" s="42"/>
      <c r="F3304" s="42"/>
      <c r="G3304" s="42"/>
      <c r="H3304" s="42"/>
      <c r="I3304" s="42"/>
      <c r="J3304" s="42"/>
      <c r="K3304" s="42"/>
      <c r="L3304" s="42"/>
      <c r="M3304" s="42"/>
    </row>
    <row r="3305" spans="1:13" x14ac:dyDescent="0.2">
      <c r="A3305" s="42"/>
      <c r="B3305" s="42"/>
      <c r="C3305" s="42"/>
      <c r="D3305" s="42"/>
      <c r="E3305" s="42"/>
      <c r="F3305" s="42"/>
      <c r="G3305" s="42"/>
      <c r="H3305" s="42"/>
      <c r="I3305" s="42"/>
      <c r="J3305" s="42"/>
      <c r="K3305" s="42"/>
      <c r="L3305" s="42"/>
      <c r="M3305" s="42"/>
    </row>
    <row r="3306" spans="1:13" x14ac:dyDescent="0.2">
      <c r="A3306" s="42"/>
      <c r="B3306" s="42"/>
      <c r="C3306" s="42"/>
      <c r="D3306" s="42"/>
      <c r="E3306" s="42"/>
      <c r="F3306" s="42"/>
      <c r="G3306" s="42"/>
      <c r="H3306" s="42"/>
      <c r="I3306" s="42"/>
      <c r="J3306" s="42"/>
      <c r="K3306" s="42"/>
      <c r="L3306" s="42"/>
      <c r="M3306" s="42"/>
    </row>
    <row r="3307" spans="1:13" x14ac:dyDescent="0.2">
      <c r="A3307" s="42"/>
      <c r="B3307" s="42"/>
      <c r="C3307" s="42"/>
      <c r="D3307" s="42"/>
      <c r="E3307" s="42"/>
      <c r="F3307" s="42"/>
      <c r="G3307" s="42"/>
      <c r="H3307" s="42"/>
      <c r="I3307" s="42"/>
      <c r="J3307" s="42"/>
      <c r="K3307" s="42"/>
      <c r="L3307" s="42"/>
      <c r="M3307" s="42"/>
    </row>
    <row r="3308" spans="1:13" x14ac:dyDescent="0.2">
      <c r="A3308" s="42"/>
      <c r="B3308" s="42"/>
      <c r="C3308" s="42"/>
      <c r="D3308" s="42"/>
      <c r="E3308" s="42"/>
      <c r="F3308" s="42"/>
      <c r="G3308" s="42"/>
      <c r="H3308" s="42"/>
      <c r="I3308" s="42"/>
      <c r="J3308" s="42"/>
      <c r="K3308" s="42"/>
      <c r="L3308" s="42"/>
      <c r="M3308" s="42"/>
    </row>
    <row r="3309" spans="1:13" x14ac:dyDescent="0.2">
      <c r="A3309" s="42"/>
      <c r="B3309" s="42"/>
      <c r="C3309" s="42"/>
      <c r="D3309" s="42"/>
      <c r="E3309" s="42"/>
      <c r="F3309" s="42"/>
      <c r="G3309" s="42"/>
      <c r="H3309" s="42"/>
      <c r="I3309" s="42"/>
      <c r="J3309" s="42"/>
      <c r="K3309" s="42"/>
      <c r="L3309" s="42"/>
      <c r="M3309" s="42"/>
    </row>
    <row r="3310" spans="1:13" x14ac:dyDescent="0.2">
      <c r="A3310" s="42"/>
      <c r="B3310" s="42"/>
      <c r="C3310" s="42"/>
      <c r="D3310" s="42"/>
      <c r="E3310" s="42"/>
      <c r="F3310" s="42"/>
      <c r="G3310" s="42"/>
      <c r="H3310" s="42"/>
      <c r="I3310" s="42"/>
      <c r="J3310" s="42"/>
      <c r="K3310" s="42"/>
      <c r="L3310" s="42"/>
      <c r="M3310" s="42"/>
    </row>
    <row r="3311" spans="1:13" x14ac:dyDescent="0.2">
      <c r="A3311" s="42"/>
      <c r="B3311" s="42"/>
      <c r="C3311" s="42"/>
      <c r="D3311" s="42"/>
      <c r="E3311" s="42"/>
      <c r="F3311" s="42"/>
      <c r="G3311" s="42"/>
      <c r="H3311" s="42"/>
      <c r="I3311" s="42"/>
      <c r="J3311" s="42"/>
      <c r="K3311" s="42"/>
      <c r="L3311" s="42"/>
      <c r="M3311" s="42"/>
    </row>
    <row r="3312" spans="1:13" x14ac:dyDescent="0.2">
      <c r="A3312" s="42"/>
      <c r="B3312" s="42"/>
      <c r="C3312" s="42"/>
      <c r="D3312" s="42"/>
      <c r="E3312" s="42"/>
      <c r="F3312" s="42"/>
      <c r="G3312" s="42"/>
      <c r="H3312" s="42"/>
      <c r="I3312" s="42"/>
      <c r="J3312" s="42"/>
      <c r="K3312" s="42"/>
      <c r="L3312" s="42"/>
      <c r="M3312" s="42"/>
    </row>
    <row r="3313" spans="1:13" x14ac:dyDescent="0.2">
      <c r="A3313" s="42"/>
      <c r="B3313" s="42"/>
      <c r="C3313" s="42"/>
      <c r="D3313" s="42"/>
      <c r="E3313" s="42"/>
      <c r="F3313" s="42"/>
      <c r="G3313" s="42"/>
      <c r="H3313" s="42"/>
      <c r="I3313" s="42"/>
      <c r="J3313" s="42"/>
      <c r="K3313" s="42"/>
      <c r="L3313" s="42"/>
      <c r="M3313" s="42"/>
    </row>
    <row r="3314" spans="1:13" x14ac:dyDescent="0.2">
      <c r="A3314" s="42"/>
      <c r="B3314" s="42"/>
      <c r="C3314" s="42"/>
      <c r="D3314" s="42"/>
      <c r="E3314" s="42"/>
      <c r="F3314" s="42"/>
      <c r="G3314" s="42"/>
      <c r="H3314" s="42"/>
      <c r="I3314" s="42"/>
      <c r="J3314" s="42"/>
      <c r="K3314" s="42"/>
      <c r="L3314" s="42"/>
      <c r="M3314" s="42"/>
    </row>
    <row r="3315" spans="1:13" x14ac:dyDescent="0.2">
      <c r="A3315" s="42"/>
      <c r="B3315" s="42"/>
      <c r="C3315" s="42"/>
      <c r="D3315" s="42"/>
      <c r="E3315" s="42"/>
      <c r="F3315" s="42"/>
      <c r="G3315" s="42"/>
      <c r="H3315" s="42"/>
      <c r="I3315" s="42"/>
      <c r="J3315" s="42"/>
      <c r="K3315" s="42"/>
      <c r="L3315" s="42"/>
      <c r="M3315" s="42"/>
    </row>
    <row r="3316" spans="1:13" x14ac:dyDescent="0.2">
      <c r="A3316" s="42"/>
      <c r="B3316" s="42"/>
      <c r="C3316" s="42"/>
      <c r="D3316" s="42"/>
      <c r="E3316" s="42"/>
      <c r="F3316" s="42"/>
      <c r="G3316" s="42"/>
      <c r="H3316" s="42"/>
      <c r="I3316" s="42"/>
      <c r="J3316" s="42"/>
      <c r="K3316" s="42"/>
      <c r="L3316" s="42"/>
      <c r="M3316" s="42"/>
    </row>
    <row r="3317" spans="1:13" x14ac:dyDescent="0.2">
      <c r="A3317" s="42"/>
      <c r="B3317" s="42"/>
      <c r="C3317" s="42"/>
      <c r="D3317" s="42"/>
      <c r="E3317" s="42"/>
      <c r="F3317" s="42"/>
      <c r="G3317" s="42"/>
      <c r="H3317" s="42"/>
      <c r="I3317" s="42"/>
      <c r="J3317" s="42"/>
      <c r="K3317" s="42"/>
      <c r="L3317" s="42"/>
      <c r="M3317" s="42"/>
    </row>
    <row r="3318" spans="1:13" x14ac:dyDescent="0.2">
      <c r="A3318" s="42"/>
      <c r="B3318" s="42"/>
      <c r="C3318" s="42"/>
      <c r="D3318" s="42"/>
      <c r="E3318" s="42"/>
      <c r="F3318" s="42"/>
      <c r="G3318" s="42"/>
      <c r="H3318" s="42"/>
      <c r="I3318" s="42"/>
      <c r="J3318" s="42"/>
      <c r="K3318" s="42"/>
      <c r="L3318" s="42"/>
      <c r="M3318" s="42"/>
    </row>
    <row r="3319" spans="1:13" x14ac:dyDescent="0.2">
      <c r="A3319" s="42"/>
      <c r="B3319" s="42"/>
      <c r="C3319" s="42"/>
      <c r="D3319" s="42"/>
      <c r="E3319" s="42"/>
      <c r="F3319" s="42"/>
      <c r="G3319" s="42"/>
      <c r="H3319" s="42"/>
      <c r="I3319" s="42"/>
      <c r="J3319" s="42"/>
      <c r="K3319" s="42"/>
      <c r="L3319" s="42"/>
      <c r="M3319" s="42"/>
    </row>
    <row r="3320" spans="1:13" x14ac:dyDescent="0.2">
      <c r="A3320" s="42"/>
      <c r="B3320" s="42"/>
      <c r="C3320" s="42"/>
      <c r="D3320" s="42"/>
      <c r="E3320" s="42"/>
      <c r="F3320" s="42"/>
      <c r="G3320" s="42"/>
      <c r="H3320" s="42"/>
      <c r="I3320" s="42"/>
      <c r="J3320" s="42"/>
      <c r="K3320" s="42"/>
      <c r="L3320" s="42"/>
      <c r="M3320" s="42"/>
    </row>
    <row r="3321" spans="1:13" x14ac:dyDescent="0.2">
      <c r="A3321" s="42"/>
      <c r="B3321" s="42"/>
      <c r="C3321" s="42"/>
      <c r="D3321" s="42"/>
      <c r="E3321" s="42"/>
      <c r="F3321" s="42"/>
      <c r="G3321" s="42"/>
      <c r="H3321" s="42"/>
      <c r="I3321" s="42"/>
      <c r="J3321" s="42"/>
      <c r="K3321" s="42"/>
      <c r="L3321" s="42"/>
      <c r="M3321" s="42"/>
    </row>
    <row r="3322" spans="1:13" x14ac:dyDescent="0.2">
      <c r="A3322" s="42"/>
      <c r="B3322" s="42"/>
      <c r="C3322" s="42"/>
      <c r="D3322" s="42"/>
      <c r="E3322" s="42"/>
      <c r="F3322" s="42"/>
      <c r="G3322" s="42"/>
      <c r="H3322" s="42"/>
      <c r="I3322" s="42"/>
      <c r="J3322" s="42"/>
      <c r="K3322" s="42"/>
      <c r="L3322" s="42"/>
      <c r="M3322" s="42"/>
    </row>
    <row r="3323" spans="1:13" x14ac:dyDescent="0.2">
      <c r="A3323" s="42"/>
      <c r="B3323" s="42"/>
      <c r="C3323" s="42"/>
      <c r="D3323" s="42"/>
      <c r="E3323" s="42"/>
      <c r="F3323" s="42"/>
      <c r="G3323" s="42"/>
      <c r="H3323" s="42"/>
      <c r="I3323" s="42"/>
      <c r="J3323" s="42"/>
      <c r="K3323" s="42"/>
      <c r="L3323" s="42"/>
      <c r="M3323" s="42"/>
    </row>
    <row r="3324" spans="1:13" x14ac:dyDescent="0.2">
      <c r="A3324" s="42"/>
      <c r="B3324" s="42"/>
      <c r="C3324" s="42"/>
      <c r="D3324" s="42"/>
      <c r="E3324" s="42"/>
      <c r="F3324" s="42"/>
      <c r="G3324" s="42"/>
      <c r="H3324" s="42"/>
      <c r="I3324" s="42"/>
      <c r="J3324" s="42"/>
      <c r="K3324" s="42"/>
      <c r="L3324" s="42"/>
      <c r="M3324" s="42"/>
    </row>
    <row r="3325" spans="1:13" x14ac:dyDescent="0.2">
      <c r="A3325" s="42"/>
      <c r="B3325" s="42"/>
      <c r="C3325" s="42"/>
      <c r="D3325" s="42"/>
      <c r="E3325" s="42"/>
      <c r="F3325" s="42"/>
      <c r="G3325" s="42"/>
      <c r="H3325" s="42"/>
      <c r="I3325" s="42"/>
      <c r="J3325" s="42"/>
      <c r="K3325" s="42"/>
      <c r="L3325" s="42"/>
      <c r="M3325" s="42"/>
    </row>
    <row r="3326" spans="1:13" x14ac:dyDescent="0.2">
      <c r="A3326" s="42"/>
      <c r="B3326" s="42"/>
      <c r="C3326" s="42"/>
      <c r="D3326" s="42"/>
      <c r="E3326" s="42"/>
      <c r="F3326" s="42"/>
      <c r="G3326" s="42"/>
      <c r="H3326" s="42"/>
      <c r="I3326" s="42"/>
      <c r="J3326" s="42"/>
      <c r="K3326" s="42"/>
      <c r="L3326" s="42"/>
      <c r="M3326" s="42"/>
    </row>
    <row r="3327" spans="1:13" x14ac:dyDescent="0.2">
      <c r="A3327" s="42"/>
      <c r="B3327" s="42"/>
      <c r="C3327" s="42"/>
      <c r="D3327" s="42"/>
      <c r="E3327" s="42"/>
      <c r="F3327" s="42"/>
      <c r="G3327" s="42"/>
      <c r="H3327" s="42"/>
      <c r="I3327" s="42"/>
      <c r="J3327" s="42"/>
      <c r="K3327" s="42"/>
      <c r="L3327" s="42"/>
      <c r="M3327" s="42"/>
    </row>
    <row r="3328" spans="1:13" x14ac:dyDescent="0.2">
      <c r="A3328" s="42"/>
      <c r="B3328" s="42"/>
      <c r="C3328" s="42"/>
      <c r="D3328" s="42"/>
      <c r="E3328" s="42"/>
      <c r="F3328" s="42"/>
      <c r="G3328" s="42"/>
      <c r="H3328" s="42"/>
      <c r="I3328" s="42"/>
      <c r="J3328" s="42"/>
      <c r="K3328" s="42"/>
      <c r="L3328" s="42"/>
      <c r="M3328" s="42"/>
    </row>
    <row r="3329" spans="1:13" x14ac:dyDescent="0.2">
      <c r="A3329" s="42"/>
      <c r="B3329" s="42"/>
      <c r="C3329" s="42"/>
      <c r="D3329" s="42"/>
      <c r="E3329" s="42"/>
      <c r="F3329" s="42"/>
      <c r="G3329" s="42"/>
      <c r="H3329" s="42"/>
      <c r="I3329" s="42"/>
      <c r="J3329" s="42"/>
      <c r="K3329" s="42"/>
      <c r="L3329" s="42"/>
      <c r="M3329" s="42"/>
    </row>
    <row r="3330" spans="1:13" x14ac:dyDescent="0.2">
      <c r="A3330" s="42"/>
      <c r="B3330" s="42"/>
      <c r="C3330" s="42"/>
      <c r="D3330" s="42"/>
      <c r="E3330" s="42"/>
      <c r="F3330" s="42"/>
      <c r="G3330" s="42"/>
      <c r="H3330" s="42"/>
      <c r="I3330" s="42"/>
      <c r="J3330" s="42"/>
      <c r="K3330" s="42"/>
      <c r="L3330" s="42"/>
      <c r="M3330" s="42"/>
    </row>
    <row r="3331" spans="1:13" x14ac:dyDescent="0.2">
      <c r="A3331" s="42"/>
      <c r="B3331" s="42"/>
      <c r="C3331" s="42"/>
      <c r="D3331" s="42"/>
      <c r="E3331" s="42"/>
      <c r="F3331" s="42"/>
      <c r="G3331" s="42"/>
      <c r="H3331" s="42"/>
      <c r="I3331" s="42"/>
      <c r="J3331" s="42"/>
      <c r="K3331" s="42"/>
      <c r="L3331" s="42"/>
      <c r="M3331" s="42"/>
    </row>
    <row r="3332" spans="1:13" x14ac:dyDescent="0.2">
      <c r="A3332" s="42"/>
      <c r="B3332" s="42"/>
      <c r="C3332" s="42"/>
      <c r="D3332" s="42"/>
      <c r="E3332" s="42"/>
      <c r="F3332" s="42"/>
      <c r="G3332" s="42"/>
      <c r="H3332" s="42"/>
      <c r="I3332" s="42"/>
      <c r="J3332" s="42"/>
      <c r="K3332" s="42"/>
      <c r="L3332" s="42"/>
      <c r="M3332" s="42"/>
    </row>
    <row r="3333" spans="1:13" x14ac:dyDescent="0.2">
      <c r="A3333" s="42"/>
      <c r="B3333" s="42"/>
      <c r="C3333" s="42"/>
      <c r="D3333" s="42"/>
      <c r="E3333" s="42"/>
      <c r="F3333" s="42"/>
      <c r="G3333" s="42"/>
      <c r="H3333" s="42"/>
      <c r="I3333" s="42"/>
      <c r="J3333" s="42"/>
      <c r="K3333" s="42"/>
      <c r="L3333" s="42"/>
      <c r="M3333" s="42"/>
    </row>
    <row r="3334" spans="1:13" x14ac:dyDescent="0.2">
      <c r="A3334" s="42"/>
      <c r="B3334" s="42"/>
      <c r="C3334" s="42"/>
      <c r="D3334" s="42"/>
      <c r="E3334" s="42"/>
      <c r="F3334" s="42"/>
      <c r="G3334" s="42"/>
      <c r="H3334" s="42"/>
      <c r="I3334" s="42"/>
      <c r="J3334" s="42"/>
      <c r="K3334" s="42"/>
      <c r="L3334" s="42"/>
      <c r="M3334" s="42"/>
    </row>
    <row r="3335" spans="1:13" x14ac:dyDescent="0.2">
      <c r="A3335" s="42"/>
      <c r="B3335" s="42"/>
      <c r="C3335" s="42"/>
      <c r="D3335" s="42"/>
      <c r="E3335" s="42"/>
      <c r="F3335" s="42"/>
      <c r="G3335" s="42"/>
      <c r="H3335" s="42"/>
      <c r="I3335" s="42"/>
      <c r="J3335" s="42"/>
      <c r="K3335" s="42"/>
      <c r="L3335" s="42"/>
      <c r="M3335" s="42"/>
    </row>
    <row r="3336" spans="1:13" x14ac:dyDescent="0.2">
      <c r="A3336" s="42"/>
      <c r="B3336" s="42"/>
      <c r="C3336" s="42"/>
      <c r="D3336" s="42"/>
      <c r="E3336" s="42"/>
      <c r="F3336" s="42"/>
      <c r="G3336" s="42"/>
      <c r="H3336" s="42"/>
      <c r="I3336" s="42"/>
      <c r="J3336" s="42"/>
      <c r="K3336" s="42"/>
      <c r="L3336" s="42"/>
      <c r="M3336" s="42"/>
    </row>
    <row r="3337" spans="1:13" x14ac:dyDescent="0.2">
      <c r="A3337" s="42"/>
      <c r="B3337" s="42"/>
      <c r="C3337" s="42"/>
      <c r="D3337" s="42"/>
      <c r="E3337" s="42"/>
      <c r="F3337" s="42"/>
      <c r="G3337" s="42"/>
      <c r="H3337" s="42"/>
      <c r="I3337" s="42"/>
      <c r="J3337" s="42"/>
      <c r="K3337" s="42"/>
      <c r="L3337" s="42"/>
      <c r="M3337" s="42"/>
    </row>
    <row r="3338" spans="1:13" x14ac:dyDescent="0.2">
      <c r="A3338" s="42"/>
      <c r="B3338" s="42"/>
      <c r="C3338" s="42"/>
      <c r="D3338" s="42"/>
      <c r="E3338" s="42"/>
      <c r="F3338" s="42"/>
      <c r="G3338" s="42"/>
      <c r="H3338" s="42"/>
      <c r="I3338" s="42"/>
      <c r="J3338" s="42"/>
      <c r="K3338" s="42"/>
      <c r="L3338" s="42"/>
      <c r="M3338" s="42"/>
    </row>
    <row r="3339" spans="1:13" x14ac:dyDescent="0.2">
      <c r="A3339" s="42"/>
      <c r="B3339" s="42"/>
      <c r="C3339" s="42"/>
      <c r="D3339" s="42"/>
      <c r="E3339" s="42"/>
      <c r="F3339" s="42"/>
      <c r="G3339" s="42"/>
      <c r="H3339" s="42"/>
      <c r="I3339" s="42"/>
      <c r="J3339" s="42"/>
      <c r="K3339" s="42"/>
      <c r="L3339" s="42"/>
      <c r="M3339" s="42"/>
    </row>
    <row r="3340" spans="1:13" x14ac:dyDescent="0.2">
      <c r="A3340" s="42"/>
      <c r="B3340" s="42"/>
      <c r="C3340" s="42"/>
      <c r="D3340" s="42"/>
      <c r="E3340" s="42"/>
      <c r="F3340" s="42"/>
      <c r="G3340" s="42"/>
      <c r="H3340" s="42"/>
      <c r="I3340" s="42"/>
      <c r="J3340" s="42"/>
      <c r="K3340" s="42"/>
      <c r="L3340" s="42"/>
      <c r="M3340" s="42"/>
    </row>
    <row r="3341" spans="1:13" x14ac:dyDescent="0.2">
      <c r="A3341" s="42"/>
      <c r="B3341" s="42"/>
      <c r="C3341" s="42"/>
      <c r="D3341" s="42"/>
      <c r="E3341" s="42"/>
      <c r="F3341" s="42"/>
      <c r="G3341" s="42"/>
      <c r="H3341" s="42"/>
      <c r="I3341" s="42"/>
      <c r="J3341" s="42"/>
      <c r="K3341" s="42"/>
      <c r="L3341" s="42"/>
      <c r="M3341" s="42"/>
    </row>
    <row r="3342" spans="1:13" x14ac:dyDescent="0.2">
      <c r="A3342" s="42"/>
      <c r="B3342" s="42"/>
      <c r="C3342" s="42"/>
      <c r="D3342" s="42"/>
      <c r="E3342" s="42"/>
      <c r="F3342" s="42"/>
      <c r="G3342" s="42"/>
      <c r="H3342" s="42"/>
      <c r="I3342" s="42"/>
      <c r="J3342" s="42"/>
      <c r="K3342" s="42"/>
      <c r="L3342" s="42"/>
      <c r="M3342" s="42"/>
    </row>
    <row r="3343" spans="1:13" x14ac:dyDescent="0.2">
      <c r="A3343" s="42"/>
      <c r="B3343" s="42"/>
      <c r="C3343" s="42"/>
      <c r="D3343" s="42"/>
      <c r="E3343" s="42"/>
      <c r="F3343" s="42"/>
      <c r="G3343" s="42"/>
      <c r="H3343" s="42"/>
      <c r="I3343" s="42"/>
      <c r="J3343" s="42"/>
      <c r="K3343" s="42"/>
      <c r="L3343" s="42"/>
      <c r="M3343" s="42"/>
    </row>
    <row r="3344" spans="1:13" x14ac:dyDescent="0.2">
      <c r="A3344" s="42"/>
      <c r="B3344" s="42"/>
      <c r="C3344" s="42"/>
      <c r="D3344" s="42"/>
      <c r="E3344" s="42"/>
      <c r="F3344" s="42"/>
      <c r="G3344" s="42"/>
      <c r="H3344" s="42"/>
      <c r="I3344" s="42"/>
      <c r="J3344" s="42"/>
      <c r="K3344" s="42"/>
      <c r="L3344" s="42"/>
      <c r="M3344" s="42"/>
    </row>
    <row r="3345" spans="1:13" x14ac:dyDescent="0.2">
      <c r="A3345" s="42"/>
      <c r="B3345" s="42"/>
      <c r="C3345" s="42"/>
      <c r="D3345" s="42"/>
      <c r="E3345" s="42"/>
      <c r="F3345" s="42"/>
      <c r="G3345" s="42"/>
      <c r="H3345" s="42"/>
      <c r="I3345" s="42"/>
      <c r="J3345" s="42"/>
      <c r="K3345" s="42"/>
      <c r="L3345" s="42"/>
      <c r="M3345" s="42"/>
    </row>
    <row r="3346" spans="1:13" x14ac:dyDescent="0.2">
      <c r="A3346" s="42"/>
      <c r="B3346" s="42"/>
      <c r="C3346" s="42"/>
      <c r="D3346" s="42"/>
      <c r="E3346" s="42"/>
      <c r="F3346" s="42"/>
      <c r="G3346" s="42"/>
      <c r="H3346" s="42"/>
      <c r="I3346" s="42"/>
      <c r="J3346" s="42"/>
      <c r="K3346" s="42"/>
      <c r="L3346" s="42"/>
      <c r="M3346" s="42"/>
    </row>
    <row r="3347" spans="1:13" x14ac:dyDescent="0.2">
      <c r="A3347" s="42"/>
      <c r="B3347" s="42"/>
      <c r="C3347" s="42"/>
      <c r="D3347" s="42"/>
      <c r="E3347" s="42"/>
      <c r="F3347" s="42"/>
      <c r="G3347" s="42"/>
      <c r="H3347" s="42"/>
      <c r="I3347" s="42"/>
      <c r="J3347" s="42"/>
      <c r="K3347" s="42"/>
      <c r="L3347" s="42"/>
      <c r="M3347" s="42"/>
    </row>
    <row r="3348" spans="1:13" x14ac:dyDescent="0.2">
      <c r="A3348" s="42"/>
      <c r="B3348" s="42"/>
      <c r="C3348" s="42"/>
      <c r="D3348" s="42"/>
      <c r="E3348" s="42"/>
      <c r="F3348" s="42"/>
      <c r="G3348" s="42"/>
      <c r="H3348" s="42"/>
      <c r="I3348" s="42"/>
      <c r="J3348" s="42"/>
      <c r="K3348" s="42"/>
      <c r="L3348" s="42"/>
      <c r="M3348" s="42"/>
    </row>
    <row r="3349" spans="1:13" x14ac:dyDescent="0.2">
      <c r="A3349" s="42"/>
      <c r="B3349" s="42"/>
      <c r="C3349" s="42"/>
      <c r="D3349" s="42"/>
      <c r="E3349" s="42"/>
      <c r="F3349" s="42"/>
      <c r="G3349" s="42"/>
      <c r="H3349" s="42"/>
      <c r="I3349" s="42"/>
      <c r="J3349" s="42"/>
      <c r="K3349" s="42"/>
      <c r="L3349" s="42"/>
      <c r="M3349" s="42"/>
    </row>
    <row r="3350" spans="1:13" x14ac:dyDescent="0.2">
      <c r="A3350" s="42"/>
      <c r="B3350" s="42"/>
      <c r="C3350" s="42"/>
      <c r="D3350" s="42"/>
      <c r="E3350" s="42"/>
      <c r="F3350" s="42"/>
      <c r="G3350" s="42"/>
      <c r="H3350" s="42"/>
      <c r="I3350" s="42"/>
      <c r="J3350" s="42"/>
      <c r="K3350" s="42"/>
      <c r="L3350" s="42"/>
      <c r="M3350" s="42"/>
    </row>
    <row r="3351" spans="1:13" x14ac:dyDescent="0.2">
      <c r="A3351" s="42"/>
      <c r="B3351" s="42"/>
      <c r="C3351" s="42"/>
      <c r="D3351" s="42"/>
      <c r="E3351" s="42"/>
      <c r="F3351" s="42"/>
      <c r="G3351" s="42"/>
      <c r="H3351" s="42"/>
      <c r="I3351" s="42"/>
      <c r="J3351" s="42"/>
      <c r="K3351" s="42"/>
      <c r="L3351" s="42"/>
      <c r="M3351" s="42"/>
    </row>
    <row r="3352" spans="1:13" x14ac:dyDescent="0.2">
      <c r="A3352" s="42"/>
      <c r="B3352" s="42"/>
      <c r="C3352" s="42"/>
      <c r="D3352" s="42"/>
      <c r="E3352" s="42"/>
      <c r="F3352" s="42"/>
      <c r="G3352" s="42"/>
      <c r="H3352" s="42"/>
      <c r="I3352" s="42"/>
      <c r="J3352" s="42"/>
      <c r="K3352" s="42"/>
      <c r="L3352" s="42"/>
      <c r="M3352" s="42"/>
    </row>
    <row r="3353" spans="1:13" x14ac:dyDescent="0.2">
      <c r="A3353" s="42"/>
      <c r="B3353" s="42"/>
      <c r="C3353" s="42"/>
      <c r="D3353" s="42"/>
      <c r="E3353" s="42"/>
      <c r="F3353" s="42"/>
      <c r="G3353" s="42"/>
      <c r="H3353" s="42"/>
      <c r="I3353" s="42"/>
      <c r="J3353" s="42"/>
      <c r="K3353" s="42"/>
      <c r="L3353" s="42"/>
      <c r="M3353" s="42"/>
    </row>
    <row r="3354" spans="1:13" x14ac:dyDescent="0.2">
      <c r="A3354" s="42"/>
      <c r="B3354" s="42"/>
      <c r="C3354" s="42"/>
      <c r="D3354" s="42"/>
      <c r="E3354" s="42"/>
      <c r="F3354" s="42"/>
      <c r="G3354" s="42"/>
      <c r="H3354" s="42"/>
      <c r="I3354" s="42"/>
      <c r="J3354" s="42"/>
      <c r="K3354" s="42"/>
      <c r="L3354" s="42"/>
      <c r="M3354" s="42"/>
    </row>
    <row r="3355" spans="1:13" x14ac:dyDescent="0.2">
      <c r="A3355" s="42"/>
      <c r="B3355" s="42"/>
      <c r="C3355" s="42"/>
      <c r="D3355" s="42"/>
      <c r="E3355" s="42"/>
      <c r="F3355" s="42"/>
      <c r="G3355" s="42"/>
      <c r="H3355" s="42"/>
      <c r="I3355" s="42"/>
      <c r="J3355" s="42"/>
      <c r="K3355" s="42"/>
      <c r="L3355" s="42"/>
      <c r="M3355" s="42"/>
    </row>
    <row r="3356" spans="1:13" x14ac:dyDescent="0.2">
      <c r="A3356" s="42"/>
      <c r="B3356" s="42"/>
      <c r="C3356" s="42"/>
      <c r="D3356" s="42"/>
      <c r="E3356" s="42"/>
      <c r="F3356" s="42"/>
      <c r="G3356" s="42"/>
      <c r="H3356" s="42"/>
      <c r="I3356" s="42"/>
      <c r="J3356" s="42"/>
      <c r="K3356" s="42"/>
      <c r="L3356" s="42"/>
      <c r="M3356" s="42"/>
    </row>
    <row r="3357" spans="1:13" x14ac:dyDescent="0.2">
      <c r="A3357" s="42"/>
      <c r="B3357" s="42"/>
      <c r="C3357" s="42"/>
      <c r="D3357" s="42"/>
      <c r="E3357" s="42"/>
      <c r="F3357" s="42"/>
      <c r="G3357" s="42"/>
      <c r="H3357" s="42"/>
      <c r="I3357" s="42"/>
      <c r="J3357" s="42"/>
      <c r="K3357" s="42"/>
      <c r="L3357" s="42"/>
      <c r="M3357" s="42"/>
    </row>
    <row r="3358" spans="1:13" x14ac:dyDescent="0.2">
      <c r="A3358" s="42"/>
      <c r="B3358" s="42"/>
      <c r="C3358" s="42"/>
      <c r="D3358" s="42"/>
      <c r="E3358" s="42"/>
      <c r="F3358" s="42"/>
      <c r="G3358" s="42"/>
      <c r="H3358" s="42"/>
      <c r="I3358" s="42"/>
      <c r="J3358" s="42"/>
      <c r="K3358" s="42"/>
      <c r="L3358" s="42"/>
      <c r="M3358" s="42"/>
    </row>
    <row r="3359" spans="1:13" x14ac:dyDescent="0.2">
      <c r="A3359" s="42"/>
      <c r="B3359" s="42"/>
      <c r="C3359" s="42"/>
      <c r="D3359" s="42"/>
      <c r="E3359" s="42"/>
      <c r="F3359" s="42"/>
      <c r="G3359" s="42"/>
      <c r="H3359" s="42"/>
      <c r="I3359" s="42"/>
      <c r="J3359" s="42"/>
      <c r="K3359" s="42"/>
      <c r="L3359" s="42"/>
      <c r="M3359" s="42"/>
    </row>
    <row r="3360" spans="1:13" x14ac:dyDescent="0.2">
      <c r="A3360" s="42"/>
      <c r="B3360" s="42"/>
      <c r="C3360" s="42"/>
      <c r="D3360" s="42"/>
      <c r="E3360" s="42"/>
      <c r="F3360" s="42"/>
      <c r="G3360" s="42"/>
      <c r="H3360" s="42"/>
      <c r="I3360" s="42"/>
      <c r="J3360" s="42"/>
      <c r="K3360" s="42"/>
      <c r="L3360" s="42"/>
      <c r="M3360" s="42"/>
    </row>
    <row r="3361" spans="1:13" x14ac:dyDescent="0.2">
      <c r="A3361" s="42"/>
      <c r="B3361" s="42"/>
      <c r="C3361" s="42"/>
      <c r="D3361" s="42"/>
      <c r="E3361" s="42"/>
      <c r="F3361" s="42"/>
      <c r="G3361" s="42"/>
      <c r="H3361" s="42"/>
      <c r="I3361" s="42"/>
      <c r="J3361" s="42"/>
      <c r="K3361" s="42"/>
      <c r="L3361" s="42"/>
      <c r="M3361" s="42"/>
    </row>
    <row r="3362" spans="1:13" x14ac:dyDescent="0.2">
      <c r="A3362" s="42"/>
      <c r="B3362" s="42"/>
      <c r="C3362" s="42"/>
      <c r="D3362" s="42"/>
      <c r="E3362" s="42"/>
      <c r="F3362" s="42"/>
      <c r="G3362" s="42"/>
      <c r="H3362" s="42"/>
      <c r="I3362" s="42"/>
      <c r="J3362" s="42"/>
      <c r="K3362" s="42"/>
      <c r="L3362" s="42"/>
      <c r="M3362" s="42"/>
    </row>
    <row r="3363" spans="1:13" x14ac:dyDescent="0.2">
      <c r="A3363" s="42"/>
      <c r="B3363" s="42"/>
      <c r="C3363" s="42"/>
      <c r="D3363" s="42"/>
      <c r="E3363" s="42"/>
      <c r="F3363" s="42"/>
      <c r="G3363" s="42"/>
      <c r="H3363" s="42"/>
      <c r="I3363" s="42"/>
      <c r="J3363" s="42"/>
      <c r="K3363" s="42"/>
      <c r="L3363" s="42"/>
      <c r="M3363" s="42"/>
    </row>
    <row r="3364" spans="1:13" x14ac:dyDescent="0.2">
      <c r="A3364" s="42"/>
      <c r="B3364" s="42"/>
      <c r="C3364" s="42"/>
      <c r="D3364" s="42"/>
      <c r="E3364" s="42"/>
      <c r="F3364" s="42"/>
      <c r="G3364" s="42"/>
      <c r="H3364" s="42"/>
      <c r="I3364" s="42"/>
      <c r="J3364" s="42"/>
      <c r="K3364" s="42"/>
      <c r="L3364" s="42"/>
      <c r="M3364" s="42"/>
    </row>
    <row r="3365" spans="1:13" x14ac:dyDescent="0.2">
      <c r="A3365" s="42"/>
      <c r="B3365" s="42"/>
      <c r="C3365" s="42"/>
      <c r="D3365" s="42"/>
      <c r="E3365" s="42"/>
      <c r="F3365" s="42"/>
      <c r="G3365" s="42"/>
      <c r="H3365" s="42"/>
      <c r="I3365" s="42"/>
      <c r="J3365" s="42"/>
      <c r="K3365" s="42"/>
      <c r="L3365" s="42"/>
      <c r="M3365" s="42"/>
    </row>
    <row r="3366" spans="1:13" x14ac:dyDescent="0.2">
      <c r="A3366" s="42"/>
      <c r="B3366" s="42"/>
      <c r="C3366" s="42"/>
      <c r="D3366" s="42"/>
      <c r="E3366" s="42"/>
      <c r="F3366" s="42"/>
      <c r="G3366" s="42"/>
      <c r="H3366" s="42"/>
      <c r="I3366" s="42"/>
      <c r="J3366" s="42"/>
      <c r="K3366" s="42"/>
      <c r="L3366" s="42"/>
      <c r="M3366" s="42"/>
    </row>
    <row r="3367" spans="1:13" x14ac:dyDescent="0.2">
      <c r="A3367" s="42"/>
      <c r="B3367" s="42"/>
      <c r="C3367" s="42"/>
      <c r="D3367" s="42"/>
      <c r="E3367" s="42"/>
      <c r="F3367" s="42"/>
      <c r="G3367" s="42"/>
      <c r="H3367" s="42"/>
      <c r="I3367" s="42"/>
      <c r="J3367" s="42"/>
      <c r="K3367" s="42"/>
      <c r="L3367" s="42"/>
      <c r="M3367" s="42"/>
    </row>
    <row r="3368" spans="1:13" x14ac:dyDescent="0.2">
      <c r="A3368" s="42"/>
      <c r="B3368" s="42"/>
      <c r="C3368" s="42"/>
      <c r="D3368" s="42"/>
      <c r="E3368" s="42"/>
      <c r="F3368" s="42"/>
      <c r="G3368" s="42"/>
      <c r="H3368" s="42"/>
      <c r="I3368" s="42"/>
      <c r="J3368" s="42"/>
      <c r="K3368" s="42"/>
      <c r="L3368" s="42"/>
      <c r="M3368" s="42"/>
    </row>
    <row r="3369" spans="1:13" x14ac:dyDescent="0.2">
      <c r="A3369" s="42"/>
      <c r="B3369" s="42"/>
      <c r="C3369" s="42"/>
      <c r="D3369" s="42"/>
      <c r="E3369" s="42"/>
      <c r="F3369" s="42"/>
      <c r="G3369" s="42"/>
      <c r="H3369" s="42"/>
      <c r="I3369" s="42"/>
      <c r="J3369" s="42"/>
      <c r="K3369" s="42"/>
      <c r="L3369" s="42"/>
      <c r="M3369" s="42"/>
    </row>
    <row r="3370" spans="1:13" x14ac:dyDescent="0.2">
      <c r="A3370" s="42"/>
      <c r="B3370" s="42"/>
      <c r="C3370" s="42"/>
      <c r="D3370" s="42"/>
      <c r="E3370" s="42"/>
      <c r="F3370" s="42"/>
      <c r="G3370" s="42"/>
      <c r="H3370" s="42"/>
      <c r="I3370" s="42"/>
      <c r="J3370" s="42"/>
      <c r="K3370" s="42"/>
      <c r="L3370" s="42"/>
      <c r="M3370" s="42"/>
    </row>
    <row r="3371" spans="1:13" x14ac:dyDescent="0.2">
      <c r="A3371" s="42"/>
      <c r="B3371" s="42"/>
      <c r="C3371" s="42"/>
      <c r="D3371" s="42"/>
      <c r="E3371" s="42"/>
      <c r="F3371" s="42"/>
      <c r="G3371" s="42"/>
      <c r="H3371" s="42"/>
      <c r="I3371" s="42"/>
      <c r="J3371" s="42"/>
      <c r="K3371" s="42"/>
      <c r="L3371" s="42"/>
      <c r="M3371" s="42"/>
    </row>
    <row r="3372" spans="1:13" x14ac:dyDescent="0.2">
      <c r="A3372" s="42"/>
      <c r="B3372" s="42"/>
      <c r="C3372" s="42"/>
      <c r="D3372" s="42"/>
      <c r="E3372" s="42"/>
      <c r="F3372" s="42"/>
      <c r="G3372" s="42"/>
      <c r="H3372" s="42"/>
      <c r="I3372" s="42"/>
      <c r="J3372" s="42"/>
      <c r="K3372" s="42"/>
      <c r="L3372" s="42"/>
      <c r="M3372" s="42"/>
    </row>
    <row r="3373" spans="1:13" x14ac:dyDescent="0.2">
      <c r="A3373" s="42"/>
      <c r="B3373" s="42"/>
      <c r="C3373" s="42"/>
      <c r="D3373" s="42"/>
      <c r="E3373" s="42"/>
      <c r="F3373" s="42"/>
      <c r="G3373" s="42"/>
      <c r="H3373" s="42"/>
      <c r="I3373" s="42"/>
      <c r="J3373" s="42"/>
      <c r="K3373" s="42"/>
      <c r="L3373" s="42"/>
      <c r="M3373" s="42"/>
    </row>
    <row r="3374" spans="1:13" x14ac:dyDescent="0.2">
      <c r="A3374" s="42"/>
      <c r="B3374" s="42"/>
      <c r="C3374" s="42"/>
      <c r="D3374" s="42"/>
      <c r="E3374" s="42"/>
      <c r="F3374" s="42"/>
      <c r="G3374" s="42"/>
      <c r="H3374" s="42"/>
      <c r="I3374" s="42"/>
      <c r="J3374" s="42"/>
      <c r="K3374" s="42"/>
      <c r="L3374" s="42"/>
      <c r="M3374" s="42"/>
    </row>
    <row r="3375" spans="1:13" x14ac:dyDescent="0.2">
      <c r="A3375" s="42"/>
      <c r="B3375" s="42"/>
      <c r="C3375" s="42"/>
      <c r="D3375" s="42"/>
      <c r="E3375" s="42"/>
      <c r="F3375" s="42"/>
      <c r="G3375" s="42"/>
      <c r="H3375" s="42"/>
      <c r="I3375" s="42"/>
      <c r="J3375" s="42"/>
      <c r="K3375" s="42"/>
      <c r="L3375" s="42"/>
      <c r="M3375" s="42"/>
    </row>
    <row r="3376" spans="1:13" x14ac:dyDescent="0.2">
      <c r="A3376" s="42"/>
      <c r="B3376" s="42"/>
      <c r="C3376" s="42"/>
      <c r="D3376" s="42"/>
      <c r="E3376" s="42"/>
      <c r="F3376" s="42"/>
      <c r="G3376" s="42"/>
      <c r="H3376" s="42"/>
      <c r="I3376" s="42"/>
      <c r="J3376" s="42"/>
      <c r="K3376" s="42"/>
      <c r="L3376" s="42"/>
      <c r="M3376" s="42"/>
    </row>
    <row r="3377" spans="1:13" x14ac:dyDescent="0.2">
      <c r="A3377" s="42"/>
      <c r="B3377" s="42"/>
      <c r="C3377" s="42"/>
      <c r="D3377" s="42"/>
      <c r="E3377" s="42"/>
      <c r="F3377" s="42"/>
      <c r="G3377" s="42"/>
      <c r="H3377" s="42"/>
      <c r="I3377" s="42"/>
      <c r="J3377" s="42"/>
      <c r="K3377" s="42"/>
      <c r="L3377" s="42"/>
      <c r="M3377" s="42"/>
    </row>
    <row r="3378" spans="1:13" x14ac:dyDescent="0.2">
      <c r="A3378" s="42"/>
      <c r="B3378" s="42"/>
      <c r="C3378" s="42"/>
      <c r="D3378" s="42"/>
      <c r="E3378" s="42"/>
      <c r="F3378" s="42"/>
      <c r="G3378" s="42"/>
      <c r="H3378" s="42"/>
      <c r="I3378" s="42"/>
      <c r="J3378" s="42"/>
      <c r="K3378" s="42"/>
      <c r="L3378" s="42"/>
      <c r="M3378" s="42"/>
    </row>
    <row r="3379" spans="1:13" x14ac:dyDescent="0.2">
      <c r="A3379" s="42"/>
      <c r="B3379" s="42"/>
      <c r="C3379" s="42"/>
      <c r="D3379" s="42"/>
      <c r="E3379" s="42"/>
      <c r="F3379" s="42"/>
      <c r="G3379" s="42"/>
      <c r="H3379" s="42"/>
      <c r="I3379" s="42"/>
      <c r="J3379" s="42"/>
      <c r="K3379" s="42"/>
      <c r="L3379" s="42"/>
      <c r="M3379" s="42"/>
    </row>
    <row r="3380" spans="1:13" x14ac:dyDescent="0.2">
      <c r="A3380" s="42"/>
      <c r="B3380" s="42"/>
      <c r="C3380" s="42"/>
      <c r="D3380" s="42"/>
      <c r="E3380" s="42"/>
      <c r="F3380" s="42"/>
      <c r="G3380" s="42"/>
      <c r="H3380" s="42"/>
      <c r="I3380" s="42"/>
      <c r="J3380" s="42"/>
      <c r="K3380" s="42"/>
      <c r="L3380" s="42"/>
      <c r="M3380" s="42"/>
    </row>
    <row r="3381" spans="1:13" x14ac:dyDescent="0.2">
      <c r="A3381" s="42"/>
      <c r="B3381" s="42"/>
      <c r="C3381" s="42"/>
      <c r="D3381" s="42"/>
      <c r="E3381" s="42"/>
      <c r="F3381" s="42"/>
      <c r="G3381" s="42"/>
      <c r="H3381" s="42"/>
      <c r="I3381" s="42"/>
      <c r="J3381" s="42"/>
      <c r="K3381" s="42"/>
      <c r="L3381" s="42"/>
      <c r="M3381" s="42"/>
    </row>
    <row r="3382" spans="1:13" x14ac:dyDescent="0.2">
      <c r="A3382" s="42"/>
      <c r="B3382" s="42"/>
      <c r="C3382" s="42"/>
      <c r="D3382" s="42"/>
      <c r="E3382" s="42"/>
      <c r="F3382" s="42"/>
      <c r="G3382" s="42"/>
      <c r="H3382" s="42"/>
      <c r="I3382" s="42"/>
      <c r="J3382" s="42"/>
      <c r="K3382" s="42"/>
      <c r="L3382" s="42"/>
      <c r="M3382" s="42"/>
    </row>
    <row r="3383" spans="1:13" x14ac:dyDescent="0.2">
      <c r="A3383" s="42"/>
      <c r="B3383" s="42"/>
      <c r="C3383" s="42"/>
      <c r="D3383" s="42"/>
      <c r="E3383" s="42"/>
      <c r="F3383" s="42"/>
      <c r="G3383" s="42"/>
      <c r="H3383" s="42"/>
      <c r="I3383" s="42"/>
      <c r="J3383" s="42"/>
      <c r="K3383" s="42"/>
      <c r="L3383" s="42"/>
      <c r="M3383" s="42"/>
    </row>
    <row r="3384" spans="1:13" x14ac:dyDescent="0.2">
      <c r="A3384" s="42"/>
      <c r="B3384" s="42"/>
      <c r="C3384" s="42"/>
      <c r="D3384" s="42"/>
      <c r="E3384" s="42"/>
      <c r="F3384" s="42"/>
      <c r="G3384" s="42"/>
      <c r="H3384" s="42"/>
      <c r="I3384" s="42"/>
      <c r="J3384" s="42"/>
      <c r="K3384" s="42"/>
      <c r="L3384" s="42"/>
      <c r="M3384" s="42"/>
    </row>
    <row r="3385" spans="1:13" x14ac:dyDescent="0.2">
      <c r="A3385" s="42"/>
      <c r="B3385" s="42"/>
      <c r="C3385" s="42"/>
      <c r="D3385" s="42"/>
      <c r="E3385" s="42"/>
      <c r="F3385" s="42"/>
      <c r="G3385" s="42"/>
      <c r="H3385" s="42"/>
      <c r="I3385" s="42"/>
      <c r="J3385" s="42"/>
      <c r="K3385" s="42"/>
      <c r="L3385" s="42"/>
      <c r="M3385" s="42"/>
    </row>
    <row r="3386" spans="1:13" x14ac:dyDescent="0.2">
      <c r="A3386" s="42"/>
      <c r="B3386" s="42"/>
      <c r="C3386" s="42"/>
      <c r="D3386" s="42"/>
      <c r="E3386" s="42"/>
      <c r="F3386" s="42"/>
      <c r="G3386" s="42"/>
      <c r="H3386" s="42"/>
      <c r="I3386" s="42"/>
      <c r="J3386" s="42"/>
      <c r="K3386" s="42"/>
      <c r="L3386" s="42"/>
      <c r="M3386" s="42"/>
    </row>
    <row r="3387" spans="1:13" x14ac:dyDescent="0.2">
      <c r="A3387" s="42"/>
      <c r="B3387" s="42"/>
      <c r="C3387" s="42"/>
      <c r="D3387" s="42"/>
      <c r="E3387" s="42"/>
      <c r="F3387" s="42"/>
      <c r="G3387" s="42"/>
      <c r="H3387" s="42"/>
      <c r="I3387" s="42"/>
      <c r="J3387" s="42"/>
      <c r="K3387" s="42"/>
      <c r="L3387" s="42"/>
      <c r="M3387" s="42"/>
    </row>
    <row r="3388" spans="1:13" x14ac:dyDescent="0.2">
      <c r="A3388" s="42"/>
      <c r="B3388" s="42"/>
      <c r="C3388" s="42"/>
      <c r="D3388" s="42"/>
      <c r="E3388" s="42"/>
      <c r="F3388" s="42"/>
      <c r="G3388" s="42"/>
      <c r="H3388" s="42"/>
      <c r="I3388" s="42"/>
      <c r="J3388" s="42"/>
      <c r="K3388" s="42"/>
      <c r="L3388" s="42"/>
      <c r="M3388" s="42"/>
    </row>
    <row r="3389" spans="1:13" x14ac:dyDescent="0.2">
      <c r="A3389" s="42"/>
      <c r="B3389" s="42"/>
      <c r="C3389" s="42"/>
      <c r="D3389" s="42"/>
      <c r="E3389" s="42"/>
      <c r="F3389" s="42"/>
      <c r="G3389" s="42"/>
      <c r="H3389" s="42"/>
      <c r="I3389" s="42"/>
      <c r="J3389" s="42"/>
      <c r="K3389" s="42"/>
      <c r="L3389" s="42"/>
      <c r="M3389" s="42"/>
    </row>
    <row r="3390" spans="1:13" x14ac:dyDescent="0.2">
      <c r="A3390" s="42"/>
      <c r="B3390" s="42"/>
      <c r="C3390" s="42"/>
      <c r="D3390" s="42"/>
      <c r="E3390" s="42"/>
      <c r="F3390" s="42"/>
      <c r="G3390" s="42"/>
      <c r="H3390" s="42"/>
      <c r="I3390" s="42"/>
      <c r="J3390" s="42"/>
      <c r="K3390" s="42"/>
      <c r="L3390" s="42"/>
      <c r="M3390" s="42"/>
    </row>
    <row r="3391" spans="1:13" x14ac:dyDescent="0.2">
      <c r="A3391" s="42"/>
      <c r="B3391" s="42"/>
      <c r="C3391" s="42"/>
      <c r="D3391" s="42"/>
      <c r="E3391" s="42"/>
      <c r="F3391" s="42"/>
      <c r="G3391" s="42"/>
      <c r="H3391" s="42"/>
      <c r="I3391" s="42"/>
      <c r="J3391" s="42"/>
      <c r="K3391" s="42"/>
      <c r="L3391" s="42"/>
      <c r="M3391" s="42"/>
    </row>
    <row r="3392" spans="1:13" x14ac:dyDescent="0.2">
      <c r="A3392" s="42"/>
      <c r="B3392" s="42"/>
      <c r="C3392" s="42"/>
      <c r="D3392" s="42"/>
      <c r="E3392" s="42"/>
      <c r="F3392" s="42"/>
      <c r="G3392" s="42"/>
      <c r="H3392" s="42"/>
      <c r="I3392" s="42"/>
      <c r="J3392" s="42"/>
      <c r="K3392" s="42"/>
      <c r="L3392" s="42"/>
      <c r="M3392" s="42"/>
    </row>
    <row r="3393" spans="1:13" x14ac:dyDescent="0.2">
      <c r="A3393" s="42"/>
      <c r="B3393" s="42"/>
      <c r="C3393" s="42"/>
      <c r="D3393" s="42"/>
      <c r="E3393" s="42"/>
      <c r="F3393" s="42"/>
      <c r="G3393" s="42"/>
      <c r="H3393" s="42"/>
      <c r="I3393" s="42"/>
      <c r="J3393" s="42"/>
      <c r="K3393" s="42"/>
      <c r="L3393" s="42"/>
      <c r="M3393" s="42"/>
    </row>
    <row r="3394" spans="1:13" x14ac:dyDescent="0.2">
      <c r="A3394" s="42"/>
      <c r="B3394" s="42"/>
      <c r="C3394" s="42"/>
      <c r="D3394" s="42"/>
      <c r="E3394" s="42"/>
      <c r="F3394" s="42"/>
      <c r="G3394" s="42"/>
      <c r="H3394" s="42"/>
      <c r="I3394" s="42"/>
      <c r="J3394" s="42"/>
      <c r="K3394" s="42"/>
      <c r="L3394" s="42"/>
      <c r="M3394" s="42"/>
    </row>
    <row r="3395" spans="1:13" x14ac:dyDescent="0.2">
      <c r="A3395" s="42"/>
      <c r="B3395" s="42"/>
      <c r="C3395" s="42"/>
      <c r="D3395" s="42"/>
      <c r="E3395" s="42"/>
      <c r="F3395" s="42"/>
      <c r="G3395" s="42"/>
      <c r="H3395" s="42"/>
      <c r="I3395" s="42"/>
      <c r="J3395" s="42"/>
      <c r="K3395" s="42"/>
      <c r="L3395" s="42"/>
      <c r="M3395" s="42"/>
    </row>
    <row r="3396" spans="1:13" x14ac:dyDescent="0.2">
      <c r="A3396" s="42"/>
      <c r="B3396" s="42"/>
      <c r="C3396" s="42"/>
      <c r="D3396" s="42"/>
      <c r="E3396" s="42"/>
      <c r="F3396" s="42"/>
      <c r="G3396" s="42"/>
      <c r="H3396" s="42"/>
      <c r="I3396" s="42"/>
      <c r="J3396" s="42"/>
      <c r="K3396" s="42"/>
      <c r="L3396" s="42"/>
      <c r="M3396" s="42"/>
    </row>
    <row r="3397" spans="1:13" x14ac:dyDescent="0.2">
      <c r="A3397" s="42"/>
      <c r="B3397" s="42"/>
      <c r="C3397" s="42"/>
      <c r="D3397" s="42"/>
      <c r="E3397" s="42"/>
      <c r="F3397" s="42"/>
      <c r="G3397" s="42"/>
      <c r="H3397" s="42"/>
      <c r="I3397" s="42"/>
      <c r="J3397" s="42"/>
      <c r="K3397" s="42"/>
      <c r="L3397" s="42"/>
      <c r="M3397" s="42"/>
    </row>
    <row r="3398" spans="1:13" x14ac:dyDescent="0.2">
      <c r="A3398" s="42"/>
      <c r="B3398" s="42"/>
      <c r="C3398" s="42"/>
      <c r="D3398" s="42"/>
      <c r="E3398" s="42"/>
      <c r="F3398" s="42"/>
      <c r="G3398" s="42"/>
      <c r="H3398" s="42"/>
      <c r="I3398" s="42"/>
      <c r="J3398" s="42"/>
      <c r="K3398" s="42"/>
      <c r="L3398" s="42"/>
      <c r="M3398" s="42"/>
    </row>
    <row r="3399" spans="1:13" x14ac:dyDescent="0.2">
      <c r="A3399" s="42"/>
      <c r="B3399" s="42"/>
      <c r="C3399" s="42"/>
      <c r="D3399" s="42"/>
      <c r="E3399" s="42"/>
      <c r="F3399" s="42"/>
      <c r="G3399" s="42"/>
      <c r="H3399" s="42"/>
      <c r="I3399" s="42"/>
      <c r="J3399" s="42"/>
      <c r="K3399" s="42"/>
      <c r="L3399" s="42"/>
      <c r="M3399" s="42"/>
    </row>
    <row r="3400" spans="1:13" x14ac:dyDescent="0.2">
      <c r="A3400" s="42"/>
      <c r="B3400" s="42"/>
      <c r="C3400" s="42"/>
      <c r="D3400" s="42"/>
      <c r="E3400" s="42"/>
      <c r="F3400" s="42"/>
      <c r="G3400" s="42"/>
      <c r="H3400" s="42"/>
      <c r="I3400" s="42"/>
      <c r="J3400" s="42"/>
      <c r="K3400" s="42"/>
      <c r="L3400" s="42"/>
      <c r="M3400" s="42"/>
    </row>
    <row r="3401" spans="1:13" x14ac:dyDescent="0.2">
      <c r="A3401" s="42"/>
      <c r="B3401" s="42"/>
      <c r="C3401" s="42"/>
      <c r="D3401" s="42"/>
      <c r="E3401" s="42"/>
      <c r="F3401" s="42"/>
      <c r="G3401" s="42"/>
      <c r="H3401" s="42"/>
      <c r="I3401" s="42"/>
      <c r="J3401" s="42"/>
      <c r="K3401" s="42"/>
      <c r="L3401" s="42"/>
      <c r="M3401" s="42"/>
    </row>
    <row r="3402" spans="1:13" x14ac:dyDescent="0.2">
      <c r="A3402" s="42"/>
      <c r="B3402" s="42"/>
      <c r="C3402" s="42"/>
      <c r="D3402" s="42"/>
      <c r="E3402" s="42"/>
      <c r="F3402" s="42"/>
      <c r="G3402" s="42"/>
      <c r="H3402" s="42"/>
      <c r="I3402" s="42"/>
      <c r="J3402" s="42"/>
      <c r="K3402" s="42"/>
      <c r="L3402" s="42"/>
      <c r="M3402" s="42"/>
    </row>
    <row r="3403" spans="1:13" x14ac:dyDescent="0.2">
      <c r="A3403" s="42"/>
      <c r="B3403" s="42"/>
      <c r="C3403" s="42"/>
      <c r="D3403" s="42"/>
      <c r="E3403" s="42"/>
      <c r="F3403" s="42"/>
      <c r="G3403" s="42"/>
      <c r="H3403" s="42"/>
      <c r="I3403" s="42"/>
      <c r="J3403" s="42"/>
      <c r="K3403" s="42"/>
      <c r="L3403" s="42"/>
      <c r="M3403" s="42"/>
    </row>
    <row r="3404" spans="1:13" x14ac:dyDescent="0.2">
      <c r="A3404" s="42"/>
      <c r="B3404" s="42"/>
      <c r="C3404" s="42"/>
      <c r="D3404" s="42"/>
      <c r="E3404" s="42"/>
      <c r="F3404" s="42"/>
      <c r="G3404" s="42"/>
      <c r="H3404" s="42"/>
      <c r="I3404" s="42"/>
      <c r="J3404" s="42"/>
      <c r="K3404" s="42"/>
      <c r="L3404" s="42"/>
      <c r="M3404" s="42"/>
    </row>
    <row r="3405" spans="1:13" x14ac:dyDescent="0.2">
      <c r="A3405" s="42"/>
      <c r="B3405" s="42"/>
      <c r="C3405" s="42"/>
      <c r="D3405" s="42"/>
      <c r="E3405" s="42"/>
      <c r="F3405" s="42"/>
      <c r="G3405" s="42"/>
      <c r="H3405" s="42"/>
      <c r="I3405" s="42"/>
      <c r="J3405" s="42"/>
      <c r="K3405" s="42"/>
      <c r="L3405" s="42"/>
      <c r="M3405" s="42"/>
    </row>
    <row r="3406" spans="1:13" x14ac:dyDescent="0.2">
      <c r="A3406" s="42"/>
      <c r="B3406" s="42"/>
      <c r="C3406" s="42"/>
      <c r="D3406" s="42"/>
      <c r="E3406" s="42"/>
      <c r="F3406" s="42"/>
      <c r="G3406" s="42"/>
      <c r="H3406" s="42"/>
      <c r="I3406" s="42"/>
      <c r="J3406" s="42"/>
      <c r="K3406" s="42"/>
      <c r="L3406" s="42"/>
      <c r="M3406" s="42"/>
    </row>
    <row r="3407" spans="1:13" x14ac:dyDescent="0.2">
      <c r="A3407" s="42"/>
      <c r="B3407" s="42"/>
      <c r="C3407" s="42"/>
      <c r="D3407" s="42"/>
      <c r="E3407" s="42"/>
      <c r="F3407" s="42"/>
      <c r="G3407" s="42"/>
      <c r="H3407" s="42"/>
      <c r="I3407" s="42"/>
      <c r="J3407" s="42"/>
      <c r="K3407" s="42"/>
      <c r="L3407" s="42"/>
      <c r="M3407" s="42"/>
    </row>
    <row r="3408" spans="1:13" x14ac:dyDescent="0.2">
      <c r="A3408" s="42"/>
      <c r="B3408" s="42"/>
      <c r="C3408" s="42"/>
      <c r="D3408" s="42"/>
      <c r="E3408" s="42"/>
      <c r="F3408" s="42"/>
      <c r="G3408" s="42"/>
      <c r="H3408" s="42"/>
      <c r="I3408" s="42"/>
      <c r="J3408" s="42"/>
      <c r="K3408" s="42"/>
      <c r="L3408" s="42"/>
      <c r="M3408" s="42"/>
    </row>
    <row r="3409" spans="1:13" x14ac:dyDescent="0.2">
      <c r="A3409" s="42"/>
      <c r="B3409" s="42"/>
      <c r="C3409" s="42"/>
      <c r="D3409" s="42"/>
      <c r="E3409" s="42"/>
      <c r="F3409" s="42"/>
      <c r="G3409" s="42"/>
      <c r="H3409" s="42"/>
      <c r="I3409" s="42"/>
      <c r="J3409" s="42"/>
      <c r="K3409" s="42"/>
      <c r="L3409" s="42"/>
      <c r="M3409" s="42"/>
    </row>
    <row r="3410" spans="1:13" x14ac:dyDescent="0.2">
      <c r="A3410" s="42"/>
      <c r="B3410" s="42"/>
      <c r="C3410" s="42"/>
      <c r="D3410" s="42"/>
      <c r="E3410" s="42"/>
      <c r="F3410" s="42"/>
      <c r="G3410" s="42"/>
      <c r="H3410" s="42"/>
      <c r="I3410" s="42"/>
      <c r="J3410" s="42"/>
      <c r="K3410" s="42"/>
      <c r="L3410" s="42"/>
      <c r="M3410" s="42"/>
    </row>
    <row r="3411" spans="1:13" x14ac:dyDescent="0.2">
      <c r="A3411" s="42"/>
      <c r="B3411" s="42"/>
      <c r="C3411" s="42"/>
      <c r="D3411" s="42"/>
      <c r="E3411" s="42"/>
      <c r="F3411" s="42"/>
      <c r="G3411" s="42"/>
      <c r="H3411" s="42"/>
      <c r="I3411" s="42"/>
      <c r="J3411" s="42"/>
      <c r="K3411" s="42"/>
      <c r="L3411" s="42"/>
      <c r="M3411" s="42"/>
    </row>
    <row r="3412" spans="1:13" x14ac:dyDescent="0.2">
      <c r="A3412" s="42"/>
      <c r="B3412" s="42"/>
      <c r="C3412" s="42"/>
      <c r="D3412" s="42"/>
      <c r="E3412" s="42"/>
      <c r="F3412" s="42"/>
      <c r="G3412" s="42"/>
      <c r="H3412" s="42"/>
      <c r="I3412" s="42"/>
      <c r="J3412" s="42"/>
      <c r="K3412" s="42"/>
      <c r="L3412" s="42"/>
      <c r="M3412" s="42"/>
    </row>
    <row r="3413" spans="1:13" x14ac:dyDescent="0.2">
      <c r="A3413" s="42"/>
      <c r="B3413" s="42"/>
      <c r="C3413" s="42"/>
      <c r="D3413" s="42"/>
      <c r="E3413" s="42"/>
      <c r="F3413" s="42"/>
      <c r="G3413" s="42"/>
      <c r="H3413" s="42"/>
      <c r="I3413" s="42"/>
      <c r="J3413" s="42"/>
      <c r="K3413" s="42"/>
      <c r="L3413" s="42"/>
      <c r="M3413" s="42"/>
    </row>
    <row r="3414" spans="1:13" x14ac:dyDescent="0.2">
      <c r="A3414" s="42"/>
      <c r="B3414" s="42"/>
      <c r="C3414" s="42"/>
      <c r="D3414" s="42"/>
      <c r="E3414" s="42"/>
      <c r="F3414" s="42"/>
      <c r="G3414" s="42"/>
      <c r="H3414" s="42"/>
      <c r="I3414" s="42"/>
      <c r="J3414" s="42"/>
      <c r="K3414" s="42"/>
      <c r="L3414" s="42"/>
      <c r="M3414" s="42"/>
    </row>
    <row r="3415" spans="1:13" x14ac:dyDescent="0.2">
      <c r="A3415" s="42"/>
      <c r="B3415" s="42"/>
      <c r="C3415" s="42"/>
      <c r="D3415" s="42"/>
      <c r="E3415" s="42"/>
      <c r="F3415" s="42"/>
      <c r="G3415" s="42"/>
      <c r="H3415" s="42"/>
      <c r="I3415" s="42"/>
      <c r="J3415" s="42"/>
      <c r="K3415" s="42"/>
      <c r="L3415" s="42"/>
      <c r="M3415" s="42"/>
    </row>
    <row r="3416" spans="1:13" x14ac:dyDescent="0.2">
      <c r="A3416" s="42"/>
      <c r="B3416" s="42"/>
      <c r="C3416" s="42"/>
      <c r="D3416" s="42"/>
      <c r="E3416" s="42"/>
      <c r="F3416" s="42"/>
      <c r="G3416" s="42"/>
      <c r="H3416" s="42"/>
      <c r="I3416" s="42"/>
      <c r="J3416" s="42"/>
      <c r="K3416" s="42"/>
      <c r="L3416" s="42"/>
      <c r="M3416" s="42"/>
    </row>
    <row r="3417" spans="1:13" x14ac:dyDescent="0.2">
      <c r="A3417" s="42"/>
      <c r="B3417" s="42"/>
      <c r="C3417" s="42"/>
      <c r="D3417" s="42"/>
      <c r="E3417" s="42"/>
      <c r="F3417" s="42"/>
      <c r="G3417" s="42"/>
      <c r="H3417" s="42"/>
      <c r="I3417" s="42"/>
      <c r="J3417" s="42"/>
      <c r="K3417" s="42"/>
      <c r="L3417" s="42"/>
      <c r="M3417" s="42"/>
    </row>
    <row r="3418" spans="1:13" x14ac:dyDescent="0.2">
      <c r="A3418" s="42"/>
      <c r="B3418" s="42"/>
      <c r="C3418" s="42"/>
      <c r="D3418" s="42"/>
      <c r="E3418" s="42"/>
      <c r="F3418" s="42"/>
      <c r="G3418" s="42"/>
      <c r="H3418" s="42"/>
      <c r="I3418" s="42"/>
      <c r="J3418" s="42"/>
      <c r="K3418" s="42"/>
      <c r="L3418" s="42"/>
      <c r="M3418" s="42"/>
    </row>
    <row r="3419" spans="1:13" x14ac:dyDescent="0.2">
      <c r="A3419" s="42"/>
      <c r="B3419" s="42"/>
      <c r="C3419" s="42"/>
      <c r="D3419" s="42"/>
      <c r="E3419" s="42"/>
      <c r="F3419" s="42"/>
      <c r="G3419" s="42"/>
      <c r="H3419" s="42"/>
      <c r="I3419" s="42"/>
      <c r="J3419" s="42"/>
      <c r="K3419" s="42"/>
      <c r="L3419" s="42"/>
      <c r="M3419" s="42"/>
    </row>
    <row r="3420" spans="1:13" x14ac:dyDescent="0.2">
      <c r="A3420" s="42"/>
      <c r="B3420" s="42"/>
      <c r="C3420" s="42"/>
      <c r="D3420" s="42"/>
      <c r="E3420" s="42"/>
      <c r="F3420" s="42"/>
      <c r="G3420" s="42"/>
      <c r="H3420" s="42"/>
      <c r="I3420" s="42"/>
      <c r="J3420" s="42"/>
      <c r="K3420" s="42"/>
      <c r="L3420" s="42"/>
      <c r="M3420" s="42"/>
    </row>
    <row r="3421" spans="1:13" x14ac:dyDescent="0.2">
      <c r="A3421" s="42"/>
      <c r="B3421" s="42"/>
      <c r="C3421" s="42"/>
      <c r="D3421" s="42"/>
      <c r="E3421" s="42"/>
      <c r="F3421" s="42"/>
      <c r="G3421" s="42"/>
      <c r="H3421" s="42"/>
      <c r="I3421" s="42"/>
      <c r="J3421" s="42"/>
      <c r="K3421" s="42"/>
      <c r="L3421" s="42"/>
      <c r="M3421" s="42"/>
    </row>
    <row r="3422" spans="1:13" x14ac:dyDescent="0.2">
      <c r="A3422" s="42"/>
      <c r="B3422" s="42"/>
      <c r="C3422" s="42"/>
      <c r="D3422" s="42"/>
      <c r="E3422" s="42"/>
      <c r="F3422" s="42"/>
      <c r="G3422" s="42"/>
      <c r="H3422" s="42"/>
      <c r="I3422" s="42"/>
      <c r="J3422" s="42"/>
      <c r="K3422" s="42"/>
      <c r="L3422" s="42"/>
      <c r="M3422" s="42"/>
    </row>
    <row r="3423" spans="1:13" x14ac:dyDescent="0.2">
      <c r="A3423" s="42"/>
      <c r="B3423" s="42"/>
      <c r="C3423" s="42"/>
      <c r="D3423" s="42"/>
      <c r="E3423" s="42"/>
      <c r="F3423" s="42"/>
      <c r="G3423" s="42"/>
      <c r="H3423" s="42"/>
      <c r="I3423" s="42"/>
      <c r="J3423" s="42"/>
      <c r="K3423" s="42"/>
      <c r="L3423" s="42"/>
      <c r="M3423" s="42"/>
    </row>
    <row r="3424" spans="1:13" x14ac:dyDescent="0.2">
      <c r="A3424" s="42"/>
      <c r="B3424" s="42"/>
      <c r="C3424" s="42"/>
      <c r="D3424" s="42"/>
      <c r="E3424" s="42"/>
      <c r="F3424" s="42"/>
      <c r="G3424" s="42"/>
      <c r="H3424" s="42"/>
      <c r="I3424" s="42"/>
      <c r="J3424" s="42"/>
      <c r="K3424" s="42"/>
      <c r="L3424" s="42"/>
      <c r="M3424" s="42"/>
    </row>
    <row r="3425" spans="1:13" x14ac:dyDescent="0.2">
      <c r="A3425" s="42"/>
      <c r="B3425" s="42"/>
      <c r="C3425" s="42"/>
      <c r="D3425" s="42"/>
      <c r="E3425" s="42"/>
      <c r="F3425" s="42"/>
      <c r="G3425" s="42"/>
      <c r="H3425" s="42"/>
      <c r="I3425" s="42"/>
      <c r="J3425" s="42"/>
      <c r="K3425" s="42"/>
      <c r="L3425" s="42"/>
      <c r="M3425" s="42"/>
    </row>
    <row r="3426" spans="1:13" x14ac:dyDescent="0.2">
      <c r="A3426" s="42"/>
      <c r="B3426" s="42"/>
      <c r="C3426" s="42"/>
      <c r="D3426" s="42"/>
      <c r="E3426" s="42"/>
      <c r="F3426" s="42"/>
      <c r="G3426" s="42"/>
      <c r="H3426" s="42"/>
      <c r="I3426" s="42"/>
      <c r="J3426" s="42"/>
      <c r="K3426" s="42"/>
      <c r="L3426" s="42"/>
      <c r="M3426" s="42"/>
    </row>
    <row r="3427" spans="1:13" x14ac:dyDescent="0.2">
      <c r="A3427" s="42"/>
      <c r="B3427" s="42"/>
      <c r="C3427" s="42"/>
      <c r="D3427" s="42"/>
      <c r="E3427" s="42"/>
      <c r="F3427" s="42"/>
      <c r="G3427" s="42"/>
      <c r="H3427" s="42"/>
      <c r="I3427" s="42"/>
      <c r="J3427" s="42"/>
      <c r="K3427" s="42"/>
      <c r="L3427" s="42"/>
      <c r="M3427" s="42"/>
    </row>
    <row r="3428" spans="1:13" x14ac:dyDescent="0.2">
      <c r="A3428" s="42"/>
      <c r="B3428" s="42"/>
      <c r="C3428" s="42"/>
      <c r="D3428" s="42"/>
      <c r="E3428" s="42"/>
      <c r="F3428" s="42"/>
      <c r="G3428" s="42"/>
      <c r="H3428" s="42"/>
      <c r="I3428" s="42"/>
      <c r="J3428" s="42"/>
      <c r="K3428" s="42"/>
      <c r="L3428" s="42"/>
      <c r="M3428" s="42"/>
    </row>
    <row r="3429" spans="1:13" x14ac:dyDescent="0.2">
      <c r="A3429" s="42"/>
      <c r="B3429" s="42"/>
      <c r="C3429" s="42"/>
      <c r="D3429" s="42"/>
      <c r="E3429" s="42"/>
      <c r="F3429" s="42"/>
      <c r="G3429" s="42"/>
      <c r="H3429" s="42"/>
      <c r="I3429" s="42"/>
      <c r="J3429" s="42"/>
      <c r="K3429" s="42"/>
      <c r="L3429" s="42"/>
      <c r="M3429" s="42"/>
    </row>
    <row r="3430" spans="1:13" x14ac:dyDescent="0.2">
      <c r="A3430" s="42"/>
      <c r="B3430" s="42"/>
      <c r="C3430" s="42"/>
      <c r="D3430" s="42"/>
      <c r="E3430" s="42"/>
      <c r="F3430" s="42"/>
      <c r="G3430" s="42"/>
      <c r="H3430" s="42"/>
      <c r="I3430" s="42"/>
      <c r="J3430" s="42"/>
      <c r="K3430" s="42"/>
      <c r="L3430" s="42"/>
      <c r="M3430" s="42"/>
    </row>
    <row r="3431" spans="1:13" x14ac:dyDescent="0.2">
      <c r="A3431" s="42"/>
      <c r="B3431" s="42"/>
      <c r="C3431" s="42"/>
      <c r="D3431" s="42"/>
      <c r="E3431" s="42"/>
      <c r="F3431" s="42"/>
      <c r="G3431" s="42"/>
      <c r="H3431" s="42"/>
      <c r="I3431" s="42"/>
      <c r="J3431" s="42"/>
      <c r="K3431" s="42"/>
      <c r="L3431" s="42"/>
      <c r="M3431" s="42"/>
    </row>
    <row r="3432" spans="1:13" x14ac:dyDescent="0.2">
      <c r="A3432" s="42"/>
      <c r="B3432" s="42"/>
      <c r="C3432" s="42"/>
      <c r="D3432" s="42"/>
      <c r="E3432" s="42"/>
      <c r="F3432" s="42"/>
      <c r="G3432" s="42"/>
      <c r="H3432" s="42"/>
      <c r="I3432" s="42"/>
      <c r="J3432" s="42"/>
      <c r="K3432" s="42"/>
      <c r="L3432" s="42"/>
      <c r="M3432" s="42"/>
    </row>
    <row r="3433" spans="1:13" x14ac:dyDescent="0.2">
      <c r="A3433" s="42"/>
      <c r="B3433" s="42"/>
      <c r="C3433" s="42"/>
      <c r="D3433" s="42"/>
      <c r="E3433" s="42"/>
      <c r="F3433" s="42"/>
      <c r="G3433" s="42"/>
      <c r="H3433" s="42"/>
      <c r="I3433" s="42"/>
      <c r="J3433" s="42"/>
      <c r="K3433" s="42"/>
      <c r="L3433" s="42"/>
      <c r="M3433" s="42"/>
    </row>
    <row r="3434" spans="1:13" x14ac:dyDescent="0.2">
      <c r="A3434" s="42"/>
      <c r="B3434" s="42"/>
      <c r="C3434" s="42"/>
      <c r="D3434" s="42"/>
      <c r="E3434" s="42"/>
      <c r="F3434" s="42"/>
      <c r="G3434" s="42"/>
      <c r="H3434" s="42"/>
      <c r="I3434" s="42"/>
      <c r="J3434" s="42"/>
      <c r="K3434" s="42"/>
      <c r="L3434" s="42"/>
      <c r="M3434" s="42"/>
    </row>
    <row r="3435" spans="1:13" x14ac:dyDescent="0.2">
      <c r="A3435" s="42"/>
      <c r="B3435" s="42"/>
      <c r="C3435" s="42"/>
      <c r="D3435" s="42"/>
      <c r="E3435" s="42"/>
      <c r="F3435" s="42"/>
      <c r="G3435" s="42"/>
      <c r="H3435" s="42"/>
      <c r="I3435" s="42"/>
      <c r="J3435" s="42"/>
      <c r="K3435" s="42"/>
      <c r="L3435" s="42"/>
      <c r="M3435" s="42"/>
    </row>
    <row r="3436" spans="1:13" x14ac:dyDescent="0.2">
      <c r="A3436" s="42"/>
      <c r="B3436" s="42"/>
      <c r="C3436" s="42"/>
      <c r="D3436" s="42"/>
      <c r="E3436" s="42"/>
      <c r="F3436" s="42"/>
      <c r="G3436" s="42"/>
      <c r="H3436" s="42"/>
      <c r="I3436" s="42"/>
      <c r="J3436" s="42"/>
      <c r="K3436" s="42"/>
      <c r="L3436" s="42"/>
      <c r="M3436" s="42"/>
    </row>
    <row r="3437" spans="1:13" x14ac:dyDescent="0.2">
      <c r="A3437" s="42"/>
      <c r="B3437" s="42"/>
      <c r="C3437" s="42"/>
      <c r="D3437" s="42"/>
      <c r="E3437" s="42"/>
      <c r="F3437" s="42"/>
      <c r="G3437" s="42"/>
      <c r="H3437" s="42"/>
      <c r="I3437" s="42"/>
      <c r="J3437" s="42"/>
      <c r="K3437" s="42"/>
      <c r="L3437" s="42"/>
      <c r="M3437" s="42"/>
    </row>
    <row r="3438" spans="1:13" x14ac:dyDescent="0.2">
      <c r="A3438" s="42"/>
      <c r="B3438" s="42"/>
      <c r="C3438" s="42"/>
      <c r="D3438" s="42"/>
      <c r="E3438" s="42"/>
      <c r="F3438" s="42"/>
      <c r="G3438" s="42"/>
      <c r="H3438" s="42"/>
      <c r="I3438" s="42"/>
      <c r="J3438" s="42"/>
      <c r="K3438" s="42"/>
      <c r="L3438" s="42"/>
      <c r="M3438" s="42"/>
    </row>
    <row r="3439" spans="1:13" x14ac:dyDescent="0.2">
      <c r="A3439" s="42"/>
      <c r="B3439" s="42"/>
      <c r="C3439" s="42"/>
      <c r="D3439" s="42"/>
      <c r="E3439" s="42"/>
      <c r="F3439" s="42"/>
      <c r="G3439" s="42"/>
      <c r="H3439" s="42"/>
      <c r="I3439" s="42"/>
      <c r="J3439" s="42"/>
      <c r="K3439" s="42"/>
      <c r="L3439" s="42"/>
      <c r="M3439" s="42"/>
    </row>
    <row r="3440" spans="1:13" x14ac:dyDescent="0.2">
      <c r="A3440" s="42"/>
      <c r="B3440" s="42"/>
      <c r="C3440" s="42"/>
      <c r="D3440" s="42"/>
      <c r="E3440" s="42"/>
      <c r="F3440" s="42"/>
      <c r="G3440" s="42"/>
      <c r="H3440" s="42"/>
      <c r="I3440" s="42"/>
      <c r="J3440" s="42"/>
      <c r="K3440" s="42"/>
      <c r="L3440" s="42"/>
      <c r="M3440" s="42"/>
    </row>
    <row r="3441" spans="1:13" x14ac:dyDescent="0.2">
      <c r="A3441" s="42"/>
      <c r="B3441" s="42"/>
      <c r="C3441" s="42"/>
      <c r="D3441" s="42"/>
      <c r="E3441" s="42"/>
      <c r="F3441" s="42"/>
      <c r="G3441" s="42"/>
      <c r="H3441" s="42"/>
      <c r="I3441" s="42"/>
      <c r="J3441" s="42"/>
      <c r="K3441" s="42"/>
      <c r="L3441" s="42"/>
      <c r="M3441" s="42"/>
    </row>
    <row r="3442" spans="1:13" x14ac:dyDescent="0.2">
      <c r="A3442" s="42"/>
      <c r="B3442" s="42"/>
      <c r="C3442" s="42"/>
      <c r="D3442" s="42"/>
      <c r="E3442" s="42"/>
      <c r="F3442" s="42"/>
      <c r="G3442" s="42"/>
      <c r="H3442" s="42"/>
      <c r="I3442" s="42"/>
      <c r="J3442" s="42"/>
      <c r="K3442" s="42"/>
      <c r="L3442" s="42"/>
      <c r="M3442" s="42"/>
    </row>
    <row r="3443" spans="1:13" x14ac:dyDescent="0.2">
      <c r="A3443" s="42"/>
      <c r="B3443" s="42"/>
      <c r="C3443" s="42"/>
      <c r="D3443" s="42"/>
      <c r="E3443" s="42"/>
      <c r="F3443" s="42"/>
      <c r="G3443" s="42"/>
      <c r="H3443" s="42"/>
      <c r="I3443" s="42"/>
      <c r="J3443" s="42"/>
      <c r="K3443" s="42"/>
      <c r="L3443" s="42"/>
      <c r="M3443" s="42"/>
    </row>
    <row r="3444" spans="1:13" x14ac:dyDescent="0.2">
      <c r="A3444" s="42"/>
      <c r="B3444" s="42"/>
      <c r="C3444" s="42"/>
      <c r="D3444" s="42"/>
      <c r="E3444" s="42"/>
      <c r="F3444" s="42"/>
      <c r="G3444" s="42"/>
      <c r="H3444" s="42"/>
      <c r="I3444" s="42"/>
      <c r="J3444" s="42"/>
      <c r="K3444" s="42"/>
      <c r="L3444" s="42"/>
      <c r="M3444" s="42"/>
    </row>
    <row r="3445" spans="1:13" x14ac:dyDescent="0.2">
      <c r="A3445" s="42"/>
      <c r="B3445" s="42"/>
      <c r="C3445" s="42"/>
      <c r="D3445" s="42"/>
      <c r="E3445" s="42"/>
      <c r="F3445" s="42"/>
      <c r="G3445" s="42"/>
      <c r="H3445" s="42"/>
      <c r="I3445" s="42"/>
      <c r="J3445" s="42"/>
      <c r="K3445" s="42"/>
      <c r="L3445" s="42"/>
      <c r="M3445" s="42"/>
    </row>
    <row r="3446" spans="1:13" x14ac:dyDescent="0.2">
      <c r="A3446" s="42"/>
      <c r="B3446" s="42"/>
      <c r="C3446" s="42"/>
      <c r="D3446" s="42"/>
      <c r="E3446" s="42"/>
      <c r="F3446" s="42"/>
      <c r="G3446" s="42"/>
      <c r="H3446" s="42"/>
      <c r="I3446" s="42"/>
      <c r="J3446" s="42"/>
      <c r="K3446" s="42"/>
      <c r="L3446" s="42"/>
      <c r="M3446" s="42"/>
    </row>
    <row r="3447" spans="1:13" x14ac:dyDescent="0.2">
      <c r="A3447" s="42"/>
      <c r="B3447" s="42"/>
      <c r="C3447" s="42"/>
      <c r="D3447" s="42"/>
      <c r="E3447" s="42"/>
      <c r="F3447" s="42"/>
      <c r="G3447" s="42"/>
      <c r="H3447" s="42"/>
      <c r="I3447" s="42"/>
      <c r="J3447" s="42"/>
      <c r="K3447" s="42"/>
      <c r="L3447" s="42"/>
      <c r="M3447" s="42"/>
    </row>
    <row r="3448" spans="1:13" x14ac:dyDescent="0.2">
      <c r="A3448" s="42"/>
      <c r="B3448" s="42"/>
      <c r="C3448" s="42"/>
      <c r="D3448" s="42"/>
      <c r="E3448" s="42"/>
      <c r="F3448" s="42"/>
      <c r="G3448" s="42"/>
      <c r="H3448" s="42"/>
      <c r="I3448" s="42"/>
      <c r="J3448" s="42"/>
      <c r="K3448" s="42"/>
      <c r="L3448" s="42"/>
      <c r="M3448" s="42"/>
    </row>
    <row r="3449" spans="1:13" x14ac:dyDescent="0.2">
      <c r="A3449" s="42"/>
      <c r="B3449" s="42"/>
      <c r="C3449" s="42"/>
      <c r="D3449" s="42"/>
      <c r="E3449" s="42"/>
      <c r="F3449" s="42"/>
      <c r="G3449" s="42"/>
      <c r="H3449" s="42"/>
      <c r="I3449" s="42"/>
      <c r="J3449" s="42"/>
      <c r="K3449" s="42"/>
      <c r="L3449" s="42"/>
      <c r="M3449" s="42"/>
    </row>
    <row r="3450" spans="1:13" x14ac:dyDescent="0.2">
      <c r="A3450" s="42"/>
      <c r="B3450" s="42"/>
      <c r="C3450" s="42"/>
      <c r="D3450" s="42"/>
      <c r="E3450" s="42"/>
      <c r="F3450" s="42"/>
      <c r="G3450" s="42"/>
      <c r="H3450" s="42"/>
      <c r="I3450" s="42"/>
      <c r="J3450" s="42"/>
      <c r="K3450" s="42"/>
      <c r="L3450" s="42"/>
      <c r="M3450" s="42"/>
    </row>
    <row r="3451" spans="1:13" x14ac:dyDescent="0.2">
      <c r="A3451" s="42"/>
      <c r="B3451" s="42"/>
      <c r="C3451" s="42"/>
      <c r="D3451" s="42"/>
      <c r="E3451" s="42"/>
      <c r="F3451" s="42"/>
      <c r="G3451" s="42"/>
      <c r="H3451" s="42"/>
      <c r="I3451" s="42"/>
      <c r="J3451" s="42"/>
      <c r="K3451" s="42"/>
      <c r="L3451" s="42"/>
      <c r="M3451" s="42"/>
    </row>
    <row r="3452" spans="1:13" x14ac:dyDescent="0.2">
      <c r="A3452" s="42"/>
      <c r="B3452" s="42"/>
      <c r="C3452" s="42"/>
      <c r="D3452" s="42"/>
      <c r="E3452" s="42"/>
      <c r="F3452" s="42"/>
      <c r="G3452" s="42"/>
      <c r="H3452" s="42"/>
      <c r="I3452" s="42"/>
      <c r="J3452" s="42"/>
      <c r="K3452" s="42"/>
      <c r="L3452" s="42"/>
      <c r="M3452" s="42"/>
    </row>
    <row r="3453" spans="1:13" x14ac:dyDescent="0.2">
      <c r="A3453" s="42"/>
      <c r="B3453" s="42"/>
      <c r="C3453" s="42"/>
      <c r="D3453" s="42"/>
      <c r="E3453" s="42"/>
      <c r="F3453" s="42"/>
      <c r="G3453" s="42"/>
      <c r="H3453" s="42"/>
      <c r="I3453" s="42"/>
      <c r="J3453" s="42"/>
      <c r="K3453" s="42"/>
      <c r="L3453" s="42"/>
      <c r="M3453" s="42"/>
    </row>
    <row r="3454" spans="1:13" x14ac:dyDescent="0.2">
      <c r="A3454" s="42"/>
      <c r="B3454" s="42"/>
      <c r="C3454" s="42"/>
      <c r="D3454" s="42"/>
      <c r="E3454" s="42"/>
      <c r="F3454" s="42"/>
      <c r="G3454" s="42"/>
      <c r="H3454" s="42"/>
      <c r="I3454" s="42"/>
      <c r="J3454" s="42"/>
      <c r="K3454" s="42"/>
      <c r="L3454" s="42"/>
      <c r="M3454" s="42"/>
    </row>
    <row r="3455" spans="1:13" x14ac:dyDescent="0.2">
      <c r="A3455" s="42"/>
      <c r="B3455" s="42"/>
      <c r="C3455" s="42"/>
      <c r="D3455" s="42"/>
      <c r="E3455" s="42"/>
      <c r="F3455" s="42"/>
      <c r="G3455" s="42"/>
      <c r="H3455" s="42"/>
      <c r="I3455" s="42"/>
      <c r="J3455" s="42"/>
      <c r="K3455" s="42"/>
      <c r="L3455" s="42"/>
      <c r="M3455" s="42"/>
    </row>
    <row r="3456" spans="1:13" x14ac:dyDescent="0.2">
      <c r="A3456" s="42"/>
      <c r="B3456" s="42"/>
      <c r="C3456" s="42"/>
      <c r="D3456" s="42"/>
      <c r="E3456" s="42"/>
      <c r="F3456" s="42"/>
      <c r="G3456" s="42"/>
      <c r="H3456" s="42"/>
      <c r="I3456" s="42"/>
      <c r="J3456" s="42"/>
      <c r="K3456" s="42"/>
      <c r="L3456" s="42"/>
      <c r="M3456" s="42"/>
    </row>
    <row r="3457" spans="1:13" x14ac:dyDescent="0.2">
      <c r="A3457" s="42"/>
      <c r="B3457" s="42"/>
      <c r="C3457" s="42"/>
      <c r="D3457" s="42"/>
      <c r="E3457" s="42"/>
      <c r="F3457" s="42"/>
      <c r="G3457" s="42"/>
      <c r="H3457" s="42"/>
      <c r="I3457" s="42"/>
      <c r="J3457" s="42"/>
      <c r="K3457" s="42"/>
      <c r="L3457" s="42"/>
      <c r="M3457" s="42"/>
    </row>
    <row r="3458" spans="1:13" x14ac:dyDescent="0.2">
      <c r="A3458" s="42"/>
      <c r="B3458" s="42"/>
      <c r="C3458" s="42"/>
      <c r="D3458" s="42"/>
      <c r="E3458" s="42"/>
      <c r="F3458" s="42"/>
      <c r="G3458" s="42"/>
      <c r="H3458" s="42"/>
      <c r="I3458" s="42"/>
      <c r="J3458" s="42"/>
      <c r="K3458" s="42"/>
      <c r="L3458" s="42"/>
      <c r="M3458" s="42"/>
    </row>
    <row r="3459" spans="1:13" x14ac:dyDescent="0.2">
      <c r="A3459" s="42"/>
      <c r="B3459" s="42"/>
      <c r="C3459" s="42"/>
      <c r="D3459" s="42"/>
      <c r="E3459" s="42"/>
      <c r="F3459" s="42"/>
      <c r="G3459" s="42"/>
      <c r="H3459" s="42"/>
      <c r="I3459" s="42"/>
      <c r="J3459" s="42"/>
      <c r="K3459" s="42"/>
      <c r="L3459" s="42"/>
      <c r="M3459" s="42"/>
    </row>
    <row r="3460" spans="1:13" x14ac:dyDescent="0.2">
      <c r="A3460" s="42"/>
      <c r="B3460" s="42"/>
      <c r="C3460" s="42"/>
      <c r="D3460" s="42"/>
      <c r="E3460" s="42"/>
      <c r="F3460" s="42"/>
      <c r="G3460" s="42"/>
      <c r="H3460" s="42"/>
      <c r="I3460" s="42"/>
      <c r="J3460" s="42"/>
      <c r="K3460" s="42"/>
      <c r="L3460" s="42"/>
      <c r="M3460" s="42"/>
    </row>
    <row r="3461" spans="1:13" x14ac:dyDescent="0.2">
      <c r="A3461" s="42"/>
      <c r="B3461" s="42"/>
      <c r="C3461" s="42"/>
      <c r="D3461" s="42"/>
      <c r="E3461" s="42"/>
      <c r="F3461" s="42"/>
      <c r="G3461" s="42"/>
      <c r="H3461" s="42"/>
      <c r="I3461" s="42"/>
      <c r="J3461" s="42"/>
      <c r="K3461" s="42"/>
      <c r="L3461" s="42"/>
      <c r="M3461" s="42"/>
    </row>
    <row r="3462" spans="1:13" x14ac:dyDescent="0.2">
      <c r="A3462" s="42"/>
      <c r="B3462" s="42"/>
      <c r="C3462" s="42"/>
      <c r="D3462" s="42"/>
      <c r="E3462" s="42"/>
      <c r="F3462" s="42"/>
      <c r="G3462" s="42"/>
      <c r="H3462" s="42"/>
      <c r="I3462" s="42"/>
      <c r="J3462" s="42"/>
      <c r="K3462" s="42"/>
      <c r="L3462" s="42"/>
      <c r="M3462" s="42"/>
    </row>
    <row r="3463" spans="1:13" x14ac:dyDescent="0.2">
      <c r="A3463" s="42"/>
      <c r="B3463" s="42"/>
      <c r="C3463" s="42"/>
      <c r="D3463" s="42"/>
      <c r="E3463" s="42"/>
      <c r="F3463" s="42"/>
      <c r="G3463" s="42"/>
      <c r="H3463" s="42"/>
      <c r="I3463" s="42"/>
      <c r="J3463" s="42"/>
      <c r="K3463" s="42"/>
      <c r="L3463" s="42"/>
      <c r="M3463" s="42"/>
    </row>
    <row r="3464" spans="1:13" x14ac:dyDescent="0.2">
      <c r="A3464" s="42"/>
      <c r="B3464" s="42"/>
      <c r="C3464" s="42"/>
      <c r="D3464" s="42"/>
      <c r="E3464" s="42"/>
      <c r="F3464" s="42"/>
      <c r="G3464" s="42"/>
      <c r="H3464" s="42"/>
      <c r="I3464" s="42"/>
      <c r="J3464" s="42"/>
      <c r="K3464" s="42"/>
      <c r="L3464" s="42"/>
      <c r="M3464" s="42"/>
    </row>
    <row r="3465" spans="1:13" x14ac:dyDescent="0.2">
      <c r="A3465" s="42"/>
      <c r="B3465" s="42"/>
      <c r="C3465" s="42"/>
      <c r="D3465" s="42"/>
      <c r="E3465" s="42"/>
      <c r="F3465" s="42"/>
      <c r="G3465" s="42"/>
      <c r="H3465" s="42"/>
      <c r="I3465" s="42"/>
      <c r="J3465" s="42"/>
      <c r="K3465" s="42"/>
      <c r="L3465" s="42"/>
      <c r="M3465" s="42"/>
    </row>
    <row r="3466" spans="1:13" x14ac:dyDescent="0.2">
      <c r="A3466" s="42"/>
      <c r="B3466" s="42"/>
      <c r="C3466" s="42"/>
      <c r="D3466" s="42"/>
      <c r="E3466" s="42"/>
      <c r="F3466" s="42"/>
      <c r="G3466" s="42"/>
      <c r="H3466" s="42"/>
      <c r="I3466" s="42"/>
      <c r="J3466" s="42"/>
      <c r="K3466" s="42"/>
      <c r="L3466" s="42"/>
      <c r="M3466" s="42"/>
    </row>
    <row r="3467" spans="1:13" x14ac:dyDescent="0.2">
      <c r="A3467" s="42"/>
      <c r="B3467" s="42"/>
      <c r="C3467" s="42"/>
      <c r="D3467" s="42"/>
      <c r="E3467" s="42"/>
      <c r="F3467" s="42"/>
      <c r="G3467" s="42"/>
      <c r="H3467" s="42"/>
      <c r="I3467" s="42"/>
      <c r="J3467" s="42"/>
      <c r="K3467" s="42"/>
      <c r="L3467" s="42"/>
      <c r="M3467" s="42"/>
    </row>
    <row r="3468" spans="1:13" x14ac:dyDescent="0.2">
      <c r="A3468" s="42"/>
      <c r="B3468" s="42"/>
      <c r="C3468" s="42"/>
      <c r="D3468" s="42"/>
      <c r="E3468" s="42"/>
      <c r="F3468" s="42"/>
      <c r="G3468" s="42"/>
      <c r="H3468" s="42"/>
      <c r="I3468" s="42"/>
      <c r="J3468" s="42"/>
      <c r="K3468" s="42"/>
      <c r="L3468" s="42"/>
      <c r="M3468" s="42"/>
    </row>
    <row r="3469" spans="1:13" x14ac:dyDescent="0.2">
      <c r="A3469" s="42"/>
      <c r="B3469" s="42"/>
      <c r="C3469" s="42"/>
      <c r="D3469" s="42"/>
      <c r="E3469" s="42"/>
      <c r="F3469" s="42"/>
      <c r="G3469" s="42"/>
      <c r="H3469" s="42"/>
      <c r="I3469" s="42"/>
      <c r="J3469" s="42"/>
      <c r="K3469" s="42"/>
      <c r="L3469" s="42"/>
      <c r="M3469" s="42"/>
    </row>
    <row r="3470" spans="1:13" x14ac:dyDescent="0.2">
      <c r="A3470" s="42"/>
      <c r="B3470" s="42"/>
      <c r="C3470" s="42"/>
      <c r="D3470" s="42"/>
      <c r="E3470" s="42"/>
      <c r="F3470" s="42"/>
      <c r="G3470" s="42"/>
      <c r="H3470" s="42"/>
      <c r="I3470" s="42"/>
      <c r="J3470" s="42"/>
      <c r="K3470" s="42"/>
      <c r="L3470" s="42"/>
      <c r="M3470" s="42"/>
    </row>
    <row r="3471" spans="1:13" x14ac:dyDescent="0.2">
      <c r="A3471" s="42"/>
      <c r="B3471" s="42"/>
      <c r="C3471" s="42"/>
      <c r="D3471" s="42"/>
      <c r="E3471" s="42"/>
      <c r="F3471" s="42"/>
      <c r="G3471" s="42"/>
      <c r="H3471" s="42"/>
      <c r="I3471" s="42"/>
      <c r="J3471" s="42"/>
      <c r="K3471" s="42"/>
      <c r="L3471" s="42"/>
      <c r="M3471" s="42"/>
    </row>
    <row r="3472" spans="1:13" x14ac:dyDescent="0.2">
      <c r="A3472" s="42"/>
      <c r="B3472" s="42"/>
      <c r="C3472" s="42"/>
      <c r="D3472" s="42"/>
      <c r="E3472" s="42"/>
      <c r="F3472" s="42"/>
      <c r="G3472" s="42"/>
      <c r="H3472" s="42"/>
      <c r="I3472" s="42"/>
      <c r="J3472" s="42"/>
      <c r="K3472" s="42"/>
      <c r="L3472" s="42"/>
      <c r="M3472" s="42"/>
    </row>
    <row r="3473" spans="1:13" x14ac:dyDescent="0.2">
      <c r="A3473" s="42"/>
      <c r="B3473" s="42"/>
      <c r="C3473" s="42"/>
      <c r="D3473" s="42"/>
      <c r="E3473" s="42"/>
      <c r="F3473" s="42"/>
      <c r="G3473" s="42"/>
      <c r="H3473" s="42"/>
      <c r="I3473" s="42"/>
      <c r="J3473" s="42"/>
      <c r="K3473" s="42"/>
      <c r="L3473" s="42"/>
      <c r="M3473" s="42"/>
    </row>
    <row r="3474" spans="1:13" x14ac:dyDescent="0.2">
      <c r="A3474" s="42"/>
      <c r="B3474" s="42"/>
      <c r="C3474" s="42"/>
      <c r="D3474" s="42"/>
      <c r="E3474" s="42"/>
      <c r="F3474" s="42"/>
      <c r="G3474" s="42"/>
      <c r="H3474" s="42"/>
      <c r="I3474" s="42"/>
      <c r="J3474" s="42"/>
      <c r="K3474" s="42"/>
      <c r="L3474" s="42"/>
      <c r="M3474" s="42"/>
    </row>
    <row r="3475" spans="1:13" x14ac:dyDescent="0.2">
      <c r="A3475" s="42"/>
      <c r="B3475" s="42"/>
      <c r="C3475" s="42"/>
      <c r="D3475" s="42"/>
      <c r="E3475" s="42"/>
      <c r="F3475" s="42"/>
      <c r="G3475" s="42"/>
      <c r="H3475" s="42"/>
      <c r="I3475" s="42"/>
      <c r="J3475" s="42"/>
      <c r="K3475" s="42"/>
      <c r="L3475" s="42"/>
      <c r="M3475" s="42"/>
    </row>
    <row r="3476" spans="1:13" x14ac:dyDescent="0.2">
      <c r="A3476" s="42"/>
      <c r="B3476" s="42"/>
      <c r="C3476" s="42"/>
      <c r="D3476" s="42"/>
      <c r="E3476" s="42"/>
      <c r="F3476" s="42"/>
      <c r="G3476" s="42"/>
      <c r="H3476" s="42"/>
      <c r="I3476" s="42"/>
      <c r="J3476" s="42"/>
      <c r="K3476" s="42"/>
      <c r="L3476" s="42"/>
      <c r="M3476" s="42"/>
    </row>
    <row r="3477" spans="1:13" x14ac:dyDescent="0.2">
      <c r="A3477" s="42"/>
      <c r="B3477" s="42"/>
      <c r="C3477" s="42"/>
      <c r="D3477" s="42"/>
      <c r="E3477" s="42"/>
      <c r="F3477" s="42"/>
      <c r="G3477" s="42"/>
      <c r="H3477" s="42"/>
      <c r="I3477" s="42"/>
      <c r="J3477" s="42"/>
      <c r="K3477" s="42"/>
      <c r="L3477" s="42"/>
      <c r="M3477" s="42"/>
    </row>
    <row r="3478" spans="1:13" x14ac:dyDescent="0.2">
      <c r="A3478" s="42"/>
      <c r="B3478" s="42"/>
      <c r="C3478" s="42"/>
      <c r="D3478" s="42"/>
      <c r="E3478" s="42"/>
      <c r="F3478" s="42"/>
      <c r="G3478" s="42"/>
      <c r="H3478" s="42"/>
      <c r="I3478" s="42"/>
      <c r="J3478" s="42"/>
      <c r="K3478" s="42"/>
      <c r="L3478" s="42"/>
      <c r="M3478" s="42"/>
    </row>
    <row r="3479" spans="1:13" x14ac:dyDescent="0.2">
      <c r="A3479" s="42"/>
      <c r="B3479" s="42"/>
      <c r="C3479" s="42"/>
      <c r="D3479" s="42"/>
      <c r="E3479" s="42"/>
      <c r="F3479" s="42"/>
      <c r="G3479" s="42"/>
      <c r="H3479" s="42"/>
      <c r="I3479" s="42"/>
      <c r="J3479" s="42"/>
      <c r="K3479" s="42"/>
      <c r="L3479" s="42"/>
      <c r="M3479" s="42"/>
    </row>
    <row r="3480" spans="1:13" x14ac:dyDescent="0.2">
      <c r="A3480" s="42"/>
      <c r="B3480" s="42"/>
      <c r="C3480" s="42"/>
      <c r="D3480" s="42"/>
      <c r="E3480" s="42"/>
      <c r="F3480" s="42"/>
      <c r="G3480" s="42"/>
      <c r="H3480" s="42"/>
      <c r="I3480" s="42"/>
      <c r="J3480" s="42"/>
      <c r="K3480" s="42"/>
      <c r="L3480" s="42"/>
      <c r="M3480" s="42"/>
    </row>
    <row r="3481" spans="1:13" x14ac:dyDescent="0.2">
      <c r="A3481" s="42"/>
      <c r="B3481" s="42"/>
      <c r="C3481" s="42"/>
      <c r="D3481" s="42"/>
      <c r="E3481" s="42"/>
      <c r="F3481" s="42"/>
      <c r="G3481" s="42"/>
      <c r="H3481" s="42"/>
      <c r="I3481" s="42"/>
      <c r="J3481" s="42"/>
      <c r="K3481" s="42"/>
      <c r="L3481" s="42"/>
      <c r="M3481" s="42"/>
    </row>
    <row r="3482" spans="1:13" x14ac:dyDescent="0.2">
      <c r="A3482" s="42"/>
      <c r="B3482" s="42"/>
      <c r="C3482" s="42"/>
      <c r="D3482" s="42"/>
      <c r="E3482" s="42"/>
      <c r="F3482" s="42"/>
      <c r="G3482" s="42"/>
      <c r="H3482" s="42"/>
      <c r="I3482" s="42"/>
      <c r="J3482" s="42"/>
      <c r="K3482" s="42"/>
      <c r="L3482" s="42"/>
      <c r="M3482" s="42"/>
    </row>
    <row r="3483" spans="1:13" x14ac:dyDescent="0.2">
      <c r="A3483" s="42"/>
      <c r="B3483" s="42"/>
      <c r="C3483" s="42"/>
      <c r="D3483" s="42"/>
      <c r="E3483" s="42"/>
      <c r="F3483" s="42"/>
      <c r="G3483" s="42"/>
      <c r="H3483" s="42"/>
      <c r="I3483" s="42"/>
      <c r="J3483" s="42"/>
      <c r="K3483" s="42"/>
      <c r="L3483" s="42"/>
      <c r="M3483" s="42"/>
    </row>
    <row r="3484" spans="1:13" x14ac:dyDescent="0.2">
      <c r="A3484" s="42"/>
      <c r="B3484" s="42"/>
      <c r="C3484" s="42"/>
      <c r="D3484" s="42"/>
      <c r="E3484" s="42"/>
      <c r="F3484" s="42"/>
      <c r="G3484" s="42"/>
      <c r="H3484" s="42"/>
      <c r="I3484" s="42"/>
      <c r="J3484" s="42"/>
      <c r="K3484" s="42"/>
      <c r="L3484" s="42"/>
      <c r="M3484" s="42"/>
    </row>
    <row r="3485" spans="1:13" x14ac:dyDescent="0.2">
      <c r="A3485" s="42"/>
      <c r="B3485" s="42"/>
      <c r="C3485" s="42"/>
      <c r="D3485" s="42"/>
      <c r="E3485" s="42"/>
      <c r="F3485" s="42"/>
      <c r="G3485" s="42"/>
      <c r="H3485" s="42"/>
      <c r="I3485" s="42"/>
      <c r="J3485" s="42"/>
      <c r="K3485" s="42"/>
      <c r="L3485" s="42"/>
      <c r="M3485" s="42"/>
    </row>
    <row r="3486" spans="1:13" x14ac:dyDescent="0.2">
      <c r="A3486" s="42"/>
      <c r="B3486" s="42"/>
      <c r="C3486" s="42"/>
      <c r="D3486" s="42"/>
      <c r="E3486" s="42"/>
      <c r="F3486" s="42"/>
      <c r="G3486" s="42"/>
      <c r="H3486" s="42"/>
      <c r="I3486" s="42"/>
      <c r="J3486" s="42"/>
      <c r="K3486" s="42"/>
      <c r="L3486" s="42"/>
      <c r="M3486" s="42"/>
    </row>
    <row r="3487" spans="1:13" x14ac:dyDescent="0.2">
      <c r="A3487" s="42"/>
      <c r="B3487" s="42"/>
      <c r="C3487" s="42"/>
      <c r="D3487" s="42"/>
      <c r="E3487" s="42"/>
      <c r="F3487" s="42"/>
      <c r="G3487" s="42"/>
      <c r="H3487" s="42"/>
      <c r="I3487" s="42"/>
      <c r="J3487" s="42"/>
      <c r="K3487" s="42"/>
      <c r="L3487" s="42"/>
      <c r="M3487" s="42"/>
    </row>
    <row r="3488" spans="1:13" x14ac:dyDescent="0.2">
      <c r="A3488" s="42"/>
      <c r="B3488" s="42"/>
      <c r="C3488" s="42"/>
      <c r="D3488" s="42"/>
      <c r="E3488" s="42"/>
      <c r="F3488" s="42"/>
      <c r="G3488" s="42"/>
      <c r="H3488" s="42"/>
      <c r="I3488" s="42"/>
      <c r="J3488" s="42"/>
      <c r="K3488" s="42"/>
      <c r="L3488" s="42"/>
      <c r="M3488" s="42"/>
    </row>
    <row r="3489" spans="1:13" x14ac:dyDescent="0.2">
      <c r="A3489" s="42"/>
      <c r="B3489" s="42"/>
      <c r="C3489" s="42"/>
      <c r="D3489" s="42"/>
      <c r="E3489" s="42"/>
      <c r="F3489" s="42"/>
      <c r="G3489" s="42"/>
      <c r="H3489" s="42"/>
      <c r="I3489" s="42"/>
      <c r="J3489" s="42"/>
      <c r="K3489" s="42"/>
      <c r="L3489" s="42"/>
      <c r="M3489" s="42"/>
    </row>
    <row r="3490" spans="1:13" x14ac:dyDescent="0.2">
      <c r="A3490" s="42"/>
      <c r="B3490" s="42"/>
      <c r="C3490" s="42"/>
      <c r="D3490" s="42"/>
      <c r="E3490" s="42"/>
      <c r="F3490" s="42"/>
      <c r="G3490" s="42"/>
      <c r="H3490" s="42"/>
      <c r="I3490" s="42"/>
      <c r="J3490" s="42"/>
      <c r="K3490" s="42"/>
      <c r="L3490" s="42"/>
      <c r="M3490" s="42"/>
    </row>
    <row r="3491" spans="1:13" x14ac:dyDescent="0.2">
      <c r="A3491" s="42"/>
      <c r="B3491" s="42"/>
      <c r="C3491" s="42"/>
      <c r="D3491" s="42"/>
      <c r="E3491" s="42"/>
      <c r="F3491" s="42"/>
      <c r="G3491" s="42"/>
      <c r="H3491" s="42"/>
      <c r="I3491" s="42"/>
      <c r="J3491" s="42"/>
      <c r="K3491" s="42"/>
      <c r="L3491" s="42"/>
      <c r="M3491" s="42"/>
    </row>
    <row r="3492" spans="1:13" x14ac:dyDescent="0.2">
      <c r="A3492" s="42"/>
      <c r="B3492" s="42"/>
      <c r="C3492" s="42"/>
      <c r="D3492" s="42"/>
      <c r="E3492" s="42"/>
      <c r="F3492" s="42"/>
      <c r="G3492" s="42"/>
      <c r="H3492" s="42"/>
      <c r="I3492" s="42"/>
      <c r="J3492" s="42"/>
      <c r="K3492" s="42"/>
      <c r="L3492" s="42"/>
      <c r="M3492" s="42"/>
    </row>
    <row r="3493" spans="1:13" x14ac:dyDescent="0.2">
      <c r="A3493" s="42"/>
      <c r="B3493" s="42"/>
      <c r="C3493" s="42"/>
      <c r="D3493" s="42"/>
      <c r="E3493" s="42"/>
      <c r="F3493" s="42"/>
      <c r="G3493" s="42"/>
      <c r="H3493" s="42"/>
      <c r="I3493" s="42"/>
      <c r="J3493" s="42"/>
      <c r="K3493" s="42"/>
      <c r="L3493" s="42"/>
      <c r="M3493" s="42"/>
    </row>
    <row r="3494" spans="1:13" x14ac:dyDescent="0.2">
      <c r="A3494" s="42"/>
      <c r="B3494" s="42"/>
      <c r="C3494" s="42"/>
      <c r="D3494" s="42"/>
      <c r="E3494" s="42"/>
      <c r="F3494" s="42"/>
      <c r="G3494" s="42"/>
      <c r="H3494" s="42"/>
      <c r="I3494" s="42"/>
      <c r="J3494" s="42"/>
      <c r="K3494" s="42"/>
      <c r="L3494" s="42"/>
      <c r="M3494" s="42"/>
    </row>
    <row r="3495" spans="1:13" x14ac:dyDescent="0.2">
      <c r="A3495" s="42"/>
      <c r="B3495" s="42"/>
      <c r="C3495" s="42"/>
      <c r="D3495" s="42"/>
      <c r="E3495" s="42"/>
      <c r="F3495" s="42"/>
      <c r="G3495" s="42"/>
      <c r="H3495" s="42"/>
      <c r="I3495" s="42"/>
      <c r="J3495" s="42"/>
      <c r="K3495" s="42"/>
      <c r="L3495" s="42"/>
      <c r="M3495" s="42"/>
    </row>
    <row r="3496" spans="1:13" x14ac:dyDescent="0.2">
      <c r="A3496" s="42"/>
      <c r="B3496" s="42"/>
      <c r="C3496" s="42"/>
      <c r="D3496" s="42"/>
      <c r="E3496" s="42"/>
      <c r="F3496" s="42"/>
      <c r="G3496" s="42"/>
      <c r="H3496" s="42"/>
      <c r="I3496" s="42"/>
      <c r="J3496" s="42"/>
      <c r="K3496" s="42"/>
      <c r="L3496" s="42"/>
      <c r="M3496" s="42"/>
    </row>
    <row r="3497" spans="1:13" x14ac:dyDescent="0.2">
      <c r="A3497" s="42"/>
      <c r="B3497" s="42"/>
      <c r="C3497" s="42"/>
      <c r="D3497" s="42"/>
      <c r="E3497" s="42"/>
      <c r="F3497" s="42"/>
      <c r="G3497" s="42"/>
      <c r="H3497" s="42"/>
      <c r="I3497" s="42"/>
      <c r="J3497" s="42"/>
      <c r="K3497" s="42"/>
      <c r="L3497" s="42"/>
      <c r="M3497" s="42"/>
    </row>
    <row r="3498" spans="1:13" x14ac:dyDescent="0.2">
      <c r="A3498" s="42"/>
      <c r="B3498" s="42"/>
      <c r="C3498" s="42"/>
      <c r="D3498" s="42"/>
      <c r="E3498" s="42"/>
      <c r="F3498" s="42"/>
      <c r="G3498" s="42"/>
      <c r="H3498" s="42"/>
      <c r="I3498" s="42"/>
      <c r="J3498" s="42"/>
      <c r="K3498" s="42"/>
      <c r="L3498" s="42"/>
      <c r="M3498" s="42"/>
    </row>
    <row r="3499" spans="1:13" x14ac:dyDescent="0.2">
      <c r="A3499" s="42"/>
      <c r="B3499" s="42"/>
      <c r="C3499" s="42"/>
      <c r="D3499" s="42"/>
      <c r="E3499" s="42"/>
      <c r="F3499" s="42"/>
      <c r="G3499" s="42"/>
      <c r="H3499" s="42"/>
      <c r="I3499" s="42"/>
      <c r="J3499" s="42"/>
      <c r="K3499" s="42"/>
      <c r="L3499" s="42"/>
      <c r="M3499" s="42"/>
    </row>
    <row r="3500" spans="1:13" x14ac:dyDescent="0.2">
      <c r="A3500" s="42"/>
      <c r="B3500" s="42"/>
      <c r="C3500" s="42"/>
      <c r="D3500" s="42"/>
      <c r="E3500" s="42"/>
      <c r="F3500" s="42"/>
      <c r="G3500" s="42"/>
      <c r="H3500" s="42"/>
      <c r="I3500" s="42"/>
      <c r="J3500" s="42"/>
      <c r="K3500" s="42"/>
      <c r="L3500" s="42"/>
      <c r="M3500" s="42"/>
    </row>
    <row r="3501" spans="1:13" x14ac:dyDescent="0.2">
      <c r="A3501" s="42"/>
      <c r="B3501" s="42"/>
      <c r="C3501" s="42"/>
      <c r="D3501" s="42"/>
      <c r="E3501" s="42"/>
      <c r="F3501" s="42"/>
      <c r="G3501" s="42"/>
      <c r="H3501" s="42"/>
      <c r="I3501" s="42"/>
      <c r="J3501" s="42"/>
      <c r="K3501" s="42"/>
      <c r="L3501" s="42"/>
      <c r="M3501" s="42"/>
    </row>
    <row r="3502" spans="1:13" x14ac:dyDescent="0.2">
      <c r="A3502" s="42"/>
      <c r="B3502" s="42"/>
      <c r="C3502" s="42"/>
      <c r="D3502" s="42"/>
      <c r="E3502" s="42"/>
      <c r="F3502" s="42"/>
      <c r="G3502" s="42"/>
      <c r="H3502" s="42"/>
      <c r="I3502" s="42"/>
      <c r="J3502" s="42"/>
      <c r="K3502" s="42"/>
      <c r="L3502" s="42"/>
      <c r="M3502" s="42"/>
    </row>
    <row r="3503" spans="1:13" x14ac:dyDescent="0.2">
      <c r="A3503" s="42"/>
      <c r="B3503" s="42"/>
      <c r="C3503" s="42"/>
      <c r="D3503" s="42"/>
      <c r="E3503" s="42"/>
      <c r="F3503" s="42"/>
      <c r="G3503" s="42"/>
      <c r="H3503" s="42"/>
      <c r="I3503" s="42"/>
      <c r="J3503" s="42"/>
      <c r="K3503" s="42"/>
      <c r="L3503" s="42"/>
      <c r="M3503" s="42"/>
    </row>
    <row r="3504" spans="1:13" x14ac:dyDescent="0.2">
      <c r="A3504" s="42"/>
      <c r="B3504" s="42"/>
      <c r="C3504" s="42"/>
      <c r="D3504" s="42"/>
      <c r="E3504" s="42"/>
      <c r="F3504" s="42"/>
      <c r="G3504" s="42"/>
      <c r="H3504" s="42"/>
      <c r="I3504" s="42"/>
      <c r="J3504" s="42"/>
      <c r="K3504" s="42"/>
      <c r="L3504" s="42"/>
      <c r="M3504" s="42"/>
    </row>
    <row r="3505" spans="1:13" x14ac:dyDescent="0.2">
      <c r="A3505" s="42"/>
      <c r="B3505" s="42"/>
      <c r="C3505" s="42"/>
      <c r="D3505" s="42"/>
      <c r="E3505" s="42"/>
      <c r="F3505" s="42"/>
      <c r="G3505" s="42"/>
      <c r="H3505" s="42"/>
      <c r="I3505" s="42"/>
      <c r="J3505" s="42"/>
      <c r="K3505" s="42"/>
      <c r="L3505" s="42"/>
      <c r="M3505" s="42"/>
    </row>
    <row r="3506" spans="1:13" x14ac:dyDescent="0.2">
      <c r="A3506" s="42"/>
      <c r="B3506" s="42"/>
      <c r="C3506" s="42"/>
      <c r="D3506" s="42"/>
      <c r="E3506" s="42"/>
      <c r="F3506" s="42"/>
      <c r="G3506" s="42"/>
      <c r="H3506" s="42"/>
      <c r="I3506" s="42"/>
      <c r="J3506" s="42"/>
      <c r="K3506" s="42"/>
      <c r="L3506" s="42"/>
      <c r="M3506" s="42"/>
    </row>
    <row r="3507" spans="1:13" x14ac:dyDescent="0.2">
      <c r="A3507" s="42"/>
      <c r="B3507" s="42"/>
      <c r="C3507" s="42"/>
      <c r="D3507" s="42"/>
      <c r="E3507" s="42"/>
      <c r="F3507" s="42"/>
      <c r="G3507" s="42"/>
      <c r="H3507" s="42"/>
      <c r="I3507" s="42"/>
      <c r="J3507" s="42"/>
      <c r="K3507" s="42"/>
      <c r="L3507" s="42"/>
      <c r="M3507" s="42"/>
    </row>
    <row r="3508" spans="1:13" x14ac:dyDescent="0.2">
      <c r="A3508" s="42"/>
      <c r="B3508" s="42"/>
      <c r="C3508" s="42"/>
      <c r="D3508" s="42"/>
      <c r="E3508" s="42"/>
      <c r="F3508" s="42"/>
      <c r="G3508" s="42"/>
      <c r="H3508" s="42"/>
      <c r="I3508" s="42"/>
      <c r="J3508" s="42"/>
      <c r="K3508" s="42"/>
      <c r="L3508" s="42"/>
      <c r="M3508" s="42"/>
    </row>
    <row r="3509" spans="1:13" x14ac:dyDescent="0.2">
      <c r="A3509" s="42"/>
      <c r="B3509" s="42"/>
      <c r="C3509" s="42"/>
      <c r="D3509" s="42"/>
      <c r="E3509" s="42"/>
      <c r="F3509" s="42"/>
      <c r="G3509" s="42"/>
      <c r="H3509" s="42"/>
      <c r="I3509" s="42"/>
      <c r="J3509" s="42"/>
      <c r="K3509" s="42"/>
      <c r="L3509" s="42"/>
      <c r="M3509" s="42"/>
    </row>
    <row r="3510" spans="1:13" x14ac:dyDescent="0.2">
      <c r="A3510" s="42"/>
      <c r="B3510" s="42"/>
      <c r="C3510" s="42"/>
      <c r="D3510" s="42"/>
      <c r="E3510" s="42"/>
      <c r="F3510" s="42"/>
      <c r="G3510" s="42"/>
      <c r="H3510" s="42"/>
      <c r="I3510" s="42"/>
      <c r="J3510" s="42"/>
      <c r="K3510" s="42"/>
      <c r="L3510" s="42"/>
      <c r="M3510" s="42"/>
    </row>
    <row r="3511" spans="1:13" x14ac:dyDescent="0.2">
      <c r="A3511" s="42"/>
      <c r="B3511" s="42"/>
      <c r="C3511" s="42"/>
      <c r="D3511" s="42"/>
      <c r="E3511" s="42"/>
      <c r="F3511" s="42"/>
      <c r="G3511" s="42"/>
      <c r="H3511" s="42"/>
      <c r="I3511" s="42"/>
      <c r="J3511" s="42"/>
      <c r="K3511" s="42"/>
      <c r="L3511" s="42"/>
      <c r="M3511" s="42"/>
    </row>
    <row r="3512" spans="1:13" x14ac:dyDescent="0.2">
      <c r="A3512" s="42"/>
      <c r="B3512" s="42"/>
      <c r="C3512" s="42"/>
      <c r="D3512" s="42"/>
      <c r="E3512" s="42"/>
      <c r="F3512" s="42"/>
      <c r="G3512" s="42"/>
      <c r="H3512" s="42"/>
      <c r="I3512" s="42"/>
      <c r="J3512" s="42"/>
      <c r="K3512" s="42"/>
      <c r="L3512" s="42"/>
      <c r="M3512" s="42"/>
    </row>
    <row r="3513" spans="1:13" x14ac:dyDescent="0.2">
      <c r="A3513" s="42"/>
      <c r="B3513" s="42"/>
      <c r="C3513" s="42"/>
      <c r="D3513" s="42"/>
      <c r="E3513" s="42"/>
      <c r="F3513" s="42"/>
      <c r="G3513" s="42"/>
      <c r="H3513" s="42"/>
      <c r="I3513" s="42"/>
      <c r="J3513" s="42"/>
      <c r="K3513" s="42"/>
      <c r="L3513" s="42"/>
      <c r="M3513" s="42"/>
    </row>
    <row r="3514" spans="1:13" x14ac:dyDescent="0.2">
      <c r="A3514" s="42"/>
      <c r="B3514" s="42"/>
      <c r="C3514" s="42"/>
      <c r="D3514" s="42"/>
      <c r="E3514" s="42"/>
      <c r="F3514" s="42"/>
      <c r="G3514" s="42"/>
      <c r="H3514" s="42"/>
      <c r="I3514" s="42"/>
      <c r="J3514" s="42"/>
      <c r="K3514" s="42"/>
      <c r="L3514" s="42"/>
      <c r="M3514" s="42"/>
    </row>
    <row r="3515" spans="1:13" x14ac:dyDescent="0.2">
      <c r="A3515" s="42"/>
      <c r="B3515" s="42"/>
      <c r="C3515" s="42"/>
      <c r="D3515" s="42"/>
      <c r="E3515" s="42"/>
      <c r="F3515" s="42"/>
      <c r="G3515" s="42"/>
      <c r="H3515" s="42"/>
      <c r="I3515" s="42"/>
      <c r="J3515" s="42"/>
      <c r="K3515" s="42"/>
      <c r="L3515" s="42"/>
      <c r="M3515" s="42"/>
    </row>
    <row r="3516" spans="1:13" x14ac:dyDescent="0.2">
      <c r="A3516" s="42"/>
      <c r="B3516" s="42"/>
      <c r="C3516" s="42"/>
      <c r="D3516" s="42"/>
      <c r="E3516" s="42"/>
      <c r="F3516" s="42"/>
      <c r="G3516" s="42"/>
      <c r="H3516" s="42"/>
      <c r="I3516" s="42"/>
      <c r="J3516" s="42"/>
      <c r="K3516" s="42"/>
      <c r="L3516" s="42"/>
      <c r="M3516" s="42"/>
    </row>
    <row r="3517" spans="1:13" x14ac:dyDescent="0.2">
      <c r="A3517" s="42"/>
      <c r="B3517" s="42"/>
      <c r="C3517" s="42"/>
      <c r="D3517" s="42"/>
      <c r="E3517" s="42"/>
      <c r="F3517" s="42"/>
      <c r="G3517" s="42"/>
      <c r="H3517" s="42"/>
      <c r="I3517" s="42"/>
      <c r="J3517" s="42"/>
      <c r="K3517" s="42"/>
      <c r="L3517" s="42"/>
      <c r="M3517" s="42"/>
    </row>
    <row r="3518" spans="1:13" x14ac:dyDescent="0.2">
      <c r="A3518" s="42"/>
      <c r="B3518" s="42"/>
      <c r="C3518" s="42"/>
      <c r="D3518" s="42"/>
      <c r="E3518" s="42"/>
      <c r="F3518" s="42"/>
      <c r="G3518" s="42"/>
      <c r="H3518" s="42"/>
      <c r="I3518" s="42"/>
      <c r="J3518" s="42"/>
      <c r="K3518" s="42"/>
      <c r="L3518" s="42"/>
      <c r="M3518" s="42"/>
    </row>
    <row r="3519" spans="1:13" x14ac:dyDescent="0.2">
      <c r="A3519" s="42"/>
      <c r="B3519" s="42"/>
      <c r="C3519" s="42"/>
      <c r="D3519" s="42"/>
      <c r="E3519" s="42"/>
      <c r="F3519" s="42"/>
      <c r="G3519" s="42"/>
      <c r="H3519" s="42"/>
      <c r="I3519" s="42"/>
      <c r="J3519" s="42"/>
      <c r="K3519" s="42"/>
      <c r="L3519" s="42"/>
      <c r="M3519" s="42"/>
    </row>
    <row r="3520" spans="1:13" x14ac:dyDescent="0.2">
      <c r="A3520" s="42"/>
      <c r="B3520" s="42"/>
      <c r="C3520" s="42"/>
      <c r="D3520" s="42"/>
      <c r="E3520" s="42"/>
      <c r="F3520" s="42"/>
      <c r="G3520" s="42"/>
      <c r="H3520" s="42"/>
      <c r="I3520" s="42"/>
      <c r="J3520" s="42"/>
      <c r="K3520" s="42"/>
      <c r="L3520" s="42"/>
      <c r="M3520" s="42"/>
    </row>
    <row r="3521" spans="1:13" x14ac:dyDescent="0.2">
      <c r="A3521" s="42"/>
      <c r="B3521" s="42"/>
      <c r="C3521" s="42"/>
      <c r="D3521" s="42"/>
      <c r="E3521" s="42"/>
      <c r="F3521" s="42"/>
      <c r="G3521" s="42"/>
      <c r="H3521" s="42"/>
      <c r="I3521" s="42"/>
      <c r="J3521" s="42"/>
      <c r="K3521" s="42"/>
      <c r="L3521" s="42"/>
      <c r="M3521" s="42"/>
    </row>
    <row r="3522" spans="1:13" x14ac:dyDescent="0.2">
      <c r="A3522" s="42"/>
      <c r="B3522" s="42"/>
      <c r="C3522" s="42"/>
      <c r="D3522" s="42"/>
      <c r="E3522" s="42"/>
      <c r="F3522" s="42"/>
      <c r="G3522" s="42"/>
      <c r="H3522" s="42"/>
      <c r="I3522" s="42"/>
      <c r="J3522" s="42"/>
      <c r="K3522" s="42"/>
      <c r="L3522" s="42"/>
      <c r="M3522" s="42"/>
    </row>
    <row r="3523" spans="1:13" x14ac:dyDescent="0.2">
      <c r="A3523" s="42"/>
      <c r="B3523" s="42"/>
      <c r="C3523" s="42"/>
      <c r="D3523" s="42"/>
      <c r="E3523" s="42"/>
      <c r="F3523" s="42"/>
      <c r="G3523" s="42"/>
      <c r="H3523" s="42"/>
      <c r="I3523" s="42"/>
      <c r="J3523" s="42"/>
      <c r="K3523" s="42"/>
      <c r="L3523" s="42"/>
      <c r="M3523" s="42"/>
    </row>
    <row r="3524" spans="1:13" x14ac:dyDescent="0.2">
      <c r="A3524" s="42"/>
      <c r="B3524" s="42"/>
      <c r="C3524" s="42"/>
      <c r="D3524" s="42"/>
      <c r="E3524" s="42"/>
      <c r="F3524" s="42"/>
      <c r="G3524" s="42"/>
      <c r="H3524" s="42"/>
      <c r="I3524" s="42"/>
      <c r="J3524" s="42"/>
      <c r="K3524" s="42"/>
      <c r="L3524" s="42"/>
      <c r="M3524" s="42"/>
    </row>
    <row r="3525" spans="1:13" x14ac:dyDescent="0.2">
      <c r="A3525" s="42"/>
      <c r="B3525" s="42"/>
      <c r="C3525" s="42"/>
      <c r="D3525" s="42"/>
      <c r="E3525" s="42"/>
      <c r="F3525" s="42"/>
      <c r="G3525" s="42"/>
      <c r="H3525" s="42"/>
      <c r="I3525" s="42"/>
      <c r="J3525" s="42"/>
      <c r="K3525" s="42"/>
      <c r="L3525" s="42"/>
      <c r="M3525" s="42"/>
    </row>
    <row r="3526" spans="1:13" x14ac:dyDescent="0.2">
      <c r="A3526" s="42"/>
      <c r="B3526" s="42"/>
      <c r="C3526" s="42"/>
      <c r="D3526" s="42"/>
      <c r="E3526" s="42"/>
      <c r="F3526" s="42"/>
      <c r="G3526" s="42"/>
      <c r="H3526" s="42"/>
      <c r="I3526" s="42"/>
      <c r="J3526" s="42"/>
      <c r="K3526" s="42"/>
      <c r="L3526" s="42"/>
      <c r="M3526" s="42"/>
    </row>
    <row r="3527" spans="1:13" x14ac:dyDescent="0.2">
      <c r="A3527" s="42"/>
      <c r="B3527" s="42"/>
      <c r="C3527" s="42"/>
      <c r="D3527" s="42"/>
      <c r="E3527" s="42"/>
      <c r="F3527" s="42"/>
      <c r="G3527" s="42"/>
      <c r="H3527" s="42"/>
      <c r="I3527" s="42"/>
      <c r="J3527" s="42"/>
      <c r="K3527" s="42"/>
      <c r="L3527" s="42"/>
      <c r="M3527" s="42"/>
    </row>
    <row r="3528" spans="1:13" x14ac:dyDescent="0.2">
      <c r="A3528" s="42"/>
      <c r="B3528" s="42"/>
      <c r="C3528" s="42"/>
      <c r="D3528" s="42"/>
      <c r="E3528" s="42"/>
      <c r="F3528" s="42"/>
      <c r="G3528" s="42"/>
      <c r="H3528" s="42"/>
      <c r="I3528" s="42"/>
      <c r="J3528" s="42"/>
      <c r="K3528" s="42"/>
      <c r="L3528" s="42"/>
      <c r="M3528" s="42"/>
    </row>
    <row r="3529" spans="1:13" x14ac:dyDescent="0.2">
      <c r="A3529" s="42"/>
      <c r="B3529" s="42"/>
      <c r="C3529" s="42"/>
      <c r="D3529" s="42"/>
      <c r="E3529" s="42"/>
      <c r="F3529" s="42"/>
      <c r="G3529" s="42"/>
      <c r="H3529" s="42"/>
      <c r="I3529" s="42"/>
      <c r="J3529" s="42"/>
      <c r="K3529" s="42"/>
      <c r="L3529" s="42"/>
      <c r="M3529" s="42"/>
    </row>
    <row r="3530" spans="1:13" x14ac:dyDescent="0.2">
      <c r="A3530" s="42"/>
      <c r="B3530" s="42"/>
      <c r="C3530" s="42"/>
      <c r="D3530" s="42"/>
      <c r="E3530" s="42"/>
      <c r="F3530" s="42"/>
      <c r="G3530" s="42"/>
      <c r="H3530" s="42"/>
      <c r="I3530" s="42"/>
      <c r="J3530" s="42"/>
      <c r="K3530" s="42"/>
      <c r="L3530" s="42"/>
      <c r="M3530" s="42"/>
    </row>
    <row r="3531" spans="1:13" x14ac:dyDescent="0.2">
      <c r="A3531" s="42"/>
      <c r="B3531" s="42"/>
      <c r="C3531" s="42"/>
      <c r="D3531" s="42"/>
      <c r="E3531" s="42"/>
      <c r="F3531" s="42"/>
      <c r="G3531" s="42"/>
      <c r="H3531" s="42"/>
      <c r="I3531" s="42"/>
      <c r="J3531" s="42"/>
      <c r="K3531" s="42"/>
      <c r="L3531" s="42"/>
      <c r="M3531" s="42"/>
    </row>
    <row r="3532" spans="1:13" x14ac:dyDescent="0.2">
      <c r="A3532" s="42"/>
      <c r="B3532" s="42"/>
      <c r="C3532" s="42"/>
      <c r="D3532" s="42"/>
      <c r="E3532" s="42"/>
      <c r="F3532" s="42"/>
      <c r="G3532" s="42"/>
      <c r="H3532" s="42"/>
      <c r="I3532" s="42"/>
      <c r="J3532" s="42"/>
      <c r="K3532" s="42"/>
      <c r="L3532" s="42"/>
      <c r="M3532" s="42"/>
    </row>
    <row r="3533" spans="1:13" x14ac:dyDescent="0.2">
      <c r="A3533" s="42"/>
      <c r="B3533" s="42"/>
      <c r="C3533" s="42"/>
      <c r="D3533" s="42"/>
      <c r="E3533" s="42"/>
      <c r="F3533" s="42"/>
      <c r="G3533" s="42"/>
      <c r="H3533" s="42"/>
      <c r="I3533" s="42"/>
      <c r="J3533" s="42"/>
      <c r="K3533" s="42"/>
      <c r="L3533" s="42"/>
      <c r="M3533" s="42"/>
    </row>
    <row r="3534" spans="1:13" x14ac:dyDescent="0.2">
      <c r="A3534" s="42"/>
      <c r="B3534" s="42"/>
      <c r="C3534" s="42"/>
      <c r="D3534" s="42"/>
      <c r="E3534" s="42"/>
      <c r="F3534" s="42"/>
      <c r="G3534" s="42"/>
      <c r="H3534" s="42"/>
      <c r="I3534" s="42"/>
      <c r="J3534" s="42"/>
      <c r="K3534" s="42"/>
      <c r="L3534" s="42"/>
      <c r="M3534" s="42"/>
    </row>
    <row r="3535" spans="1:13" x14ac:dyDescent="0.2">
      <c r="A3535" s="42"/>
      <c r="B3535" s="42"/>
      <c r="C3535" s="42"/>
      <c r="D3535" s="42"/>
      <c r="E3535" s="42"/>
      <c r="F3535" s="42"/>
      <c r="G3535" s="42"/>
      <c r="H3535" s="42"/>
      <c r="I3535" s="42"/>
      <c r="J3535" s="42"/>
      <c r="K3535" s="42"/>
      <c r="L3535" s="42"/>
      <c r="M3535" s="42"/>
    </row>
    <row r="3536" spans="1:13" x14ac:dyDescent="0.2">
      <c r="A3536" s="42"/>
      <c r="B3536" s="42"/>
      <c r="C3536" s="42"/>
      <c r="D3536" s="42"/>
      <c r="E3536" s="42"/>
      <c r="F3536" s="42"/>
      <c r="G3536" s="42"/>
      <c r="H3536" s="42"/>
      <c r="I3536" s="42"/>
      <c r="J3536" s="42"/>
      <c r="K3536" s="42"/>
      <c r="L3536" s="42"/>
      <c r="M3536" s="42"/>
    </row>
    <row r="3537" spans="1:13" x14ac:dyDescent="0.2">
      <c r="A3537" s="42"/>
      <c r="B3537" s="42"/>
      <c r="C3537" s="42"/>
      <c r="D3537" s="42"/>
      <c r="E3537" s="42"/>
      <c r="F3537" s="42"/>
      <c r="G3537" s="42"/>
      <c r="H3537" s="42"/>
      <c r="I3537" s="42"/>
      <c r="J3537" s="42"/>
      <c r="K3537" s="42"/>
      <c r="L3537" s="42"/>
      <c r="M3537" s="42"/>
    </row>
    <row r="3538" spans="1:13" x14ac:dyDescent="0.2">
      <c r="A3538" s="42"/>
      <c r="B3538" s="42"/>
      <c r="C3538" s="42"/>
      <c r="D3538" s="42"/>
      <c r="E3538" s="42"/>
      <c r="F3538" s="42"/>
      <c r="G3538" s="42"/>
      <c r="H3538" s="42"/>
      <c r="I3538" s="42"/>
      <c r="J3538" s="42"/>
      <c r="K3538" s="42"/>
      <c r="L3538" s="42"/>
      <c r="M3538" s="42"/>
    </row>
    <row r="3539" spans="1:13" x14ac:dyDescent="0.2">
      <c r="A3539" s="42"/>
      <c r="B3539" s="42"/>
      <c r="C3539" s="42"/>
      <c r="D3539" s="42"/>
      <c r="E3539" s="42"/>
      <c r="F3539" s="42"/>
      <c r="G3539" s="42"/>
      <c r="H3539" s="42"/>
      <c r="I3539" s="42"/>
      <c r="J3539" s="42"/>
      <c r="K3539" s="42"/>
      <c r="L3539" s="42"/>
      <c r="M3539" s="42"/>
    </row>
    <row r="3540" spans="1:13" x14ac:dyDescent="0.2">
      <c r="A3540" s="42"/>
      <c r="B3540" s="42"/>
      <c r="C3540" s="42"/>
      <c r="D3540" s="42"/>
      <c r="E3540" s="42"/>
      <c r="F3540" s="42"/>
      <c r="G3540" s="42"/>
      <c r="H3540" s="42"/>
      <c r="I3540" s="42"/>
      <c r="J3540" s="42"/>
      <c r="K3540" s="42"/>
      <c r="L3540" s="42"/>
      <c r="M3540" s="42"/>
    </row>
    <row r="3541" spans="1:13" x14ac:dyDescent="0.2">
      <c r="A3541" s="42"/>
      <c r="B3541" s="42"/>
      <c r="C3541" s="42"/>
      <c r="D3541" s="42"/>
      <c r="E3541" s="42"/>
      <c r="F3541" s="42"/>
      <c r="G3541" s="42"/>
      <c r="H3541" s="42"/>
      <c r="I3541" s="42"/>
      <c r="J3541" s="42"/>
      <c r="K3541" s="42"/>
      <c r="L3541" s="42"/>
      <c r="M3541" s="42"/>
    </row>
    <row r="3542" spans="1:13" x14ac:dyDescent="0.2">
      <c r="A3542" s="42"/>
      <c r="B3542" s="42"/>
      <c r="C3542" s="42"/>
      <c r="D3542" s="42"/>
      <c r="E3542" s="42"/>
      <c r="F3542" s="42"/>
      <c r="G3542" s="42"/>
      <c r="H3542" s="42"/>
      <c r="I3542" s="42"/>
      <c r="J3542" s="42"/>
      <c r="K3542" s="42"/>
      <c r="L3542" s="42"/>
      <c r="M3542" s="42"/>
    </row>
    <row r="3543" spans="1:13" x14ac:dyDescent="0.2">
      <c r="A3543" s="42"/>
      <c r="B3543" s="42"/>
      <c r="C3543" s="42"/>
      <c r="D3543" s="42"/>
      <c r="E3543" s="42"/>
      <c r="F3543" s="42"/>
      <c r="G3543" s="42"/>
      <c r="H3543" s="42"/>
      <c r="I3543" s="42"/>
      <c r="J3543" s="42"/>
      <c r="K3543" s="42"/>
      <c r="L3543" s="42"/>
      <c r="M3543" s="42"/>
    </row>
    <row r="3544" spans="1:13" x14ac:dyDescent="0.2">
      <c r="A3544" s="42"/>
      <c r="B3544" s="42"/>
      <c r="C3544" s="42"/>
      <c r="D3544" s="42"/>
      <c r="E3544" s="42"/>
      <c r="F3544" s="42"/>
      <c r="G3544" s="42"/>
      <c r="H3544" s="42"/>
      <c r="I3544" s="42"/>
      <c r="J3544" s="42"/>
      <c r="K3544" s="42"/>
      <c r="L3544" s="42"/>
      <c r="M3544" s="42"/>
    </row>
    <row r="3545" spans="1:13" x14ac:dyDescent="0.2">
      <c r="A3545" s="42"/>
      <c r="B3545" s="42"/>
      <c r="C3545" s="42"/>
      <c r="D3545" s="42"/>
      <c r="E3545" s="42"/>
      <c r="F3545" s="42"/>
      <c r="G3545" s="42"/>
      <c r="H3545" s="42"/>
      <c r="I3545" s="42"/>
      <c r="J3545" s="42"/>
      <c r="K3545" s="42"/>
      <c r="L3545" s="42"/>
      <c r="M3545" s="42"/>
    </row>
    <row r="3546" spans="1:13" x14ac:dyDescent="0.2">
      <c r="A3546" s="42"/>
      <c r="B3546" s="42"/>
      <c r="C3546" s="42"/>
      <c r="D3546" s="42"/>
      <c r="E3546" s="42"/>
      <c r="F3546" s="42"/>
      <c r="G3546" s="42"/>
      <c r="H3546" s="42"/>
      <c r="I3546" s="42"/>
      <c r="J3546" s="42"/>
      <c r="K3546" s="42"/>
      <c r="L3546" s="42"/>
      <c r="M3546" s="42"/>
    </row>
    <row r="3547" spans="1:13" x14ac:dyDescent="0.2">
      <c r="A3547" s="42"/>
      <c r="B3547" s="42"/>
      <c r="C3547" s="42"/>
      <c r="D3547" s="42"/>
      <c r="E3547" s="42"/>
      <c r="F3547" s="42"/>
      <c r="G3547" s="42"/>
      <c r="H3547" s="42"/>
      <c r="I3547" s="42"/>
      <c r="J3547" s="42"/>
      <c r="K3547" s="42"/>
      <c r="L3547" s="42"/>
      <c r="M3547" s="42"/>
    </row>
    <row r="3548" spans="1:13" x14ac:dyDescent="0.2">
      <c r="A3548" s="42"/>
      <c r="B3548" s="42"/>
      <c r="C3548" s="42"/>
      <c r="D3548" s="42"/>
      <c r="E3548" s="42"/>
      <c r="F3548" s="42"/>
      <c r="G3548" s="42"/>
      <c r="H3548" s="42"/>
      <c r="I3548" s="42"/>
      <c r="J3548" s="42"/>
      <c r="K3548" s="42"/>
      <c r="L3548" s="42"/>
      <c r="M3548" s="42"/>
    </row>
    <row r="3549" spans="1:13" x14ac:dyDescent="0.2">
      <c r="A3549" s="42"/>
      <c r="B3549" s="42"/>
      <c r="C3549" s="42"/>
      <c r="D3549" s="42"/>
      <c r="E3549" s="42"/>
      <c r="F3549" s="42"/>
      <c r="G3549" s="42"/>
      <c r="H3549" s="42"/>
      <c r="I3549" s="42"/>
      <c r="J3549" s="42"/>
      <c r="K3549" s="42"/>
      <c r="L3549" s="42"/>
      <c r="M3549" s="42"/>
    </row>
    <row r="3550" spans="1:13" x14ac:dyDescent="0.2">
      <c r="A3550" s="42"/>
      <c r="B3550" s="42"/>
      <c r="C3550" s="42"/>
      <c r="D3550" s="42"/>
      <c r="E3550" s="42"/>
      <c r="F3550" s="42"/>
      <c r="G3550" s="42"/>
      <c r="H3550" s="42"/>
      <c r="I3550" s="42"/>
      <c r="J3550" s="42"/>
      <c r="K3550" s="42"/>
      <c r="L3550" s="42"/>
      <c r="M3550" s="42"/>
    </row>
    <row r="3551" spans="1:13" x14ac:dyDescent="0.2">
      <c r="A3551" s="42"/>
      <c r="B3551" s="42"/>
      <c r="C3551" s="42"/>
      <c r="D3551" s="42"/>
      <c r="E3551" s="42"/>
      <c r="F3551" s="42"/>
      <c r="G3551" s="42"/>
      <c r="H3551" s="42"/>
      <c r="I3551" s="42"/>
      <c r="J3551" s="42"/>
      <c r="K3551" s="42"/>
      <c r="L3551" s="42"/>
      <c r="M3551" s="42"/>
    </row>
    <row r="3552" spans="1:13" x14ac:dyDescent="0.2">
      <c r="A3552" s="42"/>
      <c r="B3552" s="42"/>
      <c r="C3552" s="42"/>
      <c r="D3552" s="42"/>
      <c r="E3552" s="42"/>
      <c r="F3552" s="42"/>
      <c r="G3552" s="42"/>
      <c r="H3552" s="42"/>
      <c r="I3552" s="42"/>
      <c r="J3552" s="42"/>
      <c r="K3552" s="42"/>
      <c r="L3552" s="42"/>
      <c r="M3552" s="42"/>
    </row>
    <row r="3553" spans="1:13" x14ac:dyDescent="0.2">
      <c r="A3553" s="42"/>
      <c r="B3553" s="42"/>
      <c r="C3553" s="42"/>
      <c r="D3553" s="42"/>
      <c r="E3553" s="42"/>
      <c r="F3553" s="42"/>
      <c r="G3553" s="42"/>
      <c r="H3553" s="42"/>
      <c r="I3553" s="42"/>
      <c r="J3553" s="42"/>
      <c r="K3553" s="42"/>
      <c r="L3553" s="42"/>
      <c r="M3553" s="42"/>
    </row>
    <row r="3554" spans="1:13" x14ac:dyDescent="0.2">
      <c r="A3554" s="42"/>
      <c r="B3554" s="42"/>
      <c r="C3554" s="42"/>
      <c r="D3554" s="42"/>
      <c r="E3554" s="42"/>
      <c r="F3554" s="42"/>
      <c r="G3554" s="42"/>
      <c r="H3554" s="42"/>
      <c r="I3554" s="42"/>
      <c r="J3554" s="42"/>
      <c r="K3554" s="42"/>
      <c r="L3554" s="42"/>
      <c r="M3554" s="42"/>
    </row>
    <row r="3555" spans="1:13" x14ac:dyDescent="0.2">
      <c r="A3555" s="42"/>
      <c r="B3555" s="42"/>
      <c r="C3555" s="42"/>
      <c r="D3555" s="42"/>
      <c r="E3555" s="42"/>
      <c r="F3555" s="42"/>
      <c r="G3555" s="42"/>
      <c r="H3555" s="42"/>
      <c r="I3555" s="42"/>
      <c r="J3555" s="42"/>
      <c r="K3555" s="42"/>
      <c r="L3555" s="42"/>
      <c r="M3555" s="42"/>
    </row>
    <row r="3556" spans="1:13" x14ac:dyDescent="0.2">
      <c r="A3556" s="42"/>
      <c r="B3556" s="42"/>
      <c r="C3556" s="42"/>
      <c r="D3556" s="42"/>
      <c r="E3556" s="42"/>
      <c r="F3556" s="42"/>
      <c r="G3556" s="42"/>
      <c r="H3556" s="42"/>
      <c r="I3556" s="42"/>
      <c r="J3556" s="42"/>
      <c r="K3556" s="42"/>
      <c r="L3556" s="42"/>
      <c r="M3556" s="42"/>
    </row>
    <row r="3557" spans="1:13" x14ac:dyDescent="0.2">
      <c r="A3557" s="42"/>
      <c r="B3557" s="42"/>
      <c r="C3557" s="42"/>
      <c r="D3557" s="42"/>
      <c r="E3557" s="42"/>
      <c r="F3557" s="42"/>
      <c r="G3557" s="42"/>
      <c r="H3557" s="42"/>
      <c r="I3557" s="42"/>
      <c r="J3557" s="42"/>
      <c r="K3557" s="42"/>
      <c r="L3557" s="42"/>
      <c r="M3557" s="42"/>
    </row>
    <row r="3558" spans="1:13" x14ac:dyDescent="0.2">
      <c r="A3558" s="42"/>
      <c r="B3558" s="42"/>
      <c r="C3558" s="42"/>
      <c r="D3558" s="42"/>
      <c r="E3558" s="42"/>
      <c r="F3558" s="42"/>
      <c r="G3558" s="42"/>
      <c r="H3558" s="42"/>
      <c r="I3558" s="42"/>
      <c r="J3558" s="42"/>
      <c r="K3558" s="42"/>
      <c r="L3558" s="42"/>
      <c r="M3558" s="42"/>
    </row>
    <row r="3559" spans="1:13" x14ac:dyDescent="0.2">
      <c r="A3559" s="42"/>
      <c r="B3559" s="42"/>
      <c r="C3559" s="42"/>
      <c r="D3559" s="42"/>
      <c r="E3559" s="42"/>
      <c r="F3559" s="42"/>
      <c r="G3559" s="42"/>
      <c r="H3559" s="42"/>
      <c r="I3559" s="42"/>
      <c r="J3559" s="42"/>
      <c r="K3559" s="42"/>
      <c r="L3559" s="42"/>
      <c r="M3559" s="42"/>
    </row>
    <row r="3560" spans="1:13" x14ac:dyDescent="0.2">
      <c r="A3560" s="42"/>
      <c r="B3560" s="42"/>
      <c r="C3560" s="42"/>
      <c r="D3560" s="42"/>
      <c r="E3560" s="42"/>
      <c r="F3560" s="42"/>
      <c r="G3560" s="42"/>
      <c r="H3560" s="42"/>
      <c r="I3560" s="42"/>
      <c r="J3560" s="42"/>
      <c r="K3560" s="42"/>
      <c r="L3560" s="42"/>
      <c r="M3560" s="42"/>
    </row>
    <row r="3561" spans="1:13" x14ac:dyDescent="0.2">
      <c r="A3561" s="42"/>
      <c r="B3561" s="42"/>
      <c r="C3561" s="42"/>
      <c r="D3561" s="42"/>
      <c r="E3561" s="42"/>
      <c r="F3561" s="42"/>
      <c r="G3561" s="42"/>
      <c r="H3561" s="42"/>
      <c r="I3561" s="42"/>
      <c r="J3561" s="42"/>
      <c r="K3561" s="42"/>
      <c r="L3561" s="42"/>
      <c r="M3561" s="42"/>
    </row>
    <row r="3562" spans="1:13" x14ac:dyDescent="0.2">
      <c r="A3562" s="42"/>
      <c r="B3562" s="42"/>
      <c r="C3562" s="42"/>
      <c r="D3562" s="42"/>
      <c r="E3562" s="42"/>
      <c r="F3562" s="42"/>
      <c r="G3562" s="42"/>
      <c r="H3562" s="42"/>
      <c r="I3562" s="42"/>
      <c r="J3562" s="42"/>
      <c r="K3562" s="42"/>
      <c r="L3562" s="42"/>
      <c r="M3562" s="42"/>
    </row>
    <row r="3563" spans="1:13" x14ac:dyDescent="0.2">
      <c r="A3563" s="42"/>
      <c r="B3563" s="42"/>
      <c r="C3563" s="42"/>
      <c r="D3563" s="42"/>
      <c r="E3563" s="42"/>
      <c r="F3563" s="42"/>
      <c r="G3563" s="42"/>
      <c r="H3563" s="42"/>
      <c r="I3563" s="42"/>
      <c r="J3563" s="42"/>
      <c r="K3563" s="42"/>
      <c r="L3563" s="42"/>
      <c r="M3563" s="42"/>
    </row>
    <row r="3564" spans="1:13" x14ac:dyDescent="0.2">
      <c r="A3564" s="42"/>
      <c r="B3564" s="42"/>
      <c r="C3564" s="42"/>
      <c r="D3564" s="42"/>
      <c r="E3564" s="42"/>
      <c r="F3564" s="42"/>
      <c r="G3564" s="42"/>
      <c r="H3564" s="42"/>
      <c r="I3564" s="42"/>
      <c r="J3564" s="42"/>
      <c r="K3564" s="42"/>
      <c r="L3564" s="42"/>
      <c r="M3564" s="42"/>
    </row>
    <row r="3565" spans="1:13" x14ac:dyDescent="0.2">
      <c r="A3565" s="42"/>
      <c r="B3565" s="42"/>
      <c r="C3565" s="42"/>
      <c r="D3565" s="42"/>
      <c r="E3565" s="42"/>
      <c r="F3565" s="42"/>
      <c r="G3565" s="42"/>
      <c r="H3565" s="42"/>
      <c r="I3565" s="42"/>
      <c r="J3565" s="42"/>
      <c r="K3565" s="42"/>
      <c r="L3565" s="42"/>
      <c r="M3565" s="42"/>
    </row>
    <row r="3566" spans="1:13" x14ac:dyDescent="0.2">
      <c r="A3566" s="42"/>
      <c r="B3566" s="42"/>
      <c r="C3566" s="42"/>
      <c r="D3566" s="42"/>
      <c r="E3566" s="42"/>
      <c r="F3566" s="42"/>
      <c r="G3566" s="42"/>
      <c r="H3566" s="42"/>
      <c r="I3566" s="42"/>
      <c r="J3566" s="42"/>
      <c r="K3566" s="42"/>
      <c r="L3566" s="42"/>
      <c r="M3566" s="42"/>
    </row>
    <row r="3567" spans="1:13" x14ac:dyDescent="0.2">
      <c r="A3567" s="42"/>
      <c r="B3567" s="42"/>
      <c r="C3567" s="42"/>
      <c r="D3567" s="42"/>
      <c r="E3567" s="42"/>
      <c r="F3567" s="42"/>
      <c r="G3567" s="42"/>
      <c r="H3567" s="42"/>
      <c r="I3567" s="42"/>
      <c r="J3567" s="42"/>
      <c r="K3567" s="42"/>
      <c r="L3567" s="42"/>
      <c r="M3567" s="42"/>
    </row>
    <row r="3568" spans="1:13" x14ac:dyDescent="0.2">
      <c r="A3568" s="42"/>
      <c r="B3568" s="42"/>
      <c r="C3568" s="42"/>
      <c r="D3568" s="42"/>
      <c r="E3568" s="42"/>
      <c r="F3568" s="42"/>
      <c r="G3568" s="42"/>
      <c r="H3568" s="42"/>
      <c r="I3568" s="42"/>
      <c r="J3568" s="42"/>
      <c r="K3568" s="42"/>
      <c r="L3568" s="42"/>
      <c r="M3568" s="42"/>
    </row>
    <row r="3569" spans="1:13" x14ac:dyDescent="0.2">
      <c r="A3569" s="42"/>
      <c r="B3569" s="42"/>
      <c r="C3569" s="42"/>
      <c r="D3569" s="42"/>
      <c r="E3569" s="42"/>
      <c r="F3569" s="42"/>
      <c r="G3569" s="42"/>
      <c r="H3569" s="42"/>
      <c r="I3569" s="42"/>
      <c r="J3569" s="42"/>
      <c r="K3569" s="42"/>
      <c r="L3569" s="42"/>
      <c r="M3569" s="42"/>
    </row>
    <row r="3570" spans="1:13" x14ac:dyDescent="0.2">
      <c r="A3570" s="42"/>
      <c r="B3570" s="42"/>
      <c r="C3570" s="42"/>
      <c r="D3570" s="42"/>
      <c r="E3570" s="42"/>
      <c r="F3570" s="42"/>
      <c r="G3570" s="42"/>
      <c r="H3570" s="42"/>
      <c r="I3570" s="42"/>
      <c r="J3570" s="42"/>
      <c r="K3570" s="42"/>
      <c r="L3570" s="42"/>
      <c r="M3570" s="42"/>
    </row>
    <row r="3571" spans="1:13" x14ac:dyDescent="0.2">
      <c r="A3571" s="42"/>
      <c r="B3571" s="42"/>
      <c r="C3571" s="42"/>
      <c r="D3571" s="42"/>
      <c r="E3571" s="42"/>
      <c r="F3571" s="42"/>
      <c r="G3571" s="42"/>
      <c r="H3571" s="42"/>
      <c r="I3571" s="42"/>
      <c r="J3571" s="42"/>
      <c r="K3571" s="42"/>
      <c r="L3571" s="42"/>
      <c r="M3571" s="42"/>
    </row>
    <row r="3572" spans="1:13" x14ac:dyDescent="0.2">
      <c r="A3572" s="42"/>
      <c r="B3572" s="42"/>
      <c r="C3572" s="42"/>
      <c r="D3572" s="42"/>
      <c r="E3572" s="42"/>
      <c r="F3572" s="42"/>
      <c r="G3572" s="42"/>
      <c r="H3572" s="42"/>
      <c r="I3572" s="42"/>
      <c r="J3572" s="42"/>
      <c r="K3572" s="42"/>
      <c r="L3572" s="42"/>
      <c r="M3572" s="42"/>
    </row>
    <row r="3573" spans="1:13" x14ac:dyDescent="0.2">
      <c r="A3573" s="42"/>
      <c r="B3573" s="42"/>
      <c r="C3573" s="42"/>
      <c r="D3573" s="42"/>
      <c r="E3573" s="42"/>
      <c r="F3573" s="42"/>
      <c r="G3573" s="42"/>
      <c r="H3573" s="42"/>
      <c r="I3573" s="42"/>
      <c r="J3573" s="42"/>
      <c r="K3573" s="42"/>
      <c r="L3573" s="42"/>
      <c r="M3573" s="42"/>
    </row>
    <row r="3574" spans="1:13" x14ac:dyDescent="0.2">
      <c r="A3574" s="42"/>
      <c r="B3574" s="42"/>
      <c r="C3574" s="42"/>
      <c r="D3574" s="42"/>
      <c r="E3574" s="42"/>
      <c r="F3574" s="42"/>
      <c r="G3574" s="42"/>
      <c r="H3574" s="42"/>
      <c r="I3574" s="42"/>
      <c r="J3574" s="42"/>
      <c r="K3574" s="42"/>
      <c r="L3574" s="42"/>
      <c r="M3574" s="42"/>
    </row>
    <row r="3575" spans="1:13" x14ac:dyDescent="0.2">
      <c r="A3575" s="42"/>
      <c r="B3575" s="42"/>
      <c r="C3575" s="42"/>
      <c r="D3575" s="42"/>
      <c r="E3575" s="42"/>
      <c r="F3575" s="42"/>
      <c r="G3575" s="42"/>
      <c r="H3575" s="42"/>
      <c r="I3575" s="42"/>
      <c r="J3575" s="42"/>
      <c r="K3575" s="42"/>
      <c r="L3575" s="42"/>
      <c r="M3575" s="42"/>
    </row>
    <row r="3576" spans="1:13" x14ac:dyDescent="0.2">
      <c r="A3576" s="42"/>
      <c r="B3576" s="42"/>
      <c r="C3576" s="42"/>
      <c r="D3576" s="42"/>
      <c r="E3576" s="42"/>
      <c r="F3576" s="42"/>
      <c r="G3576" s="42"/>
      <c r="H3576" s="42"/>
      <c r="I3576" s="42"/>
      <c r="J3576" s="42"/>
      <c r="K3576" s="42"/>
      <c r="L3576" s="42"/>
      <c r="M3576" s="42"/>
    </row>
    <row r="3577" spans="1:13" x14ac:dyDescent="0.2">
      <c r="A3577" s="42"/>
      <c r="B3577" s="42"/>
      <c r="C3577" s="42"/>
      <c r="D3577" s="42"/>
      <c r="E3577" s="42"/>
      <c r="F3577" s="42"/>
      <c r="G3577" s="42"/>
      <c r="H3577" s="42"/>
      <c r="I3577" s="42"/>
      <c r="J3577" s="42"/>
      <c r="K3577" s="42"/>
      <c r="L3577" s="42"/>
      <c r="M3577" s="42"/>
    </row>
    <row r="3578" spans="1:13" x14ac:dyDescent="0.2">
      <c r="A3578" s="42"/>
      <c r="B3578" s="42"/>
      <c r="C3578" s="42"/>
      <c r="D3578" s="42"/>
      <c r="E3578" s="42"/>
      <c r="F3578" s="42"/>
      <c r="G3578" s="42"/>
      <c r="H3578" s="42"/>
      <c r="I3578" s="42"/>
      <c r="J3578" s="42"/>
      <c r="K3578" s="42"/>
      <c r="L3578" s="42"/>
      <c r="M3578" s="42"/>
    </row>
    <row r="3579" spans="1:13" x14ac:dyDescent="0.2">
      <c r="A3579" s="42"/>
      <c r="B3579" s="42"/>
      <c r="C3579" s="42"/>
      <c r="D3579" s="42"/>
      <c r="E3579" s="42"/>
      <c r="F3579" s="42"/>
      <c r="G3579" s="42"/>
      <c r="H3579" s="42"/>
      <c r="I3579" s="42"/>
      <c r="J3579" s="42"/>
      <c r="K3579" s="42"/>
      <c r="L3579" s="42"/>
      <c r="M3579" s="42"/>
    </row>
    <row r="3580" spans="1:13" x14ac:dyDescent="0.2">
      <c r="A3580" s="42"/>
      <c r="B3580" s="42"/>
      <c r="C3580" s="42"/>
      <c r="D3580" s="42"/>
      <c r="E3580" s="42"/>
      <c r="F3580" s="42"/>
      <c r="G3580" s="42"/>
      <c r="H3580" s="42"/>
      <c r="I3580" s="42"/>
      <c r="J3580" s="42"/>
      <c r="K3580" s="42"/>
      <c r="L3580" s="42"/>
      <c r="M3580" s="42"/>
    </row>
    <row r="3581" spans="1:13" x14ac:dyDescent="0.2">
      <c r="A3581" s="42"/>
      <c r="B3581" s="42"/>
      <c r="C3581" s="42"/>
      <c r="D3581" s="42"/>
      <c r="E3581" s="42"/>
      <c r="F3581" s="42"/>
      <c r="G3581" s="42"/>
      <c r="H3581" s="42"/>
      <c r="I3581" s="42"/>
      <c r="J3581" s="42"/>
      <c r="K3581" s="42"/>
      <c r="L3581" s="42"/>
      <c r="M3581" s="42"/>
    </row>
    <row r="3582" spans="1:13" x14ac:dyDescent="0.2">
      <c r="A3582" s="42"/>
      <c r="B3582" s="42"/>
      <c r="C3582" s="42"/>
      <c r="D3582" s="42"/>
      <c r="E3582" s="42"/>
      <c r="F3582" s="42"/>
      <c r="G3582" s="42"/>
      <c r="H3582" s="42"/>
      <c r="I3582" s="42"/>
      <c r="J3582" s="42"/>
      <c r="K3582" s="42"/>
      <c r="L3582" s="42"/>
      <c r="M3582" s="42"/>
    </row>
    <row r="3583" spans="1:13" x14ac:dyDescent="0.2">
      <c r="A3583" s="42"/>
      <c r="B3583" s="42"/>
      <c r="C3583" s="42"/>
      <c r="D3583" s="42"/>
      <c r="E3583" s="42"/>
      <c r="F3583" s="42"/>
      <c r="G3583" s="42"/>
      <c r="H3583" s="42"/>
      <c r="I3583" s="42"/>
      <c r="J3583" s="42"/>
      <c r="K3583" s="42"/>
      <c r="L3583" s="42"/>
      <c r="M3583" s="42"/>
    </row>
    <row r="3584" spans="1:13" x14ac:dyDescent="0.2">
      <c r="A3584" s="42"/>
      <c r="B3584" s="42"/>
      <c r="C3584" s="42"/>
      <c r="D3584" s="42"/>
      <c r="E3584" s="42"/>
      <c r="F3584" s="42"/>
      <c r="G3584" s="42"/>
      <c r="H3584" s="42"/>
      <c r="I3584" s="42"/>
      <c r="J3584" s="42"/>
      <c r="K3584" s="42"/>
      <c r="L3584" s="42"/>
      <c r="M3584" s="42"/>
    </row>
    <row r="3585" spans="1:13" x14ac:dyDescent="0.2">
      <c r="A3585" s="42"/>
      <c r="B3585" s="42"/>
      <c r="C3585" s="42"/>
      <c r="D3585" s="42"/>
      <c r="E3585" s="42"/>
      <c r="F3585" s="42"/>
      <c r="G3585" s="42"/>
      <c r="H3585" s="42"/>
      <c r="I3585" s="42"/>
      <c r="J3585" s="42"/>
      <c r="K3585" s="42"/>
      <c r="L3585" s="42"/>
      <c r="M3585" s="42"/>
    </row>
    <row r="3586" spans="1:13" x14ac:dyDescent="0.2">
      <c r="A3586" s="42"/>
      <c r="B3586" s="42"/>
      <c r="C3586" s="42"/>
      <c r="D3586" s="42"/>
      <c r="E3586" s="42"/>
      <c r="F3586" s="42"/>
      <c r="G3586" s="42"/>
      <c r="H3586" s="42"/>
      <c r="I3586" s="42"/>
      <c r="J3586" s="42"/>
      <c r="K3586" s="42"/>
      <c r="L3586" s="42"/>
      <c r="M3586" s="42"/>
    </row>
    <row r="3587" spans="1:13" x14ac:dyDescent="0.2">
      <c r="A3587" s="42"/>
      <c r="B3587" s="42"/>
      <c r="C3587" s="42"/>
      <c r="D3587" s="42"/>
      <c r="E3587" s="42"/>
      <c r="F3587" s="42"/>
      <c r="G3587" s="42"/>
      <c r="H3587" s="42"/>
      <c r="I3587" s="42"/>
      <c r="J3587" s="42"/>
      <c r="K3587" s="42"/>
      <c r="L3587" s="42"/>
      <c r="M3587" s="42"/>
    </row>
    <row r="3588" spans="1:13" x14ac:dyDescent="0.2">
      <c r="A3588" s="42"/>
      <c r="B3588" s="42"/>
      <c r="C3588" s="42"/>
      <c r="D3588" s="42"/>
      <c r="E3588" s="42"/>
      <c r="F3588" s="42"/>
      <c r="G3588" s="42"/>
      <c r="H3588" s="42"/>
      <c r="I3588" s="42"/>
      <c r="J3588" s="42"/>
      <c r="K3588" s="42"/>
      <c r="L3588" s="42"/>
      <c r="M3588" s="42"/>
    </row>
    <row r="3589" spans="1:13" x14ac:dyDescent="0.2">
      <c r="A3589" s="42"/>
      <c r="B3589" s="42"/>
      <c r="C3589" s="42"/>
      <c r="D3589" s="42"/>
      <c r="E3589" s="42"/>
      <c r="F3589" s="42"/>
      <c r="G3589" s="42"/>
      <c r="H3589" s="42"/>
      <c r="I3589" s="42"/>
      <c r="J3589" s="42"/>
      <c r="K3589" s="42"/>
      <c r="L3589" s="42"/>
      <c r="M3589" s="42"/>
    </row>
    <row r="3590" spans="1:13" x14ac:dyDescent="0.2">
      <c r="A3590" s="42"/>
      <c r="B3590" s="42"/>
      <c r="C3590" s="42"/>
      <c r="D3590" s="42"/>
      <c r="E3590" s="42"/>
      <c r="F3590" s="42"/>
      <c r="G3590" s="42"/>
      <c r="H3590" s="42"/>
      <c r="I3590" s="42"/>
      <c r="J3590" s="42"/>
      <c r="K3590" s="42"/>
      <c r="L3590" s="42"/>
      <c r="M3590" s="42"/>
    </row>
    <row r="3591" spans="1:13" x14ac:dyDescent="0.2">
      <c r="A3591" s="42"/>
      <c r="B3591" s="42"/>
      <c r="C3591" s="42"/>
      <c r="D3591" s="42"/>
      <c r="E3591" s="42"/>
      <c r="F3591" s="42"/>
      <c r="G3591" s="42"/>
      <c r="H3591" s="42"/>
      <c r="I3591" s="42"/>
      <c r="J3591" s="42"/>
      <c r="K3591" s="42"/>
      <c r="L3591" s="42"/>
      <c r="M3591" s="42"/>
    </row>
    <row r="3592" spans="1:13" x14ac:dyDescent="0.2">
      <c r="A3592" s="42"/>
      <c r="B3592" s="42"/>
      <c r="C3592" s="42"/>
      <c r="D3592" s="42"/>
      <c r="E3592" s="42"/>
      <c r="F3592" s="42"/>
      <c r="G3592" s="42"/>
      <c r="H3592" s="42"/>
      <c r="I3592" s="42"/>
      <c r="J3592" s="42"/>
      <c r="K3592" s="42"/>
      <c r="L3592" s="42"/>
      <c r="M3592" s="42"/>
    </row>
    <row r="3593" spans="1:13" x14ac:dyDescent="0.2">
      <c r="A3593" s="42"/>
      <c r="B3593" s="42"/>
      <c r="C3593" s="42"/>
      <c r="D3593" s="42"/>
      <c r="E3593" s="42"/>
      <c r="F3593" s="42"/>
      <c r="G3593" s="42"/>
      <c r="H3593" s="42"/>
      <c r="I3593" s="42"/>
      <c r="J3593" s="42"/>
      <c r="K3593" s="42"/>
      <c r="L3593" s="42"/>
      <c r="M3593" s="42"/>
    </row>
    <row r="3594" spans="1:13" x14ac:dyDescent="0.2">
      <c r="A3594" s="42"/>
      <c r="B3594" s="42"/>
      <c r="C3594" s="42"/>
      <c r="D3594" s="42"/>
      <c r="E3594" s="42"/>
      <c r="F3594" s="42"/>
      <c r="G3594" s="42"/>
      <c r="H3594" s="42"/>
      <c r="I3594" s="42"/>
      <c r="J3594" s="42"/>
      <c r="K3594" s="42"/>
      <c r="L3594" s="42"/>
      <c r="M3594" s="42"/>
    </row>
    <row r="3595" spans="1:13" x14ac:dyDescent="0.2">
      <c r="A3595" s="42"/>
      <c r="B3595" s="42"/>
      <c r="C3595" s="42"/>
      <c r="D3595" s="42"/>
      <c r="E3595" s="42"/>
      <c r="F3595" s="42"/>
      <c r="G3595" s="42"/>
      <c r="H3595" s="42"/>
      <c r="I3595" s="42"/>
      <c r="J3595" s="42"/>
      <c r="K3595" s="42"/>
      <c r="L3595" s="42"/>
      <c r="M3595" s="42"/>
    </row>
    <row r="3596" spans="1:13" x14ac:dyDescent="0.2">
      <c r="A3596" s="42"/>
      <c r="B3596" s="42"/>
      <c r="C3596" s="42"/>
      <c r="D3596" s="42"/>
      <c r="E3596" s="42"/>
      <c r="F3596" s="42"/>
      <c r="G3596" s="42"/>
      <c r="H3596" s="42"/>
      <c r="I3596" s="42"/>
      <c r="J3596" s="42"/>
      <c r="K3596" s="42"/>
      <c r="L3596" s="42"/>
      <c r="M3596" s="42"/>
    </row>
    <row r="3597" spans="1:13" x14ac:dyDescent="0.2">
      <c r="A3597" s="42"/>
      <c r="B3597" s="42"/>
      <c r="C3597" s="42"/>
      <c r="D3597" s="42"/>
      <c r="E3597" s="42"/>
      <c r="F3597" s="42"/>
      <c r="G3597" s="42"/>
      <c r="H3597" s="42"/>
      <c r="I3597" s="42"/>
      <c r="J3597" s="42"/>
      <c r="K3597" s="42"/>
      <c r="L3597" s="42"/>
      <c r="M3597" s="42"/>
    </row>
    <row r="3598" spans="1:13" x14ac:dyDescent="0.2">
      <c r="A3598" s="42"/>
      <c r="B3598" s="42"/>
      <c r="C3598" s="42"/>
      <c r="D3598" s="42"/>
      <c r="E3598" s="42"/>
      <c r="F3598" s="42"/>
      <c r="G3598" s="42"/>
      <c r="H3598" s="42"/>
      <c r="I3598" s="42"/>
      <c r="J3598" s="42"/>
      <c r="K3598" s="42"/>
      <c r="L3598" s="42"/>
      <c r="M3598" s="42"/>
    </row>
    <row r="3599" spans="1:13" x14ac:dyDescent="0.2">
      <c r="A3599" s="42"/>
      <c r="B3599" s="42"/>
      <c r="C3599" s="42"/>
      <c r="D3599" s="42"/>
      <c r="E3599" s="42"/>
      <c r="F3599" s="42"/>
      <c r="G3599" s="42"/>
      <c r="H3599" s="42"/>
      <c r="I3599" s="42"/>
      <c r="J3599" s="42"/>
      <c r="K3599" s="42"/>
      <c r="L3599" s="42"/>
      <c r="M3599" s="42"/>
    </row>
    <row r="3600" spans="1:13" x14ac:dyDescent="0.2">
      <c r="A3600" s="42"/>
      <c r="B3600" s="42"/>
      <c r="C3600" s="42"/>
      <c r="D3600" s="42"/>
      <c r="E3600" s="42"/>
      <c r="F3600" s="42"/>
      <c r="G3600" s="42"/>
      <c r="H3600" s="42"/>
      <c r="I3600" s="42"/>
      <c r="J3600" s="42"/>
      <c r="K3600" s="42"/>
      <c r="L3600" s="42"/>
      <c r="M3600" s="42"/>
    </row>
    <row r="3601" spans="1:13" x14ac:dyDescent="0.2">
      <c r="A3601" s="42"/>
      <c r="B3601" s="42"/>
      <c r="C3601" s="42"/>
      <c r="D3601" s="42"/>
      <c r="E3601" s="42"/>
      <c r="F3601" s="42"/>
      <c r="G3601" s="42"/>
      <c r="H3601" s="42"/>
      <c r="I3601" s="42"/>
      <c r="J3601" s="42"/>
      <c r="K3601" s="42"/>
      <c r="L3601" s="42"/>
      <c r="M3601" s="42"/>
    </row>
    <row r="3602" spans="1:13" x14ac:dyDescent="0.2">
      <c r="A3602" s="42"/>
      <c r="B3602" s="42"/>
      <c r="C3602" s="42"/>
      <c r="D3602" s="42"/>
      <c r="E3602" s="42"/>
      <c r="F3602" s="42"/>
      <c r="G3602" s="42"/>
      <c r="H3602" s="42"/>
      <c r="I3602" s="42"/>
      <c r="J3602" s="42"/>
      <c r="K3602" s="42"/>
      <c r="L3602" s="42"/>
      <c r="M3602" s="42"/>
    </row>
    <row r="3603" spans="1:13" x14ac:dyDescent="0.2">
      <c r="A3603" s="42"/>
      <c r="B3603" s="42"/>
      <c r="C3603" s="42"/>
      <c r="D3603" s="42"/>
      <c r="E3603" s="42"/>
      <c r="F3603" s="42"/>
      <c r="G3603" s="42"/>
      <c r="H3603" s="42"/>
      <c r="I3603" s="42"/>
      <c r="J3603" s="42"/>
      <c r="K3603" s="42"/>
      <c r="L3603" s="42"/>
      <c r="M3603" s="42"/>
    </row>
    <row r="3604" spans="1:13" x14ac:dyDescent="0.2">
      <c r="A3604" s="42"/>
      <c r="B3604" s="42"/>
      <c r="C3604" s="42"/>
      <c r="D3604" s="42"/>
      <c r="E3604" s="42"/>
      <c r="F3604" s="42"/>
      <c r="G3604" s="42"/>
      <c r="H3604" s="42"/>
      <c r="I3604" s="42"/>
      <c r="J3604" s="42"/>
      <c r="K3604" s="42"/>
      <c r="L3604" s="42"/>
      <c r="M3604" s="42"/>
    </row>
    <row r="3605" spans="1:13" x14ac:dyDescent="0.2">
      <c r="A3605" s="42"/>
      <c r="B3605" s="42"/>
      <c r="C3605" s="42"/>
      <c r="D3605" s="42"/>
      <c r="E3605" s="42"/>
      <c r="F3605" s="42"/>
      <c r="G3605" s="42"/>
      <c r="H3605" s="42"/>
      <c r="I3605" s="42"/>
      <c r="J3605" s="42"/>
      <c r="K3605" s="42"/>
      <c r="L3605" s="42"/>
      <c r="M3605" s="42"/>
    </row>
    <row r="3606" spans="1:13" x14ac:dyDescent="0.2">
      <c r="A3606" s="42"/>
      <c r="B3606" s="42"/>
      <c r="C3606" s="42"/>
      <c r="D3606" s="42"/>
      <c r="E3606" s="42"/>
      <c r="F3606" s="42"/>
      <c r="G3606" s="42"/>
      <c r="H3606" s="42"/>
      <c r="I3606" s="42"/>
      <c r="J3606" s="42"/>
      <c r="K3606" s="42"/>
      <c r="L3606" s="42"/>
      <c r="M3606" s="42"/>
    </row>
    <row r="3607" spans="1:13" x14ac:dyDescent="0.2">
      <c r="A3607" s="42"/>
      <c r="B3607" s="42"/>
      <c r="C3607" s="42"/>
      <c r="D3607" s="42"/>
      <c r="E3607" s="42"/>
      <c r="F3607" s="42"/>
      <c r="G3607" s="42"/>
      <c r="H3607" s="42"/>
      <c r="I3607" s="42"/>
      <c r="J3607" s="42"/>
      <c r="K3607" s="42"/>
      <c r="L3607" s="42"/>
      <c r="M3607" s="42"/>
    </row>
    <row r="3608" spans="1:13" x14ac:dyDescent="0.2">
      <c r="A3608" s="42"/>
      <c r="B3608" s="42"/>
      <c r="C3608" s="42"/>
      <c r="D3608" s="42"/>
      <c r="E3608" s="42"/>
      <c r="F3608" s="42"/>
      <c r="G3608" s="42"/>
      <c r="H3608" s="42"/>
      <c r="I3608" s="42"/>
      <c r="J3608" s="42"/>
      <c r="K3608" s="42"/>
      <c r="L3608" s="42"/>
      <c r="M3608" s="42"/>
    </row>
    <row r="3609" spans="1:13" x14ac:dyDescent="0.2">
      <c r="A3609" s="42"/>
      <c r="B3609" s="42"/>
      <c r="C3609" s="42"/>
      <c r="D3609" s="42"/>
      <c r="E3609" s="42"/>
      <c r="F3609" s="42"/>
      <c r="G3609" s="42"/>
      <c r="H3609" s="42"/>
      <c r="I3609" s="42"/>
      <c r="J3609" s="42"/>
      <c r="K3609" s="42"/>
      <c r="L3609" s="42"/>
      <c r="M3609" s="42"/>
    </row>
    <row r="3610" spans="1:13" x14ac:dyDescent="0.2">
      <c r="A3610" s="42"/>
      <c r="B3610" s="42"/>
      <c r="C3610" s="42"/>
      <c r="D3610" s="42"/>
      <c r="E3610" s="42"/>
      <c r="F3610" s="42"/>
      <c r="G3610" s="42"/>
      <c r="H3610" s="42"/>
      <c r="I3610" s="42"/>
      <c r="J3610" s="42"/>
      <c r="K3610" s="42"/>
      <c r="L3610" s="42"/>
      <c r="M3610" s="42"/>
    </row>
    <row r="3611" spans="1:13" x14ac:dyDescent="0.2">
      <c r="A3611" s="42"/>
      <c r="B3611" s="42"/>
      <c r="C3611" s="42"/>
      <c r="D3611" s="42"/>
      <c r="E3611" s="42"/>
      <c r="F3611" s="42"/>
      <c r="G3611" s="42"/>
      <c r="H3611" s="42"/>
      <c r="I3611" s="42"/>
      <c r="J3611" s="42"/>
      <c r="K3611" s="42"/>
      <c r="L3611" s="42"/>
      <c r="M3611" s="42"/>
    </row>
    <row r="3612" spans="1:13" x14ac:dyDescent="0.2">
      <c r="A3612" s="42"/>
      <c r="B3612" s="42"/>
      <c r="C3612" s="42"/>
      <c r="D3612" s="42"/>
      <c r="E3612" s="42"/>
      <c r="F3612" s="42"/>
      <c r="G3612" s="42"/>
      <c r="H3612" s="42"/>
      <c r="I3612" s="42"/>
      <c r="J3612" s="42"/>
      <c r="K3612" s="42"/>
      <c r="L3612" s="42"/>
      <c r="M3612" s="42"/>
    </row>
    <row r="3613" spans="1:13" x14ac:dyDescent="0.2">
      <c r="A3613" s="42"/>
      <c r="B3613" s="42"/>
      <c r="C3613" s="42"/>
      <c r="D3613" s="42"/>
      <c r="E3613" s="42"/>
      <c r="F3613" s="42"/>
      <c r="G3613" s="42"/>
      <c r="H3613" s="42"/>
      <c r="I3613" s="42"/>
      <c r="J3613" s="42"/>
      <c r="K3613" s="42"/>
      <c r="L3613" s="42"/>
      <c r="M3613" s="42"/>
    </row>
    <row r="3614" spans="1:13" x14ac:dyDescent="0.2">
      <c r="A3614" s="42"/>
      <c r="B3614" s="42"/>
      <c r="C3614" s="42"/>
      <c r="D3614" s="42"/>
      <c r="E3614" s="42"/>
      <c r="F3614" s="42"/>
      <c r="G3614" s="42"/>
      <c r="H3614" s="42"/>
      <c r="I3614" s="42"/>
      <c r="J3614" s="42"/>
      <c r="K3614" s="42"/>
      <c r="L3614" s="42"/>
      <c r="M3614" s="42"/>
    </row>
    <row r="3615" spans="1:13" x14ac:dyDescent="0.2">
      <c r="A3615" s="42"/>
      <c r="B3615" s="42"/>
      <c r="C3615" s="42"/>
      <c r="D3615" s="42"/>
      <c r="E3615" s="42"/>
      <c r="F3615" s="42"/>
      <c r="G3615" s="42"/>
      <c r="H3615" s="42"/>
      <c r="I3615" s="42"/>
      <c r="J3615" s="42"/>
      <c r="K3615" s="42"/>
      <c r="L3615" s="42"/>
      <c r="M3615" s="42"/>
    </row>
    <row r="3616" spans="1:13" x14ac:dyDescent="0.2">
      <c r="A3616" s="42"/>
      <c r="B3616" s="42"/>
      <c r="C3616" s="42"/>
      <c r="D3616" s="42"/>
      <c r="E3616" s="42"/>
      <c r="F3616" s="42"/>
      <c r="G3616" s="42"/>
      <c r="H3616" s="42"/>
      <c r="I3616" s="42"/>
      <c r="J3616" s="42"/>
      <c r="K3616" s="42"/>
      <c r="L3616" s="42"/>
      <c r="M3616" s="42"/>
    </row>
    <row r="3617" spans="1:13" x14ac:dyDescent="0.2">
      <c r="A3617" s="42"/>
      <c r="B3617" s="42"/>
      <c r="C3617" s="42"/>
      <c r="D3617" s="42"/>
      <c r="E3617" s="42"/>
      <c r="F3617" s="42"/>
      <c r="G3617" s="42"/>
      <c r="H3617" s="42"/>
      <c r="I3617" s="42"/>
      <c r="J3617" s="42"/>
      <c r="K3617" s="42"/>
      <c r="L3617" s="42"/>
      <c r="M3617" s="42"/>
    </row>
    <row r="3618" spans="1:13" x14ac:dyDescent="0.2">
      <c r="A3618" s="42"/>
      <c r="B3618" s="42"/>
      <c r="C3618" s="42"/>
      <c r="D3618" s="42"/>
      <c r="E3618" s="42"/>
      <c r="F3618" s="42"/>
      <c r="G3618" s="42"/>
      <c r="H3618" s="42"/>
      <c r="I3618" s="42"/>
      <c r="J3618" s="42"/>
      <c r="K3618" s="42"/>
      <c r="L3618" s="42"/>
      <c r="M3618" s="42"/>
    </row>
    <row r="3619" spans="1:13" x14ac:dyDescent="0.2">
      <c r="A3619" s="42"/>
      <c r="B3619" s="42"/>
      <c r="C3619" s="42"/>
      <c r="D3619" s="42"/>
      <c r="E3619" s="42"/>
      <c r="F3619" s="42"/>
      <c r="G3619" s="42"/>
      <c r="H3619" s="42"/>
      <c r="I3619" s="42"/>
      <c r="J3619" s="42"/>
      <c r="K3619" s="42"/>
      <c r="L3619" s="42"/>
      <c r="M3619" s="42"/>
    </row>
    <row r="3620" spans="1:13" x14ac:dyDescent="0.2">
      <c r="A3620" s="42"/>
      <c r="B3620" s="42"/>
      <c r="C3620" s="42"/>
      <c r="D3620" s="42"/>
      <c r="E3620" s="42"/>
      <c r="F3620" s="42"/>
      <c r="G3620" s="42"/>
      <c r="H3620" s="42"/>
      <c r="I3620" s="42"/>
      <c r="J3620" s="42"/>
      <c r="K3620" s="42"/>
      <c r="L3620" s="42"/>
      <c r="M3620" s="42"/>
    </row>
    <row r="3621" spans="1:13" x14ac:dyDescent="0.2">
      <c r="A3621" s="42"/>
      <c r="B3621" s="42"/>
      <c r="C3621" s="42"/>
      <c r="D3621" s="42"/>
      <c r="E3621" s="42"/>
      <c r="F3621" s="42"/>
      <c r="G3621" s="42"/>
      <c r="H3621" s="42"/>
      <c r="I3621" s="42"/>
      <c r="J3621" s="42"/>
      <c r="K3621" s="42"/>
      <c r="L3621" s="42"/>
      <c r="M3621" s="42"/>
    </row>
    <row r="3622" spans="1:13" x14ac:dyDescent="0.2">
      <c r="A3622" s="42"/>
      <c r="B3622" s="42"/>
      <c r="C3622" s="42"/>
      <c r="D3622" s="42"/>
      <c r="E3622" s="42"/>
      <c r="F3622" s="42"/>
      <c r="G3622" s="42"/>
      <c r="H3622" s="42"/>
      <c r="I3622" s="42"/>
      <c r="J3622" s="42"/>
      <c r="K3622" s="42"/>
      <c r="L3622" s="42"/>
      <c r="M3622" s="42"/>
    </row>
    <row r="3623" spans="1:13" x14ac:dyDescent="0.2">
      <c r="A3623" s="42"/>
      <c r="B3623" s="42"/>
      <c r="C3623" s="42"/>
      <c r="D3623" s="42"/>
      <c r="E3623" s="42"/>
      <c r="F3623" s="42"/>
      <c r="G3623" s="42"/>
      <c r="H3623" s="42"/>
      <c r="I3623" s="42"/>
      <c r="J3623" s="42"/>
      <c r="K3623" s="42"/>
      <c r="L3623" s="42"/>
      <c r="M3623" s="42"/>
    </row>
    <row r="3624" spans="1:13" x14ac:dyDescent="0.2">
      <c r="A3624" s="42"/>
      <c r="B3624" s="42"/>
      <c r="C3624" s="42"/>
      <c r="D3624" s="42"/>
      <c r="E3624" s="42"/>
      <c r="F3624" s="42"/>
      <c r="G3624" s="42"/>
      <c r="H3624" s="42"/>
      <c r="I3624" s="42"/>
      <c r="J3624" s="42"/>
      <c r="K3624" s="42"/>
      <c r="L3624" s="42"/>
      <c r="M3624" s="42"/>
    </row>
    <row r="3625" spans="1:13" x14ac:dyDescent="0.2">
      <c r="A3625" s="42"/>
      <c r="B3625" s="42"/>
      <c r="C3625" s="42"/>
      <c r="D3625" s="42"/>
      <c r="E3625" s="42"/>
      <c r="F3625" s="42"/>
      <c r="G3625" s="42"/>
      <c r="H3625" s="42"/>
      <c r="I3625" s="42"/>
      <c r="J3625" s="42"/>
      <c r="K3625" s="42"/>
      <c r="L3625" s="42"/>
      <c r="M3625" s="42"/>
    </row>
    <row r="3626" spans="1:13" x14ac:dyDescent="0.2">
      <c r="A3626" s="42"/>
      <c r="B3626" s="42"/>
      <c r="C3626" s="42"/>
      <c r="D3626" s="42"/>
      <c r="E3626" s="42"/>
      <c r="F3626" s="42"/>
      <c r="G3626" s="42"/>
      <c r="H3626" s="42"/>
      <c r="I3626" s="42"/>
      <c r="J3626" s="42"/>
      <c r="K3626" s="42"/>
      <c r="L3626" s="42"/>
      <c r="M3626" s="42"/>
    </row>
    <row r="3627" spans="1:13" x14ac:dyDescent="0.2">
      <c r="A3627" s="42"/>
      <c r="B3627" s="42"/>
      <c r="C3627" s="42"/>
      <c r="D3627" s="42"/>
      <c r="E3627" s="42"/>
      <c r="F3627" s="42"/>
      <c r="G3627" s="42"/>
      <c r="H3627" s="42"/>
      <c r="I3627" s="42"/>
      <c r="J3627" s="42"/>
      <c r="K3627" s="42"/>
      <c r="L3627" s="42"/>
      <c r="M3627" s="42"/>
    </row>
    <row r="3628" spans="1:13" x14ac:dyDescent="0.2">
      <c r="A3628" s="42"/>
      <c r="B3628" s="42"/>
      <c r="C3628" s="42"/>
      <c r="D3628" s="42"/>
      <c r="E3628" s="42"/>
      <c r="F3628" s="42"/>
      <c r="G3628" s="42"/>
      <c r="H3628" s="42"/>
      <c r="I3628" s="42"/>
      <c r="J3628" s="42"/>
      <c r="K3628" s="42"/>
      <c r="L3628" s="42"/>
      <c r="M3628" s="42"/>
    </row>
    <row r="3629" spans="1:13" x14ac:dyDescent="0.2">
      <c r="A3629" s="42"/>
      <c r="B3629" s="42"/>
      <c r="C3629" s="42"/>
      <c r="D3629" s="42"/>
      <c r="E3629" s="42"/>
      <c r="F3629" s="42"/>
      <c r="G3629" s="42"/>
      <c r="H3629" s="42"/>
      <c r="I3629" s="42"/>
      <c r="J3629" s="42"/>
      <c r="K3629" s="42"/>
      <c r="L3629" s="42"/>
      <c r="M3629" s="42"/>
    </row>
    <row r="3630" spans="1:13" x14ac:dyDescent="0.2">
      <c r="A3630" s="42"/>
      <c r="B3630" s="42"/>
      <c r="C3630" s="42"/>
      <c r="D3630" s="42"/>
      <c r="E3630" s="42"/>
      <c r="F3630" s="42"/>
      <c r="G3630" s="42"/>
      <c r="H3630" s="42"/>
      <c r="I3630" s="42"/>
      <c r="J3630" s="42"/>
      <c r="K3630" s="42"/>
      <c r="L3630" s="42"/>
      <c r="M3630" s="42"/>
    </row>
    <row r="3631" spans="1:13" x14ac:dyDescent="0.2">
      <c r="A3631" s="42"/>
      <c r="B3631" s="42"/>
      <c r="C3631" s="42"/>
      <c r="D3631" s="42"/>
      <c r="E3631" s="42"/>
      <c r="F3631" s="42"/>
      <c r="G3631" s="42"/>
      <c r="H3631" s="42"/>
      <c r="I3631" s="42"/>
      <c r="J3631" s="42"/>
      <c r="K3631" s="42"/>
      <c r="L3631" s="42"/>
      <c r="M3631" s="42"/>
    </row>
    <row r="3632" spans="1:13" x14ac:dyDescent="0.2">
      <c r="A3632" s="42"/>
      <c r="B3632" s="42"/>
      <c r="C3632" s="42"/>
      <c r="D3632" s="42"/>
      <c r="E3632" s="42"/>
      <c r="F3632" s="42"/>
      <c r="G3632" s="42"/>
      <c r="H3632" s="42"/>
      <c r="I3632" s="42"/>
      <c r="J3632" s="42"/>
      <c r="K3632" s="42"/>
      <c r="L3632" s="42"/>
      <c r="M3632" s="42"/>
    </row>
    <row r="3633" spans="1:13" x14ac:dyDescent="0.2">
      <c r="A3633" s="42"/>
      <c r="B3633" s="42"/>
      <c r="C3633" s="42"/>
      <c r="D3633" s="42"/>
      <c r="E3633" s="42"/>
      <c r="F3633" s="42"/>
      <c r="G3633" s="42"/>
      <c r="H3633" s="42"/>
      <c r="I3633" s="42"/>
      <c r="J3633" s="42"/>
      <c r="K3633" s="42"/>
      <c r="L3633" s="42"/>
      <c r="M3633" s="42"/>
    </row>
    <row r="3634" spans="1:13" x14ac:dyDescent="0.2">
      <c r="A3634" s="42"/>
      <c r="B3634" s="42"/>
      <c r="C3634" s="42"/>
      <c r="D3634" s="42"/>
      <c r="E3634" s="42"/>
      <c r="F3634" s="42"/>
      <c r="G3634" s="42"/>
      <c r="H3634" s="42"/>
      <c r="I3634" s="42"/>
      <c r="J3634" s="42"/>
      <c r="K3634" s="42"/>
      <c r="L3634" s="42"/>
      <c r="M3634" s="42"/>
    </row>
    <row r="3635" spans="1:13" x14ac:dyDescent="0.2">
      <c r="A3635" s="42"/>
      <c r="B3635" s="42"/>
      <c r="C3635" s="42"/>
      <c r="D3635" s="42"/>
      <c r="E3635" s="42"/>
      <c r="F3635" s="42"/>
      <c r="G3635" s="42"/>
      <c r="H3635" s="42"/>
      <c r="I3635" s="42"/>
      <c r="J3635" s="42"/>
      <c r="K3635" s="42"/>
      <c r="L3635" s="42"/>
      <c r="M3635" s="42"/>
    </row>
    <row r="3636" spans="1:13" x14ac:dyDescent="0.2">
      <c r="A3636" s="42"/>
      <c r="B3636" s="42"/>
      <c r="C3636" s="42"/>
      <c r="D3636" s="42"/>
      <c r="E3636" s="42"/>
      <c r="F3636" s="42"/>
      <c r="G3636" s="42"/>
      <c r="H3636" s="42"/>
      <c r="I3636" s="42"/>
      <c r="J3636" s="42"/>
      <c r="K3636" s="42"/>
      <c r="L3636" s="42"/>
      <c r="M3636" s="42"/>
    </row>
    <row r="3637" spans="1:13" x14ac:dyDescent="0.2">
      <c r="A3637" s="42"/>
      <c r="B3637" s="42"/>
      <c r="C3637" s="42"/>
      <c r="D3637" s="42"/>
      <c r="E3637" s="42"/>
      <c r="F3637" s="42"/>
      <c r="G3637" s="42"/>
      <c r="H3637" s="42"/>
      <c r="I3637" s="42"/>
      <c r="J3637" s="42"/>
      <c r="K3637" s="42"/>
      <c r="L3637" s="42"/>
      <c r="M3637" s="42"/>
    </row>
    <row r="3638" spans="1:13" x14ac:dyDescent="0.2">
      <c r="A3638" s="42"/>
      <c r="B3638" s="42"/>
      <c r="C3638" s="42"/>
      <c r="D3638" s="42"/>
      <c r="E3638" s="42"/>
      <c r="F3638" s="42"/>
      <c r="G3638" s="42"/>
      <c r="H3638" s="42"/>
      <c r="I3638" s="42"/>
      <c r="J3638" s="42"/>
      <c r="K3638" s="42"/>
      <c r="L3638" s="42"/>
      <c r="M3638" s="42"/>
    </row>
    <row r="3639" spans="1:13" x14ac:dyDescent="0.2">
      <c r="A3639" s="42"/>
      <c r="B3639" s="42"/>
      <c r="C3639" s="42"/>
      <c r="D3639" s="42"/>
      <c r="E3639" s="42"/>
      <c r="F3639" s="42"/>
      <c r="G3639" s="42"/>
      <c r="H3639" s="42"/>
      <c r="I3639" s="42"/>
      <c r="J3639" s="42"/>
      <c r="K3639" s="42"/>
      <c r="L3639" s="42"/>
      <c r="M3639" s="42"/>
    </row>
    <row r="3640" spans="1:13" x14ac:dyDescent="0.2">
      <c r="A3640" s="42"/>
      <c r="B3640" s="42"/>
      <c r="C3640" s="42"/>
      <c r="D3640" s="42"/>
      <c r="E3640" s="42"/>
      <c r="F3640" s="42"/>
      <c r="G3640" s="42"/>
      <c r="H3640" s="42"/>
      <c r="I3640" s="42"/>
      <c r="J3640" s="42"/>
      <c r="K3640" s="42"/>
      <c r="L3640" s="42"/>
      <c r="M3640" s="42"/>
    </row>
    <row r="3641" spans="1:13" x14ac:dyDescent="0.2">
      <c r="A3641" s="42"/>
      <c r="B3641" s="42"/>
      <c r="C3641" s="42"/>
      <c r="D3641" s="42"/>
      <c r="E3641" s="42"/>
      <c r="F3641" s="42"/>
      <c r="G3641" s="42"/>
      <c r="H3641" s="42"/>
      <c r="I3641" s="42"/>
      <c r="J3641" s="42"/>
      <c r="K3641" s="42"/>
      <c r="L3641" s="42"/>
      <c r="M3641" s="42"/>
    </row>
    <row r="3642" spans="1:13" x14ac:dyDescent="0.2">
      <c r="A3642" s="42"/>
      <c r="B3642" s="42"/>
      <c r="C3642" s="42"/>
      <c r="D3642" s="42"/>
      <c r="E3642" s="42"/>
      <c r="F3642" s="42"/>
      <c r="G3642" s="42"/>
      <c r="H3642" s="42"/>
      <c r="I3642" s="42"/>
      <c r="J3642" s="42"/>
      <c r="K3642" s="42"/>
      <c r="L3642" s="42"/>
      <c r="M3642" s="42"/>
    </row>
    <row r="3643" spans="1:13" x14ac:dyDescent="0.2">
      <c r="A3643" s="42"/>
      <c r="B3643" s="42"/>
      <c r="C3643" s="42"/>
      <c r="D3643" s="42"/>
      <c r="E3643" s="42"/>
      <c r="F3643" s="42"/>
      <c r="G3643" s="42"/>
      <c r="H3643" s="42"/>
      <c r="I3643" s="42"/>
      <c r="J3643" s="42"/>
      <c r="K3643" s="42"/>
      <c r="L3643" s="42"/>
      <c r="M3643" s="42"/>
    </row>
    <row r="3644" spans="1:13" x14ac:dyDescent="0.2">
      <c r="A3644" s="42"/>
      <c r="B3644" s="42"/>
      <c r="C3644" s="42"/>
      <c r="D3644" s="42"/>
      <c r="E3644" s="42"/>
      <c r="F3644" s="42"/>
      <c r="G3644" s="42"/>
      <c r="H3644" s="42"/>
      <c r="I3644" s="42"/>
      <c r="J3644" s="42"/>
      <c r="K3644" s="42"/>
      <c r="L3644" s="42"/>
      <c r="M3644" s="42"/>
    </row>
    <row r="3645" spans="1:13" x14ac:dyDescent="0.2">
      <c r="A3645" s="42"/>
      <c r="B3645" s="42"/>
      <c r="C3645" s="42"/>
      <c r="D3645" s="42"/>
      <c r="E3645" s="42"/>
      <c r="F3645" s="42"/>
      <c r="G3645" s="42"/>
      <c r="H3645" s="42"/>
      <c r="I3645" s="42"/>
      <c r="J3645" s="42"/>
      <c r="K3645" s="42"/>
      <c r="L3645" s="42"/>
      <c r="M3645" s="42"/>
    </row>
    <row r="3646" spans="1:13" x14ac:dyDescent="0.2">
      <c r="A3646" s="42"/>
      <c r="B3646" s="42"/>
      <c r="C3646" s="42"/>
      <c r="D3646" s="42"/>
      <c r="E3646" s="42"/>
      <c r="F3646" s="42"/>
      <c r="G3646" s="42"/>
      <c r="H3646" s="42"/>
      <c r="I3646" s="42"/>
      <c r="J3646" s="42"/>
      <c r="K3646" s="42"/>
      <c r="L3646" s="42"/>
      <c r="M3646" s="42"/>
    </row>
    <row r="3647" spans="1:13" x14ac:dyDescent="0.2">
      <c r="A3647" s="42"/>
      <c r="B3647" s="42"/>
      <c r="C3647" s="42"/>
      <c r="D3647" s="42"/>
      <c r="E3647" s="42"/>
      <c r="F3647" s="42"/>
      <c r="G3647" s="42"/>
      <c r="H3647" s="42"/>
      <c r="I3647" s="42"/>
      <c r="J3647" s="42"/>
      <c r="K3647" s="42"/>
      <c r="L3647" s="42"/>
      <c r="M3647" s="42"/>
    </row>
    <row r="3648" spans="1:13" x14ac:dyDescent="0.2">
      <c r="A3648" s="42"/>
      <c r="B3648" s="42"/>
      <c r="C3648" s="42"/>
      <c r="D3648" s="42"/>
      <c r="E3648" s="42"/>
      <c r="F3648" s="42"/>
      <c r="G3648" s="42"/>
      <c r="H3648" s="42"/>
      <c r="I3648" s="42"/>
      <c r="J3648" s="42"/>
      <c r="K3648" s="42"/>
      <c r="L3648" s="42"/>
      <c r="M3648" s="42"/>
    </row>
    <row r="3649" spans="1:13" x14ac:dyDescent="0.2">
      <c r="A3649" s="42"/>
      <c r="B3649" s="42"/>
      <c r="C3649" s="42"/>
      <c r="D3649" s="42"/>
      <c r="E3649" s="42"/>
      <c r="F3649" s="42"/>
      <c r="G3649" s="42"/>
      <c r="H3649" s="42"/>
      <c r="I3649" s="42"/>
      <c r="J3649" s="42"/>
      <c r="K3649" s="42"/>
      <c r="L3649" s="42"/>
      <c r="M3649" s="42"/>
    </row>
    <row r="3650" spans="1:13" x14ac:dyDescent="0.2">
      <c r="A3650" s="42"/>
      <c r="B3650" s="42"/>
      <c r="C3650" s="42"/>
      <c r="D3650" s="42"/>
      <c r="E3650" s="42"/>
      <c r="F3650" s="42"/>
      <c r="G3650" s="42"/>
      <c r="H3650" s="42"/>
      <c r="I3650" s="42"/>
      <c r="J3650" s="42"/>
      <c r="K3650" s="42"/>
      <c r="L3650" s="42"/>
      <c r="M3650" s="42"/>
    </row>
    <row r="3651" spans="1:13" x14ac:dyDescent="0.2">
      <c r="A3651" s="42"/>
      <c r="B3651" s="42"/>
      <c r="C3651" s="42"/>
      <c r="D3651" s="42"/>
      <c r="E3651" s="42"/>
      <c r="F3651" s="42"/>
      <c r="G3651" s="42"/>
      <c r="H3651" s="42"/>
      <c r="I3651" s="42"/>
      <c r="J3651" s="42"/>
      <c r="K3651" s="42"/>
      <c r="L3651" s="42"/>
      <c r="M3651" s="42"/>
    </row>
    <row r="3652" spans="1:13" x14ac:dyDescent="0.2">
      <c r="A3652" s="42"/>
      <c r="B3652" s="42"/>
      <c r="C3652" s="42"/>
      <c r="D3652" s="42"/>
      <c r="E3652" s="42"/>
      <c r="F3652" s="42"/>
      <c r="G3652" s="42"/>
      <c r="H3652" s="42"/>
      <c r="I3652" s="42"/>
      <c r="J3652" s="42"/>
      <c r="K3652" s="42"/>
      <c r="L3652" s="42"/>
      <c r="M3652" s="42"/>
    </row>
    <row r="3653" spans="1:13" x14ac:dyDescent="0.2">
      <c r="A3653" s="42"/>
      <c r="B3653" s="42"/>
      <c r="C3653" s="42"/>
      <c r="D3653" s="42"/>
      <c r="E3653" s="42"/>
      <c r="F3653" s="42"/>
      <c r="G3653" s="42"/>
      <c r="H3653" s="42"/>
      <c r="I3653" s="42"/>
      <c r="J3653" s="42"/>
      <c r="K3653" s="42"/>
      <c r="L3653" s="42"/>
      <c r="M3653" s="42"/>
    </row>
    <row r="3654" spans="1:13" x14ac:dyDescent="0.2">
      <c r="A3654" s="42"/>
      <c r="B3654" s="42"/>
      <c r="C3654" s="42"/>
      <c r="D3654" s="42"/>
      <c r="E3654" s="42"/>
      <c r="F3654" s="42"/>
      <c r="G3654" s="42"/>
      <c r="H3654" s="42"/>
      <c r="I3654" s="42"/>
      <c r="J3654" s="42"/>
      <c r="K3654" s="42"/>
      <c r="L3654" s="42"/>
      <c r="M3654" s="42"/>
    </row>
    <row r="3655" spans="1:13" x14ac:dyDescent="0.2">
      <c r="A3655" s="42"/>
      <c r="B3655" s="42"/>
      <c r="C3655" s="42"/>
      <c r="D3655" s="42"/>
      <c r="E3655" s="42"/>
      <c r="F3655" s="42"/>
      <c r="G3655" s="42"/>
      <c r="H3655" s="42"/>
      <c r="I3655" s="42"/>
      <c r="J3655" s="42"/>
      <c r="K3655" s="42"/>
      <c r="L3655" s="42"/>
      <c r="M3655" s="42"/>
    </row>
    <row r="3656" spans="1:13" x14ac:dyDescent="0.2">
      <c r="A3656" s="42"/>
      <c r="B3656" s="42"/>
      <c r="C3656" s="42"/>
      <c r="D3656" s="42"/>
      <c r="E3656" s="42"/>
      <c r="F3656" s="42"/>
      <c r="G3656" s="42"/>
      <c r="H3656" s="42"/>
      <c r="I3656" s="42"/>
      <c r="J3656" s="42"/>
      <c r="K3656" s="42"/>
      <c r="L3656" s="42"/>
      <c r="M3656" s="42"/>
    </row>
    <row r="3657" spans="1:13" x14ac:dyDescent="0.2">
      <c r="A3657" s="42"/>
      <c r="B3657" s="42"/>
      <c r="C3657" s="42"/>
      <c r="D3657" s="42"/>
      <c r="E3657" s="42"/>
      <c r="F3657" s="42"/>
      <c r="G3657" s="42"/>
      <c r="H3657" s="42"/>
      <c r="I3657" s="42"/>
      <c r="J3657" s="42"/>
      <c r="K3657" s="42"/>
      <c r="L3657" s="42"/>
      <c r="M3657" s="42"/>
    </row>
    <row r="3658" spans="1:13" x14ac:dyDescent="0.2">
      <c r="A3658" s="42"/>
      <c r="B3658" s="42"/>
      <c r="C3658" s="42"/>
      <c r="D3658" s="42"/>
      <c r="E3658" s="42"/>
      <c r="F3658" s="42"/>
      <c r="G3658" s="42"/>
      <c r="H3658" s="42"/>
      <c r="I3658" s="42"/>
      <c r="J3658" s="42"/>
      <c r="K3658" s="42"/>
      <c r="L3658" s="42"/>
      <c r="M3658" s="42"/>
    </row>
    <row r="3659" spans="1:13" x14ac:dyDescent="0.2">
      <c r="A3659" s="42"/>
      <c r="B3659" s="42"/>
      <c r="C3659" s="42"/>
      <c r="D3659" s="42"/>
      <c r="E3659" s="42"/>
      <c r="F3659" s="42"/>
      <c r="G3659" s="42"/>
      <c r="H3659" s="42"/>
      <c r="I3659" s="42"/>
      <c r="J3659" s="42"/>
      <c r="K3659" s="42"/>
      <c r="L3659" s="42"/>
      <c r="M3659" s="42"/>
    </row>
    <row r="3660" spans="1:13" x14ac:dyDescent="0.2">
      <c r="A3660" s="42"/>
      <c r="B3660" s="42"/>
      <c r="C3660" s="42"/>
      <c r="D3660" s="42"/>
      <c r="E3660" s="42"/>
      <c r="F3660" s="42"/>
      <c r="G3660" s="42"/>
      <c r="H3660" s="42"/>
      <c r="I3660" s="42"/>
      <c r="J3660" s="42"/>
      <c r="K3660" s="42"/>
      <c r="L3660" s="42"/>
      <c r="M3660" s="42"/>
    </row>
    <row r="3661" spans="1:13" x14ac:dyDescent="0.2">
      <c r="A3661" s="42"/>
      <c r="B3661" s="42"/>
      <c r="C3661" s="42"/>
      <c r="D3661" s="42"/>
      <c r="E3661" s="42"/>
      <c r="F3661" s="42"/>
      <c r="G3661" s="42"/>
      <c r="H3661" s="42"/>
      <c r="I3661" s="42"/>
      <c r="J3661" s="42"/>
      <c r="K3661" s="42"/>
      <c r="L3661" s="42"/>
      <c r="M3661" s="42"/>
    </row>
    <row r="3662" spans="1:13" x14ac:dyDescent="0.2">
      <c r="A3662" s="42"/>
      <c r="B3662" s="42"/>
      <c r="C3662" s="42"/>
      <c r="D3662" s="42"/>
      <c r="E3662" s="42"/>
      <c r="F3662" s="42"/>
      <c r="G3662" s="42"/>
      <c r="H3662" s="42"/>
      <c r="I3662" s="42"/>
      <c r="J3662" s="42"/>
      <c r="K3662" s="42"/>
      <c r="L3662" s="42"/>
      <c r="M3662" s="42"/>
    </row>
    <row r="3663" spans="1:13" x14ac:dyDescent="0.2">
      <c r="A3663" s="42"/>
      <c r="B3663" s="42"/>
      <c r="C3663" s="42"/>
      <c r="D3663" s="42"/>
      <c r="E3663" s="42"/>
      <c r="F3663" s="42"/>
      <c r="G3663" s="42"/>
      <c r="H3663" s="42"/>
      <c r="I3663" s="42"/>
      <c r="J3663" s="42"/>
      <c r="K3663" s="42"/>
      <c r="L3663" s="42"/>
      <c r="M3663" s="42"/>
    </row>
    <row r="3664" spans="1:13" x14ac:dyDescent="0.2">
      <c r="A3664" s="42"/>
      <c r="B3664" s="42"/>
      <c r="C3664" s="42"/>
      <c r="D3664" s="42"/>
      <c r="E3664" s="42"/>
      <c r="F3664" s="42"/>
      <c r="G3664" s="42"/>
      <c r="H3664" s="42"/>
      <c r="I3664" s="42"/>
      <c r="J3664" s="42"/>
      <c r="K3664" s="42"/>
      <c r="L3664" s="42"/>
      <c r="M3664" s="42"/>
    </row>
    <row r="3665" spans="1:13" x14ac:dyDescent="0.2">
      <c r="A3665" s="42"/>
      <c r="B3665" s="42"/>
      <c r="C3665" s="42"/>
      <c r="D3665" s="42"/>
      <c r="E3665" s="42"/>
      <c r="F3665" s="42"/>
      <c r="G3665" s="42"/>
      <c r="H3665" s="42"/>
      <c r="I3665" s="42"/>
      <c r="J3665" s="42"/>
      <c r="K3665" s="42"/>
      <c r="L3665" s="42"/>
      <c r="M3665" s="42"/>
    </row>
    <row r="3666" spans="1:13" x14ac:dyDescent="0.2">
      <c r="A3666" s="42"/>
      <c r="B3666" s="42"/>
      <c r="C3666" s="42"/>
      <c r="D3666" s="42"/>
      <c r="E3666" s="42"/>
      <c r="F3666" s="42"/>
      <c r="G3666" s="42"/>
      <c r="H3666" s="42"/>
      <c r="I3666" s="42"/>
      <c r="J3666" s="42"/>
      <c r="K3666" s="42"/>
      <c r="L3666" s="42"/>
      <c r="M3666" s="42"/>
    </row>
    <row r="3667" spans="1:13" x14ac:dyDescent="0.2">
      <c r="A3667" s="42"/>
      <c r="B3667" s="42"/>
      <c r="C3667" s="42"/>
      <c r="D3667" s="42"/>
      <c r="E3667" s="42"/>
      <c r="F3667" s="42"/>
      <c r="G3667" s="42"/>
      <c r="H3667" s="42"/>
      <c r="I3667" s="42"/>
      <c r="J3667" s="42"/>
      <c r="K3667" s="42"/>
      <c r="L3667" s="42"/>
      <c r="M3667" s="42"/>
    </row>
    <row r="3668" spans="1:13" x14ac:dyDescent="0.2">
      <c r="A3668" s="42"/>
      <c r="B3668" s="42"/>
      <c r="C3668" s="42"/>
      <c r="D3668" s="42"/>
      <c r="E3668" s="42"/>
      <c r="F3668" s="42"/>
      <c r="G3668" s="42"/>
      <c r="H3668" s="42"/>
      <c r="I3668" s="42"/>
      <c r="J3668" s="42"/>
      <c r="K3668" s="42"/>
      <c r="L3668" s="42"/>
      <c r="M3668" s="42"/>
    </row>
    <row r="3669" spans="1:13" x14ac:dyDescent="0.2">
      <c r="A3669" s="42"/>
      <c r="B3669" s="42"/>
      <c r="C3669" s="42"/>
      <c r="D3669" s="42"/>
      <c r="E3669" s="42"/>
      <c r="F3669" s="42"/>
      <c r="G3669" s="42"/>
      <c r="H3669" s="42"/>
      <c r="I3669" s="42"/>
      <c r="J3669" s="42"/>
      <c r="K3669" s="42"/>
      <c r="L3669" s="42"/>
      <c r="M3669" s="42"/>
    </row>
    <row r="3670" spans="1:13" x14ac:dyDescent="0.2">
      <c r="A3670" s="42"/>
      <c r="B3670" s="42"/>
      <c r="C3670" s="42"/>
      <c r="D3670" s="42"/>
      <c r="E3670" s="42"/>
      <c r="F3670" s="42"/>
      <c r="G3670" s="42"/>
      <c r="H3670" s="42"/>
      <c r="I3670" s="42"/>
      <c r="J3670" s="42"/>
      <c r="K3670" s="42"/>
      <c r="L3670" s="42"/>
      <c r="M3670" s="42"/>
    </row>
    <row r="3671" spans="1:13" x14ac:dyDescent="0.2">
      <c r="A3671" s="42"/>
      <c r="B3671" s="42"/>
      <c r="C3671" s="42"/>
      <c r="D3671" s="42"/>
      <c r="E3671" s="42"/>
      <c r="F3671" s="42"/>
      <c r="G3671" s="42"/>
      <c r="H3671" s="42"/>
      <c r="I3671" s="42"/>
      <c r="J3671" s="42"/>
      <c r="K3671" s="42"/>
      <c r="L3671" s="42"/>
      <c r="M3671" s="42"/>
    </row>
    <row r="3672" spans="1:13" x14ac:dyDescent="0.2">
      <c r="A3672" s="42"/>
      <c r="B3672" s="42"/>
      <c r="C3672" s="42"/>
      <c r="D3672" s="42"/>
      <c r="E3672" s="42"/>
      <c r="F3672" s="42"/>
      <c r="G3672" s="42"/>
      <c r="H3672" s="42"/>
      <c r="I3672" s="42"/>
      <c r="J3672" s="42"/>
      <c r="K3672" s="42"/>
      <c r="L3672" s="42"/>
      <c r="M3672" s="42"/>
    </row>
    <row r="3673" spans="1:13" x14ac:dyDescent="0.2">
      <c r="A3673" s="42"/>
      <c r="B3673" s="42"/>
      <c r="C3673" s="42"/>
      <c r="D3673" s="42"/>
      <c r="E3673" s="42"/>
      <c r="F3673" s="42"/>
      <c r="G3673" s="42"/>
      <c r="H3673" s="42"/>
      <c r="I3673" s="42"/>
      <c r="J3673" s="42"/>
      <c r="K3673" s="42"/>
      <c r="L3673" s="42"/>
      <c r="M3673" s="42"/>
    </row>
    <row r="3674" spans="1:13" x14ac:dyDescent="0.2">
      <c r="A3674" s="42"/>
      <c r="B3674" s="42"/>
      <c r="C3674" s="42"/>
      <c r="D3674" s="42"/>
      <c r="E3674" s="42"/>
      <c r="F3674" s="42"/>
      <c r="G3674" s="42"/>
      <c r="H3674" s="42"/>
      <c r="I3674" s="42"/>
      <c r="J3674" s="42"/>
      <c r="K3674" s="42"/>
      <c r="L3674" s="42"/>
      <c r="M3674" s="42"/>
    </row>
    <row r="3675" spans="1:13" x14ac:dyDescent="0.2">
      <c r="A3675" s="42"/>
      <c r="B3675" s="42"/>
      <c r="C3675" s="42"/>
      <c r="D3675" s="42"/>
      <c r="E3675" s="42"/>
      <c r="F3675" s="42"/>
      <c r="G3675" s="42"/>
      <c r="H3675" s="42"/>
      <c r="I3675" s="42"/>
      <c r="J3675" s="42"/>
      <c r="K3675" s="42"/>
      <c r="L3675" s="42"/>
      <c r="M3675" s="42"/>
    </row>
    <row r="3676" spans="1:13" x14ac:dyDescent="0.2">
      <c r="A3676" s="42"/>
      <c r="B3676" s="42"/>
      <c r="C3676" s="42"/>
      <c r="D3676" s="42"/>
      <c r="E3676" s="42"/>
      <c r="F3676" s="42"/>
      <c r="G3676" s="42"/>
      <c r="H3676" s="42"/>
      <c r="I3676" s="42"/>
      <c r="J3676" s="42"/>
      <c r="K3676" s="42"/>
      <c r="L3676" s="42"/>
      <c r="M3676" s="42"/>
    </row>
    <row r="3677" spans="1:13" x14ac:dyDescent="0.2">
      <c r="A3677" s="42"/>
      <c r="B3677" s="42"/>
      <c r="C3677" s="42"/>
      <c r="D3677" s="42"/>
      <c r="E3677" s="42"/>
      <c r="F3677" s="42"/>
      <c r="G3677" s="42"/>
      <c r="H3677" s="42"/>
      <c r="I3677" s="42"/>
      <c r="J3677" s="42"/>
      <c r="K3677" s="42"/>
      <c r="L3677" s="42"/>
      <c r="M3677" s="42"/>
    </row>
    <row r="3678" spans="1:13" x14ac:dyDescent="0.2">
      <c r="A3678" s="42"/>
      <c r="B3678" s="42"/>
      <c r="C3678" s="42"/>
      <c r="D3678" s="42"/>
      <c r="E3678" s="42"/>
      <c r="F3678" s="42"/>
      <c r="G3678" s="42"/>
      <c r="H3678" s="42"/>
      <c r="I3678" s="42"/>
      <c r="J3678" s="42"/>
      <c r="K3678" s="42"/>
      <c r="L3678" s="42"/>
      <c r="M3678" s="42"/>
    </row>
    <row r="3679" spans="1:13" x14ac:dyDescent="0.2">
      <c r="A3679" s="42"/>
      <c r="B3679" s="42"/>
      <c r="C3679" s="42"/>
      <c r="D3679" s="42"/>
      <c r="E3679" s="42"/>
      <c r="F3679" s="42"/>
      <c r="G3679" s="42"/>
      <c r="H3679" s="42"/>
      <c r="I3679" s="42"/>
      <c r="J3679" s="42"/>
      <c r="K3679" s="42"/>
      <c r="L3679" s="42"/>
      <c r="M3679" s="42"/>
    </row>
    <row r="3680" spans="1:13" x14ac:dyDescent="0.2">
      <c r="A3680" s="42"/>
      <c r="B3680" s="42"/>
      <c r="C3680" s="42"/>
      <c r="D3680" s="42"/>
      <c r="E3680" s="42"/>
      <c r="F3680" s="42"/>
      <c r="G3680" s="42"/>
      <c r="H3680" s="42"/>
      <c r="I3680" s="42"/>
      <c r="J3680" s="42"/>
      <c r="K3680" s="42"/>
      <c r="L3680" s="42"/>
      <c r="M3680" s="42"/>
    </row>
    <row r="3681" spans="1:13" x14ac:dyDescent="0.2">
      <c r="A3681" s="42"/>
      <c r="B3681" s="42"/>
      <c r="C3681" s="42"/>
      <c r="D3681" s="42"/>
      <c r="E3681" s="42"/>
      <c r="F3681" s="42"/>
      <c r="G3681" s="42"/>
      <c r="H3681" s="42"/>
      <c r="I3681" s="42"/>
      <c r="J3681" s="42"/>
      <c r="K3681" s="42"/>
      <c r="L3681" s="42"/>
      <c r="M3681" s="42"/>
    </row>
    <row r="3682" spans="1:13" x14ac:dyDescent="0.2">
      <c r="A3682" s="42"/>
      <c r="B3682" s="42"/>
      <c r="C3682" s="42"/>
      <c r="D3682" s="42"/>
      <c r="E3682" s="42"/>
      <c r="F3682" s="42"/>
      <c r="G3682" s="42"/>
      <c r="H3682" s="42"/>
      <c r="I3682" s="42"/>
      <c r="J3682" s="42"/>
      <c r="K3682" s="42"/>
      <c r="L3682" s="42"/>
      <c r="M3682" s="42"/>
    </row>
    <row r="3683" spans="1:13" x14ac:dyDescent="0.2">
      <c r="A3683" s="42"/>
      <c r="B3683" s="42"/>
      <c r="C3683" s="42"/>
      <c r="D3683" s="42"/>
      <c r="E3683" s="42"/>
      <c r="F3683" s="42"/>
      <c r="G3683" s="42"/>
      <c r="H3683" s="42"/>
      <c r="I3683" s="42"/>
      <c r="J3683" s="42"/>
      <c r="K3683" s="42"/>
      <c r="L3683" s="42"/>
      <c r="M3683" s="42"/>
    </row>
    <row r="3684" spans="1:13" x14ac:dyDescent="0.2">
      <c r="A3684" s="42"/>
      <c r="B3684" s="42"/>
      <c r="C3684" s="42"/>
      <c r="D3684" s="42"/>
      <c r="E3684" s="42"/>
      <c r="F3684" s="42"/>
      <c r="G3684" s="42"/>
      <c r="H3684" s="42"/>
      <c r="I3684" s="42"/>
      <c r="J3684" s="42"/>
      <c r="K3684" s="42"/>
      <c r="L3684" s="42"/>
      <c r="M3684" s="42"/>
    </row>
    <row r="3685" spans="1:13" x14ac:dyDescent="0.2">
      <c r="A3685" s="42"/>
      <c r="B3685" s="42"/>
      <c r="C3685" s="42"/>
      <c r="D3685" s="42"/>
      <c r="E3685" s="42"/>
      <c r="F3685" s="42"/>
      <c r="G3685" s="42"/>
      <c r="H3685" s="42"/>
      <c r="I3685" s="42"/>
      <c r="J3685" s="42"/>
      <c r="K3685" s="42"/>
      <c r="L3685" s="42"/>
      <c r="M3685" s="42"/>
    </row>
    <row r="3686" spans="1:13" x14ac:dyDescent="0.2">
      <c r="A3686" s="42"/>
      <c r="B3686" s="42"/>
      <c r="C3686" s="42"/>
      <c r="D3686" s="42"/>
      <c r="E3686" s="42"/>
      <c r="F3686" s="42"/>
      <c r="G3686" s="42"/>
      <c r="H3686" s="42"/>
      <c r="I3686" s="42"/>
      <c r="J3686" s="42"/>
      <c r="K3686" s="42"/>
      <c r="L3686" s="42"/>
      <c r="M3686" s="42"/>
    </row>
    <row r="3687" spans="1:13" x14ac:dyDescent="0.2">
      <c r="A3687" s="42"/>
      <c r="B3687" s="42"/>
      <c r="C3687" s="42"/>
      <c r="D3687" s="42"/>
      <c r="E3687" s="42"/>
      <c r="F3687" s="42"/>
      <c r="G3687" s="42"/>
      <c r="H3687" s="42"/>
      <c r="I3687" s="42"/>
      <c r="J3687" s="42"/>
      <c r="K3687" s="42"/>
      <c r="L3687" s="42"/>
      <c r="M3687" s="42"/>
    </row>
    <row r="3688" spans="1:13" x14ac:dyDescent="0.2">
      <c r="A3688" s="42"/>
      <c r="B3688" s="42"/>
      <c r="C3688" s="42"/>
      <c r="D3688" s="42"/>
      <c r="E3688" s="42"/>
      <c r="F3688" s="42"/>
      <c r="G3688" s="42"/>
      <c r="H3688" s="42"/>
      <c r="I3688" s="42"/>
      <c r="J3688" s="42"/>
      <c r="K3688" s="42"/>
      <c r="L3688" s="42"/>
      <c r="M3688" s="42"/>
    </row>
    <row r="3689" spans="1:13" x14ac:dyDescent="0.2">
      <c r="A3689" s="42"/>
      <c r="B3689" s="42"/>
      <c r="C3689" s="42"/>
      <c r="D3689" s="42"/>
      <c r="E3689" s="42"/>
      <c r="F3689" s="42"/>
      <c r="G3689" s="42"/>
      <c r="H3689" s="42"/>
      <c r="I3689" s="42"/>
      <c r="J3689" s="42"/>
      <c r="K3689" s="42"/>
      <c r="L3689" s="42"/>
      <c r="M3689" s="42"/>
    </row>
    <row r="3690" spans="1:13" x14ac:dyDescent="0.2">
      <c r="A3690" s="42"/>
      <c r="B3690" s="42"/>
      <c r="C3690" s="42"/>
      <c r="D3690" s="42"/>
      <c r="E3690" s="42"/>
      <c r="F3690" s="42"/>
      <c r="G3690" s="42"/>
      <c r="H3690" s="42"/>
      <c r="I3690" s="42"/>
      <c r="J3690" s="42"/>
      <c r="K3690" s="42"/>
      <c r="L3690" s="42"/>
      <c r="M3690" s="42"/>
    </row>
    <row r="3691" spans="1:13" x14ac:dyDescent="0.2">
      <c r="A3691" s="42"/>
      <c r="B3691" s="42"/>
      <c r="C3691" s="42"/>
      <c r="D3691" s="42"/>
      <c r="E3691" s="42"/>
      <c r="F3691" s="42"/>
      <c r="G3691" s="42"/>
      <c r="H3691" s="42"/>
      <c r="I3691" s="42"/>
      <c r="J3691" s="42"/>
      <c r="K3691" s="42"/>
      <c r="L3691" s="42"/>
      <c r="M3691" s="42"/>
    </row>
    <row r="3692" spans="1:13" x14ac:dyDescent="0.2">
      <c r="A3692" s="42"/>
      <c r="B3692" s="42"/>
      <c r="C3692" s="42"/>
      <c r="D3692" s="42"/>
      <c r="E3692" s="42"/>
      <c r="F3692" s="42"/>
      <c r="G3692" s="42"/>
      <c r="H3692" s="42"/>
      <c r="I3692" s="42"/>
      <c r="J3692" s="42"/>
      <c r="K3692" s="42"/>
      <c r="L3692" s="42"/>
      <c r="M3692" s="42"/>
    </row>
    <row r="3693" spans="1:13" x14ac:dyDescent="0.2">
      <c r="A3693" s="42"/>
      <c r="B3693" s="42"/>
      <c r="C3693" s="42"/>
      <c r="D3693" s="42"/>
      <c r="E3693" s="42"/>
      <c r="F3693" s="42"/>
      <c r="G3693" s="42"/>
      <c r="H3693" s="42"/>
      <c r="I3693" s="42"/>
      <c r="J3693" s="42"/>
      <c r="K3693" s="42"/>
      <c r="L3693" s="42"/>
      <c r="M3693" s="42"/>
    </row>
    <row r="3694" spans="1:13" x14ac:dyDescent="0.2">
      <c r="A3694" s="42"/>
      <c r="B3694" s="42"/>
      <c r="C3694" s="42"/>
      <c r="D3694" s="42"/>
      <c r="E3694" s="42"/>
      <c r="F3694" s="42"/>
      <c r="G3694" s="42"/>
      <c r="H3694" s="42"/>
      <c r="I3694" s="42"/>
      <c r="J3694" s="42"/>
      <c r="K3694" s="42"/>
      <c r="L3694" s="42"/>
      <c r="M3694" s="42"/>
    </row>
    <row r="3695" spans="1:13" x14ac:dyDescent="0.2">
      <c r="A3695" s="42"/>
      <c r="B3695" s="42"/>
      <c r="C3695" s="42"/>
      <c r="D3695" s="42"/>
      <c r="E3695" s="42"/>
      <c r="F3695" s="42"/>
      <c r="G3695" s="42"/>
      <c r="H3695" s="42"/>
      <c r="I3695" s="42"/>
      <c r="J3695" s="42"/>
      <c r="K3695" s="42"/>
      <c r="L3695" s="42"/>
      <c r="M3695" s="42"/>
    </row>
    <row r="3696" spans="1:13" x14ac:dyDescent="0.2">
      <c r="A3696" s="42"/>
      <c r="B3696" s="42"/>
      <c r="C3696" s="42"/>
      <c r="D3696" s="42"/>
      <c r="E3696" s="42"/>
      <c r="F3696" s="42"/>
      <c r="G3696" s="42"/>
      <c r="H3696" s="42"/>
      <c r="I3696" s="42"/>
      <c r="J3696" s="42"/>
      <c r="K3696" s="42"/>
      <c r="L3696" s="42"/>
      <c r="M3696" s="42"/>
    </row>
    <row r="3697" spans="1:13" x14ac:dyDescent="0.2">
      <c r="A3697" s="42"/>
      <c r="B3697" s="42"/>
      <c r="C3697" s="42"/>
      <c r="D3697" s="42"/>
      <c r="E3697" s="42"/>
      <c r="F3697" s="42"/>
      <c r="G3697" s="42"/>
      <c r="H3697" s="42"/>
      <c r="I3697" s="42"/>
      <c r="J3697" s="42"/>
      <c r="K3697" s="42"/>
      <c r="L3697" s="42"/>
      <c r="M3697" s="42"/>
    </row>
    <row r="3698" spans="1:13" x14ac:dyDescent="0.2">
      <c r="A3698" s="42"/>
      <c r="B3698" s="42"/>
      <c r="C3698" s="42"/>
      <c r="D3698" s="42"/>
      <c r="E3698" s="42"/>
      <c r="F3698" s="42"/>
      <c r="G3698" s="42"/>
      <c r="H3698" s="42"/>
      <c r="I3698" s="42"/>
      <c r="J3698" s="42"/>
      <c r="K3698" s="42"/>
      <c r="L3698" s="42"/>
      <c r="M3698" s="42"/>
    </row>
    <row r="3699" spans="1:13" x14ac:dyDescent="0.2">
      <c r="A3699" s="42"/>
      <c r="B3699" s="42"/>
      <c r="C3699" s="42"/>
      <c r="D3699" s="42"/>
      <c r="E3699" s="42"/>
      <c r="F3699" s="42"/>
      <c r="G3699" s="42"/>
      <c r="H3699" s="42"/>
      <c r="I3699" s="42"/>
      <c r="J3699" s="42"/>
      <c r="K3699" s="42"/>
      <c r="L3699" s="42"/>
      <c r="M3699" s="42"/>
    </row>
    <row r="3700" spans="1:13" x14ac:dyDescent="0.2">
      <c r="A3700" s="42"/>
      <c r="B3700" s="42"/>
      <c r="C3700" s="42"/>
      <c r="D3700" s="42"/>
      <c r="E3700" s="42"/>
      <c r="F3700" s="42"/>
      <c r="G3700" s="42"/>
      <c r="H3700" s="42"/>
      <c r="I3700" s="42"/>
      <c r="J3700" s="42"/>
      <c r="K3700" s="42"/>
      <c r="L3700" s="42"/>
      <c r="M3700" s="42"/>
    </row>
    <row r="3701" spans="1:13" x14ac:dyDescent="0.2">
      <c r="A3701" s="42"/>
      <c r="B3701" s="42"/>
      <c r="C3701" s="42"/>
      <c r="D3701" s="42"/>
      <c r="E3701" s="42"/>
      <c r="F3701" s="42"/>
      <c r="G3701" s="42"/>
      <c r="H3701" s="42"/>
      <c r="I3701" s="42"/>
      <c r="J3701" s="42"/>
      <c r="K3701" s="42"/>
      <c r="L3701" s="42"/>
      <c r="M3701" s="42"/>
    </row>
    <row r="3702" spans="1:13" x14ac:dyDescent="0.2">
      <c r="A3702" s="42"/>
      <c r="B3702" s="42"/>
      <c r="C3702" s="42"/>
      <c r="D3702" s="42"/>
      <c r="E3702" s="42"/>
      <c r="F3702" s="42"/>
      <c r="G3702" s="42"/>
      <c r="H3702" s="42"/>
      <c r="I3702" s="42"/>
      <c r="J3702" s="42"/>
      <c r="K3702" s="42"/>
      <c r="L3702" s="42"/>
      <c r="M3702" s="42"/>
    </row>
    <row r="3703" spans="1:13" x14ac:dyDescent="0.2">
      <c r="A3703" s="42"/>
      <c r="B3703" s="42"/>
      <c r="C3703" s="42"/>
      <c r="D3703" s="42"/>
      <c r="E3703" s="42"/>
      <c r="F3703" s="42"/>
      <c r="G3703" s="42"/>
      <c r="H3703" s="42"/>
      <c r="I3703" s="42"/>
      <c r="J3703" s="42"/>
      <c r="K3703" s="42"/>
      <c r="L3703" s="42"/>
      <c r="M3703" s="42"/>
    </row>
    <row r="3704" spans="1:13" x14ac:dyDescent="0.2">
      <c r="A3704" s="42"/>
      <c r="B3704" s="42"/>
      <c r="C3704" s="42"/>
      <c r="D3704" s="42"/>
      <c r="E3704" s="42"/>
      <c r="F3704" s="42"/>
      <c r="G3704" s="42"/>
      <c r="H3704" s="42"/>
      <c r="I3704" s="42"/>
      <c r="J3704" s="42"/>
      <c r="K3704" s="42"/>
      <c r="L3704" s="42"/>
      <c r="M3704" s="42"/>
    </row>
    <row r="3705" spans="1:13" x14ac:dyDescent="0.2">
      <c r="A3705" s="42"/>
      <c r="B3705" s="42"/>
      <c r="C3705" s="42"/>
      <c r="D3705" s="42"/>
      <c r="E3705" s="42"/>
      <c r="F3705" s="42"/>
      <c r="G3705" s="42"/>
      <c r="H3705" s="42"/>
      <c r="I3705" s="42"/>
      <c r="J3705" s="42"/>
      <c r="K3705" s="42"/>
      <c r="L3705" s="42"/>
      <c r="M3705" s="42"/>
    </row>
    <row r="3706" spans="1:13" x14ac:dyDescent="0.2">
      <c r="A3706" s="42"/>
      <c r="B3706" s="42"/>
      <c r="C3706" s="42"/>
      <c r="D3706" s="42"/>
      <c r="E3706" s="42"/>
      <c r="F3706" s="42"/>
      <c r="G3706" s="42"/>
      <c r="H3706" s="42"/>
      <c r="I3706" s="42"/>
      <c r="J3706" s="42"/>
      <c r="K3706" s="42"/>
      <c r="L3706" s="42"/>
      <c r="M3706" s="42"/>
    </row>
    <row r="3707" spans="1:13" x14ac:dyDescent="0.2">
      <c r="A3707" s="42"/>
      <c r="B3707" s="42"/>
      <c r="C3707" s="42"/>
      <c r="D3707" s="42"/>
      <c r="E3707" s="42"/>
      <c r="F3707" s="42"/>
      <c r="G3707" s="42"/>
      <c r="H3707" s="42"/>
      <c r="I3707" s="42"/>
      <c r="J3707" s="42"/>
      <c r="K3707" s="42"/>
      <c r="L3707" s="42"/>
      <c r="M3707" s="42"/>
    </row>
    <row r="3708" spans="1:13" x14ac:dyDescent="0.2">
      <c r="A3708" s="42"/>
      <c r="B3708" s="42"/>
      <c r="C3708" s="42"/>
      <c r="D3708" s="42"/>
      <c r="E3708" s="42"/>
      <c r="F3708" s="42"/>
      <c r="G3708" s="42"/>
      <c r="H3708" s="42"/>
      <c r="I3708" s="42"/>
      <c r="J3708" s="42"/>
      <c r="K3708" s="42"/>
      <c r="L3708" s="42"/>
      <c r="M3708" s="42"/>
    </row>
    <row r="3709" spans="1:13" x14ac:dyDescent="0.2">
      <c r="A3709" s="42"/>
      <c r="B3709" s="42"/>
      <c r="C3709" s="42"/>
      <c r="D3709" s="42"/>
      <c r="E3709" s="42"/>
      <c r="F3709" s="42"/>
      <c r="G3709" s="42"/>
      <c r="H3709" s="42"/>
      <c r="I3709" s="42"/>
      <c r="J3709" s="42"/>
      <c r="K3709" s="42"/>
      <c r="L3709" s="42"/>
      <c r="M3709" s="42"/>
    </row>
    <row r="3710" spans="1:13" x14ac:dyDescent="0.2">
      <c r="A3710" s="42"/>
      <c r="B3710" s="42"/>
      <c r="C3710" s="42"/>
      <c r="D3710" s="42"/>
      <c r="E3710" s="42"/>
      <c r="F3710" s="42"/>
      <c r="G3710" s="42"/>
      <c r="H3710" s="42"/>
      <c r="I3710" s="42"/>
      <c r="J3710" s="42"/>
      <c r="K3710" s="42"/>
      <c r="L3710" s="42"/>
      <c r="M3710" s="42"/>
    </row>
    <row r="3711" spans="1:13" x14ac:dyDescent="0.2">
      <c r="A3711" s="42"/>
      <c r="B3711" s="42"/>
      <c r="C3711" s="42"/>
      <c r="D3711" s="42"/>
      <c r="E3711" s="42"/>
      <c r="F3711" s="42"/>
      <c r="G3711" s="42"/>
      <c r="H3711" s="42"/>
      <c r="I3711" s="42"/>
      <c r="J3711" s="42"/>
      <c r="K3711" s="42"/>
      <c r="L3711" s="42"/>
      <c r="M3711" s="42"/>
    </row>
    <row r="3712" spans="1:13" x14ac:dyDescent="0.2">
      <c r="A3712" s="42"/>
      <c r="B3712" s="42"/>
      <c r="C3712" s="42"/>
      <c r="D3712" s="42"/>
      <c r="E3712" s="42"/>
      <c r="F3712" s="42"/>
      <c r="G3712" s="42"/>
      <c r="H3712" s="42"/>
      <c r="I3712" s="42"/>
      <c r="J3712" s="42"/>
      <c r="K3712" s="42"/>
      <c r="L3712" s="42"/>
      <c r="M3712" s="42"/>
    </row>
    <row r="3713" spans="1:13" x14ac:dyDescent="0.2">
      <c r="A3713" s="42"/>
      <c r="B3713" s="42"/>
      <c r="C3713" s="42"/>
      <c r="D3713" s="42"/>
      <c r="E3713" s="42"/>
      <c r="F3713" s="42"/>
      <c r="G3713" s="42"/>
      <c r="H3713" s="42"/>
      <c r="I3713" s="42"/>
      <c r="J3713" s="42"/>
      <c r="K3713" s="42"/>
      <c r="L3713" s="42"/>
      <c r="M3713" s="42"/>
    </row>
    <row r="3714" spans="1:13" x14ac:dyDescent="0.2">
      <c r="A3714" s="42"/>
      <c r="B3714" s="42"/>
      <c r="C3714" s="42"/>
      <c r="D3714" s="42"/>
      <c r="E3714" s="42"/>
      <c r="F3714" s="42"/>
      <c r="G3714" s="42"/>
      <c r="H3714" s="42"/>
      <c r="I3714" s="42"/>
      <c r="J3714" s="42"/>
      <c r="K3714" s="42"/>
      <c r="L3714" s="42"/>
      <c r="M3714" s="42"/>
    </row>
    <row r="3715" spans="1:13" x14ac:dyDescent="0.2">
      <c r="A3715" s="42"/>
      <c r="B3715" s="42"/>
      <c r="C3715" s="42"/>
      <c r="D3715" s="42"/>
      <c r="E3715" s="42"/>
      <c r="F3715" s="42"/>
      <c r="G3715" s="42"/>
      <c r="H3715" s="42"/>
      <c r="I3715" s="42"/>
      <c r="J3715" s="42"/>
      <c r="K3715" s="42"/>
      <c r="L3715" s="42"/>
      <c r="M3715" s="42"/>
    </row>
    <row r="3716" spans="1:13" x14ac:dyDescent="0.2">
      <c r="A3716" s="42"/>
      <c r="B3716" s="42"/>
      <c r="C3716" s="42"/>
      <c r="D3716" s="42"/>
      <c r="E3716" s="42"/>
      <c r="F3716" s="42"/>
      <c r="G3716" s="42"/>
      <c r="H3716" s="42"/>
      <c r="I3716" s="42"/>
      <c r="J3716" s="42"/>
      <c r="K3716" s="42"/>
      <c r="L3716" s="42"/>
      <c r="M3716" s="42"/>
    </row>
    <row r="3717" spans="1:13" x14ac:dyDescent="0.2">
      <c r="A3717" s="42"/>
      <c r="B3717" s="42"/>
      <c r="C3717" s="42"/>
      <c r="D3717" s="42"/>
      <c r="E3717" s="42"/>
      <c r="F3717" s="42"/>
      <c r="G3717" s="42"/>
      <c r="H3717" s="42"/>
      <c r="I3717" s="42"/>
      <c r="J3717" s="42"/>
      <c r="K3717" s="42"/>
      <c r="L3717" s="42"/>
      <c r="M3717" s="42"/>
    </row>
    <row r="3718" spans="1:13" x14ac:dyDescent="0.2">
      <c r="A3718" s="42"/>
      <c r="B3718" s="42"/>
      <c r="C3718" s="42"/>
      <c r="D3718" s="42"/>
      <c r="E3718" s="42"/>
      <c r="F3718" s="42"/>
      <c r="G3718" s="42"/>
      <c r="H3718" s="42"/>
      <c r="I3718" s="42"/>
      <c r="J3718" s="42"/>
      <c r="K3718" s="42"/>
      <c r="L3718" s="42"/>
      <c r="M3718" s="42"/>
    </row>
    <row r="3719" spans="1:13" x14ac:dyDescent="0.2">
      <c r="A3719" s="42"/>
      <c r="B3719" s="42"/>
      <c r="C3719" s="42"/>
      <c r="D3719" s="42"/>
      <c r="E3719" s="42"/>
      <c r="F3719" s="42"/>
      <c r="G3719" s="42"/>
      <c r="H3719" s="42"/>
      <c r="I3719" s="42"/>
      <c r="J3719" s="42"/>
      <c r="K3719" s="42"/>
      <c r="L3719" s="42"/>
      <c r="M3719" s="42"/>
    </row>
    <row r="3720" spans="1:13" x14ac:dyDescent="0.2">
      <c r="A3720" s="42"/>
      <c r="B3720" s="42"/>
      <c r="C3720" s="42"/>
      <c r="D3720" s="42"/>
      <c r="E3720" s="42"/>
      <c r="F3720" s="42"/>
      <c r="G3720" s="42"/>
      <c r="H3720" s="42"/>
      <c r="I3720" s="42"/>
      <c r="J3720" s="42"/>
      <c r="K3720" s="42"/>
      <c r="L3720" s="42"/>
      <c r="M3720" s="42"/>
    </row>
    <row r="3721" spans="1:13" x14ac:dyDescent="0.2">
      <c r="A3721" s="42"/>
      <c r="B3721" s="42"/>
      <c r="C3721" s="42"/>
      <c r="D3721" s="42"/>
      <c r="E3721" s="42"/>
      <c r="F3721" s="42"/>
      <c r="G3721" s="42"/>
      <c r="H3721" s="42"/>
      <c r="I3721" s="42"/>
      <c r="J3721" s="42"/>
      <c r="K3721" s="42"/>
      <c r="L3721" s="42"/>
      <c r="M3721" s="42"/>
    </row>
    <row r="3722" spans="1:13" x14ac:dyDescent="0.2">
      <c r="A3722" s="42"/>
      <c r="B3722" s="42"/>
      <c r="C3722" s="42"/>
      <c r="D3722" s="42"/>
      <c r="E3722" s="42"/>
      <c r="F3722" s="42"/>
      <c r="G3722" s="42"/>
      <c r="H3722" s="42"/>
      <c r="I3722" s="42"/>
      <c r="J3722" s="42"/>
      <c r="K3722" s="42"/>
      <c r="L3722" s="42"/>
      <c r="M3722" s="42"/>
    </row>
    <row r="3723" spans="1:13" x14ac:dyDescent="0.2">
      <c r="A3723" s="42"/>
      <c r="B3723" s="42"/>
      <c r="C3723" s="42"/>
      <c r="D3723" s="42"/>
      <c r="E3723" s="42"/>
      <c r="F3723" s="42"/>
      <c r="G3723" s="42"/>
      <c r="H3723" s="42"/>
      <c r="I3723" s="42"/>
      <c r="J3723" s="42"/>
      <c r="K3723" s="42"/>
      <c r="L3723" s="42"/>
      <c r="M3723" s="42"/>
    </row>
    <row r="3724" spans="1:13" x14ac:dyDescent="0.2">
      <c r="A3724" s="42"/>
      <c r="B3724" s="42"/>
      <c r="C3724" s="42"/>
      <c r="D3724" s="42"/>
      <c r="E3724" s="42"/>
      <c r="F3724" s="42"/>
      <c r="G3724" s="42"/>
      <c r="H3724" s="42"/>
      <c r="I3724" s="42"/>
      <c r="J3724" s="42"/>
      <c r="K3724" s="42"/>
      <c r="L3724" s="42"/>
      <c r="M3724" s="42"/>
    </row>
    <row r="3725" spans="1:13" x14ac:dyDescent="0.2">
      <c r="A3725" s="42"/>
      <c r="B3725" s="42"/>
      <c r="C3725" s="42"/>
      <c r="D3725" s="42"/>
      <c r="E3725" s="42"/>
      <c r="F3725" s="42"/>
      <c r="G3725" s="42"/>
      <c r="H3725" s="42"/>
      <c r="I3725" s="42"/>
      <c r="J3725" s="42"/>
      <c r="K3725" s="42"/>
      <c r="L3725" s="42"/>
      <c r="M3725" s="42"/>
    </row>
    <row r="3726" spans="1:13" x14ac:dyDescent="0.2">
      <c r="A3726" s="42"/>
      <c r="B3726" s="42"/>
      <c r="C3726" s="42"/>
      <c r="D3726" s="42"/>
      <c r="E3726" s="42"/>
      <c r="F3726" s="42"/>
      <c r="G3726" s="42"/>
      <c r="H3726" s="42"/>
      <c r="I3726" s="42"/>
      <c r="J3726" s="42"/>
      <c r="K3726" s="42"/>
      <c r="L3726" s="42"/>
      <c r="M3726" s="42"/>
    </row>
    <row r="3727" spans="1:13" x14ac:dyDescent="0.2">
      <c r="A3727" s="42"/>
      <c r="B3727" s="42"/>
      <c r="C3727" s="42"/>
      <c r="D3727" s="42"/>
      <c r="E3727" s="42"/>
      <c r="F3727" s="42"/>
      <c r="G3727" s="42"/>
      <c r="H3727" s="42"/>
      <c r="I3727" s="42"/>
      <c r="J3727" s="42"/>
      <c r="K3727" s="42"/>
      <c r="L3727" s="42"/>
      <c r="M3727" s="42"/>
    </row>
    <row r="3728" spans="1:13" x14ac:dyDescent="0.2">
      <c r="A3728" s="42"/>
      <c r="B3728" s="42"/>
      <c r="C3728" s="42"/>
      <c r="D3728" s="42"/>
      <c r="E3728" s="42"/>
      <c r="F3728" s="42"/>
      <c r="G3728" s="42"/>
      <c r="H3728" s="42"/>
      <c r="I3728" s="42"/>
      <c r="J3728" s="42"/>
      <c r="K3728" s="42"/>
      <c r="L3728" s="42"/>
      <c r="M3728" s="42"/>
    </row>
    <row r="3729" spans="1:13" x14ac:dyDescent="0.2">
      <c r="A3729" s="42"/>
      <c r="B3729" s="42"/>
      <c r="C3729" s="42"/>
      <c r="D3729" s="42"/>
      <c r="E3729" s="42"/>
      <c r="F3729" s="42"/>
      <c r="G3729" s="42"/>
      <c r="H3729" s="42"/>
      <c r="I3729" s="42"/>
      <c r="J3729" s="42"/>
      <c r="K3729" s="42"/>
      <c r="L3729" s="42"/>
      <c r="M3729" s="42"/>
    </row>
    <row r="3730" spans="1:13" x14ac:dyDescent="0.2">
      <c r="A3730" s="42"/>
      <c r="B3730" s="42"/>
      <c r="C3730" s="42"/>
      <c r="D3730" s="42"/>
      <c r="E3730" s="42"/>
      <c r="F3730" s="42"/>
      <c r="G3730" s="42"/>
      <c r="H3730" s="42"/>
      <c r="I3730" s="42"/>
      <c r="J3730" s="42"/>
      <c r="K3730" s="42"/>
      <c r="L3730" s="42"/>
      <c r="M3730" s="42"/>
    </row>
    <row r="3731" spans="1:13" x14ac:dyDescent="0.2">
      <c r="A3731" s="42"/>
      <c r="B3731" s="42"/>
      <c r="C3731" s="42"/>
      <c r="D3731" s="42"/>
      <c r="E3731" s="42"/>
      <c r="F3731" s="42"/>
      <c r="G3731" s="42"/>
      <c r="H3731" s="42"/>
      <c r="I3731" s="42"/>
      <c r="J3731" s="42"/>
      <c r="K3731" s="42"/>
      <c r="L3731" s="42"/>
      <c r="M3731" s="42"/>
    </row>
    <row r="3732" spans="1:13" x14ac:dyDescent="0.2">
      <c r="A3732" s="42"/>
      <c r="B3732" s="42"/>
      <c r="C3732" s="42"/>
      <c r="D3732" s="42"/>
      <c r="E3732" s="42"/>
      <c r="F3732" s="42"/>
      <c r="G3732" s="42"/>
      <c r="H3732" s="42"/>
      <c r="I3732" s="42"/>
      <c r="J3732" s="42"/>
      <c r="K3732" s="42"/>
      <c r="L3732" s="42"/>
      <c r="M3732" s="42"/>
    </row>
    <row r="3733" spans="1:13" x14ac:dyDescent="0.2">
      <c r="A3733" s="42"/>
      <c r="B3733" s="42"/>
      <c r="C3733" s="42"/>
      <c r="D3733" s="42"/>
      <c r="E3733" s="42"/>
      <c r="F3733" s="42"/>
      <c r="G3733" s="42"/>
      <c r="H3733" s="42"/>
      <c r="I3733" s="42"/>
      <c r="J3733" s="42"/>
      <c r="K3733" s="42"/>
      <c r="L3733" s="42"/>
      <c r="M3733" s="42"/>
    </row>
    <row r="3734" spans="1:13" x14ac:dyDescent="0.2">
      <c r="A3734" s="42"/>
      <c r="B3734" s="42"/>
      <c r="C3734" s="42"/>
      <c r="D3734" s="42"/>
      <c r="E3734" s="42"/>
      <c r="F3734" s="42"/>
      <c r="G3734" s="42"/>
      <c r="H3734" s="42"/>
      <c r="I3734" s="42"/>
      <c r="J3734" s="42"/>
      <c r="K3734" s="42"/>
      <c r="L3734" s="42"/>
      <c r="M3734" s="42"/>
    </row>
    <row r="3735" spans="1:13" x14ac:dyDescent="0.2">
      <c r="A3735" s="42"/>
      <c r="B3735" s="42"/>
      <c r="C3735" s="42"/>
      <c r="D3735" s="42"/>
      <c r="E3735" s="42"/>
      <c r="F3735" s="42"/>
      <c r="G3735" s="42"/>
      <c r="H3735" s="42"/>
      <c r="I3735" s="42"/>
      <c r="J3735" s="42"/>
      <c r="K3735" s="42"/>
      <c r="L3735" s="42"/>
      <c r="M3735" s="42"/>
    </row>
    <row r="3736" spans="1:13" x14ac:dyDescent="0.2">
      <c r="A3736" s="42"/>
      <c r="B3736" s="42"/>
      <c r="C3736" s="42"/>
      <c r="D3736" s="42"/>
      <c r="E3736" s="42"/>
      <c r="F3736" s="42"/>
      <c r="G3736" s="42"/>
      <c r="H3736" s="42"/>
      <c r="I3736" s="42"/>
      <c r="J3736" s="42"/>
      <c r="K3736" s="42"/>
      <c r="L3736" s="42"/>
      <c r="M3736" s="42"/>
    </row>
    <row r="3737" spans="1:13" x14ac:dyDescent="0.2">
      <c r="A3737" s="42"/>
      <c r="B3737" s="42"/>
      <c r="C3737" s="42"/>
      <c r="D3737" s="42"/>
      <c r="E3737" s="42"/>
      <c r="F3737" s="42"/>
      <c r="G3737" s="42"/>
      <c r="H3737" s="42"/>
      <c r="I3737" s="42"/>
      <c r="J3737" s="42"/>
      <c r="K3737" s="42"/>
      <c r="L3737" s="42"/>
      <c r="M3737" s="42"/>
    </row>
    <row r="3738" spans="1:13" x14ac:dyDescent="0.2">
      <c r="A3738" s="42"/>
      <c r="B3738" s="42"/>
      <c r="C3738" s="42"/>
      <c r="D3738" s="42"/>
      <c r="E3738" s="42"/>
      <c r="F3738" s="42"/>
      <c r="G3738" s="42"/>
      <c r="H3738" s="42"/>
      <c r="I3738" s="42"/>
      <c r="J3738" s="42"/>
      <c r="K3738" s="42"/>
      <c r="L3738" s="42"/>
      <c r="M3738" s="42"/>
    </row>
    <row r="3739" spans="1:13" x14ac:dyDescent="0.2">
      <c r="A3739" s="42"/>
      <c r="B3739" s="42"/>
      <c r="C3739" s="42"/>
      <c r="D3739" s="42"/>
      <c r="E3739" s="42"/>
      <c r="F3739" s="42"/>
      <c r="G3739" s="42"/>
      <c r="H3739" s="42"/>
      <c r="I3739" s="42"/>
      <c r="J3739" s="42"/>
      <c r="K3739" s="42"/>
      <c r="L3739" s="42"/>
      <c r="M3739" s="42"/>
    </row>
    <row r="3740" spans="1:13" x14ac:dyDescent="0.2">
      <c r="A3740" s="42"/>
      <c r="B3740" s="42"/>
      <c r="C3740" s="42"/>
      <c r="D3740" s="42"/>
      <c r="E3740" s="42"/>
      <c r="F3740" s="42"/>
      <c r="G3740" s="42"/>
      <c r="H3740" s="42"/>
      <c r="I3740" s="42"/>
      <c r="J3740" s="42"/>
      <c r="K3740" s="42"/>
      <c r="L3740" s="42"/>
      <c r="M3740" s="42"/>
    </row>
    <row r="3741" spans="1:13" x14ac:dyDescent="0.2">
      <c r="A3741" s="42"/>
      <c r="B3741" s="42"/>
      <c r="C3741" s="42"/>
      <c r="D3741" s="42"/>
      <c r="E3741" s="42"/>
      <c r="F3741" s="42"/>
      <c r="G3741" s="42"/>
      <c r="H3741" s="42"/>
      <c r="I3741" s="42"/>
      <c r="J3741" s="42"/>
      <c r="K3741" s="42"/>
      <c r="L3741" s="42"/>
      <c r="M3741" s="42"/>
    </row>
    <row r="3742" spans="1:13" x14ac:dyDescent="0.2">
      <c r="A3742" s="42"/>
      <c r="B3742" s="42"/>
      <c r="C3742" s="42"/>
      <c r="D3742" s="42"/>
      <c r="E3742" s="42"/>
      <c r="F3742" s="42"/>
      <c r="G3742" s="42"/>
      <c r="H3742" s="42"/>
      <c r="I3742" s="42"/>
      <c r="J3742" s="42"/>
      <c r="K3742" s="42"/>
      <c r="L3742" s="42"/>
      <c r="M3742" s="42"/>
    </row>
    <row r="3743" spans="1:13" x14ac:dyDescent="0.2">
      <c r="A3743" s="42"/>
      <c r="B3743" s="42"/>
      <c r="C3743" s="42"/>
      <c r="D3743" s="42"/>
      <c r="E3743" s="42"/>
      <c r="F3743" s="42"/>
      <c r="G3743" s="42"/>
      <c r="H3743" s="42"/>
      <c r="I3743" s="42"/>
      <c r="J3743" s="42"/>
      <c r="K3743" s="42"/>
      <c r="L3743" s="42"/>
      <c r="M3743" s="42"/>
    </row>
    <row r="3744" spans="1:13" x14ac:dyDescent="0.2">
      <c r="A3744" s="42"/>
      <c r="B3744" s="42"/>
      <c r="C3744" s="42"/>
      <c r="D3744" s="42"/>
      <c r="E3744" s="42"/>
      <c r="F3744" s="42"/>
      <c r="G3744" s="42"/>
      <c r="H3744" s="42"/>
      <c r="I3744" s="42"/>
      <c r="J3744" s="42"/>
      <c r="K3744" s="42"/>
      <c r="L3744" s="42"/>
      <c r="M3744" s="42"/>
    </row>
    <row r="3745" spans="1:13" x14ac:dyDescent="0.2">
      <c r="A3745" s="42"/>
      <c r="B3745" s="42"/>
      <c r="C3745" s="42"/>
      <c r="D3745" s="42"/>
      <c r="E3745" s="42"/>
      <c r="F3745" s="42"/>
      <c r="G3745" s="42"/>
      <c r="H3745" s="42"/>
      <c r="I3745" s="42"/>
      <c r="J3745" s="42"/>
      <c r="K3745" s="42"/>
      <c r="L3745" s="42"/>
      <c r="M3745" s="42"/>
    </row>
    <row r="3746" spans="1:13" x14ac:dyDescent="0.2">
      <c r="A3746" s="42"/>
      <c r="B3746" s="42"/>
      <c r="C3746" s="42"/>
      <c r="D3746" s="42"/>
      <c r="E3746" s="42"/>
      <c r="F3746" s="42"/>
      <c r="G3746" s="42"/>
      <c r="H3746" s="42"/>
      <c r="I3746" s="42"/>
      <c r="J3746" s="42"/>
      <c r="K3746" s="42"/>
      <c r="L3746" s="42"/>
      <c r="M3746" s="42"/>
    </row>
    <row r="3747" spans="1:13" x14ac:dyDescent="0.2">
      <c r="A3747" s="42"/>
      <c r="B3747" s="42"/>
      <c r="C3747" s="42"/>
      <c r="D3747" s="42"/>
      <c r="E3747" s="42"/>
      <c r="F3747" s="42"/>
      <c r="G3747" s="42"/>
      <c r="H3747" s="42"/>
      <c r="I3747" s="42"/>
      <c r="J3747" s="42"/>
      <c r="K3747" s="42"/>
      <c r="L3747" s="42"/>
      <c r="M3747" s="42"/>
    </row>
    <row r="3748" spans="1:13" x14ac:dyDescent="0.2">
      <c r="A3748" s="42"/>
      <c r="B3748" s="42"/>
      <c r="C3748" s="42"/>
      <c r="D3748" s="42"/>
      <c r="E3748" s="42"/>
      <c r="F3748" s="42"/>
      <c r="G3748" s="42"/>
      <c r="H3748" s="42"/>
      <c r="I3748" s="42"/>
      <c r="J3748" s="42"/>
      <c r="K3748" s="42"/>
      <c r="L3748" s="42"/>
      <c r="M3748" s="42"/>
    </row>
    <row r="3749" spans="1:13" x14ac:dyDescent="0.2">
      <c r="A3749" s="42"/>
      <c r="B3749" s="42"/>
      <c r="C3749" s="42"/>
      <c r="D3749" s="42"/>
      <c r="E3749" s="42"/>
      <c r="F3749" s="42"/>
      <c r="G3749" s="42"/>
      <c r="H3749" s="42"/>
      <c r="I3749" s="42"/>
      <c r="J3749" s="42"/>
      <c r="K3749" s="42"/>
      <c r="L3749" s="42"/>
      <c r="M3749" s="42"/>
    </row>
    <row r="3750" spans="1:13" x14ac:dyDescent="0.2">
      <c r="A3750" s="42"/>
      <c r="B3750" s="42"/>
      <c r="C3750" s="42"/>
      <c r="D3750" s="42"/>
      <c r="E3750" s="42"/>
      <c r="F3750" s="42"/>
      <c r="G3750" s="42"/>
      <c r="H3750" s="42"/>
      <c r="I3750" s="42"/>
      <c r="J3750" s="42"/>
      <c r="K3750" s="42"/>
      <c r="L3750" s="42"/>
      <c r="M3750" s="42"/>
    </row>
    <row r="3751" spans="1:13" x14ac:dyDescent="0.2">
      <c r="A3751" s="42"/>
      <c r="B3751" s="42"/>
      <c r="C3751" s="42"/>
      <c r="D3751" s="42"/>
      <c r="E3751" s="42"/>
      <c r="F3751" s="42"/>
      <c r="G3751" s="42"/>
      <c r="H3751" s="42"/>
      <c r="I3751" s="42"/>
      <c r="J3751" s="42"/>
      <c r="K3751" s="42"/>
      <c r="L3751" s="42"/>
      <c r="M3751" s="42"/>
    </row>
    <row r="3752" spans="1:13" x14ac:dyDescent="0.2">
      <c r="A3752" s="42"/>
      <c r="B3752" s="42"/>
      <c r="C3752" s="42"/>
      <c r="D3752" s="42"/>
      <c r="E3752" s="42"/>
      <c r="F3752" s="42"/>
      <c r="G3752" s="42"/>
      <c r="H3752" s="42"/>
      <c r="I3752" s="42"/>
      <c r="J3752" s="42"/>
      <c r="K3752" s="42"/>
      <c r="L3752" s="42"/>
      <c r="M3752" s="42"/>
    </row>
    <row r="3753" spans="1:13" x14ac:dyDescent="0.2">
      <c r="A3753" s="42"/>
      <c r="B3753" s="42"/>
      <c r="C3753" s="42"/>
      <c r="D3753" s="42"/>
      <c r="E3753" s="42"/>
      <c r="F3753" s="42"/>
      <c r="G3753" s="42"/>
      <c r="H3753" s="42"/>
      <c r="I3753" s="42"/>
      <c r="J3753" s="42"/>
      <c r="K3753" s="42"/>
      <c r="L3753" s="42"/>
      <c r="M3753" s="42"/>
    </row>
    <row r="3754" spans="1:13" x14ac:dyDescent="0.2">
      <c r="A3754" s="42"/>
      <c r="B3754" s="42"/>
      <c r="C3754" s="42"/>
      <c r="D3754" s="42"/>
      <c r="E3754" s="42"/>
      <c r="F3754" s="42"/>
      <c r="G3754" s="42"/>
      <c r="H3754" s="42"/>
      <c r="I3754" s="42"/>
      <c r="J3754" s="42"/>
      <c r="K3754" s="42"/>
      <c r="L3754" s="42"/>
      <c r="M3754" s="42"/>
    </row>
    <row r="3755" spans="1:13" x14ac:dyDescent="0.2">
      <c r="A3755" s="42"/>
      <c r="B3755" s="42"/>
      <c r="C3755" s="42"/>
      <c r="D3755" s="42"/>
      <c r="E3755" s="42"/>
      <c r="F3755" s="42"/>
      <c r="G3755" s="42"/>
      <c r="H3755" s="42"/>
      <c r="I3755" s="42"/>
      <c r="J3755" s="42"/>
      <c r="K3755" s="42"/>
      <c r="L3755" s="42"/>
      <c r="M3755" s="42"/>
    </row>
    <row r="3756" spans="1:13" x14ac:dyDescent="0.2">
      <c r="A3756" s="42"/>
      <c r="B3756" s="42"/>
      <c r="C3756" s="42"/>
      <c r="D3756" s="42"/>
      <c r="E3756" s="42"/>
      <c r="F3756" s="42"/>
      <c r="G3756" s="42"/>
      <c r="H3756" s="42"/>
      <c r="I3756" s="42"/>
      <c r="J3756" s="42"/>
      <c r="K3756" s="42"/>
      <c r="L3756" s="42"/>
      <c r="M3756" s="42"/>
    </row>
    <row r="3757" spans="1:13" x14ac:dyDescent="0.2">
      <c r="A3757" s="42"/>
      <c r="B3757" s="42"/>
      <c r="C3757" s="42"/>
      <c r="D3757" s="42"/>
      <c r="E3757" s="42"/>
      <c r="F3757" s="42"/>
      <c r="G3757" s="42"/>
      <c r="H3757" s="42"/>
      <c r="I3757" s="42"/>
      <c r="J3757" s="42"/>
      <c r="K3757" s="42"/>
      <c r="L3757" s="42"/>
      <c r="M3757" s="42"/>
    </row>
    <row r="3758" spans="1:13" x14ac:dyDescent="0.2">
      <c r="A3758" s="42"/>
      <c r="B3758" s="42"/>
      <c r="C3758" s="42"/>
      <c r="D3758" s="42"/>
      <c r="E3758" s="42"/>
      <c r="F3758" s="42"/>
      <c r="G3758" s="42"/>
      <c r="H3758" s="42"/>
      <c r="I3758" s="42"/>
      <c r="J3758" s="42"/>
      <c r="K3758" s="42"/>
      <c r="L3758" s="42"/>
      <c r="M3758" s="42"/>
    </row>
    <row r="3759" spans="1:13" x14ac:dyDescent="0.2">
      <c r="A3759" s="42"/>
      <c r="B3759" s="42"/>
      <c r="C3759" s="42"/>
      <c r="D3759" s="42"/>
      <c r="E3759" s="42"/>
      <c r="F3759" s="42"/>
      <c r="G3759" s="42"/>
      <c r="H3759" s="42"/>
      <c r="I3759" s="42"/>
      <c r="J3759" s="42"/>
      <c r="K3759" s="42"/>
      <c r="L3759" s="42"/>
      <c r="M3759" s="42"/>
    </row>
    <row r="3760" spans="1:13" x14ac:dyDescent="0.2">
      <c r="A3760" s="42"/>
      <c r="B3760" s="42"/>
      <c r="C3760" s="42"/>
      <c r="D3760" s="42"/>
      <c r="E3760" s="42"/>
      <c r="F3760" s="42"/>
      <c r="G3760" s="42"/>
      <c r="H3760" s="42"/>
      <c r="I3760" s="42"/>
      <c r="J3760" s="42"/>
      <c r="K3760" s="42"/>
      <c r="L3760" s="42"/>
      <c r="M3760" s="42"/>
    </row>
    <row r="3761" spans="1:13" x14ac:dyDescent="0.2">
      <c r="A3761" s="42"/>
      <c r="B3761" s="42"/>
      <c r="C3761" s="42"/>
      <c r="D3761" s="42"/>
      <c r="E3761" s="42"/>
      <c r="F3761" s="42"/>
      <c r="G3761" s="42"/>
      <c r="H3761" s="42"/>
      <c r="I3761" s="42"/>
      <c r="J3761" s="42"/>
      <c r="K3761" s="42"/>
      <c r="L3761" s="42"/>
      <c r="M3761" s="42"/>
    </row>
    <row r="3762" spans="1:13" x14ac:dyDescent="0.2">
      <c r="A3762" s="42"/>
      <c r="B3762" s="42"/>
      <c r="C3762" s="42"/>
      <c r="D3762" s="42"/>
      <c r="E3762" s="42"/>
      <c r="F3762" s="42"/>
      <c r="G3762" s="42"/>
      <c r="H3762" s="42"/>
      <c r="I3762" s="42"/>
      <c r="J3762" s="42"/>
      <c r="K3762" s="42"/>
      <c r="L3762" s="42"/>
      <c r="M3762" s="42"/>
    </row>
    <row r="3763" spans="1:13" x14ac:dyDescent="0.2">
      <c r="A3763" s="42"/>
      <c r="B3763" s="42"/>
      <c r="C3763" s="42"/>
      <c r="D3763" s="42"/>
      <c r="E3763" s="42"/>
      <c r="F3763" s="42"/>
      <c r="G3763" s="42"/>
      <c r="H3763" s="42"/>
      <c r="I3763" s="42"/>
      <c r="J3763" s="42"/>
      <c r="K3763" s="42"/>
      <c r="L3763" s="42"/>
      <c r="M3763" s="42"/>
    </row>
    <row r="3764" spans="1:13" x14ac:dyDescent="0.2">
      <c r="A3764" s="42"/>
      <c r="B3764" s="42"/>
      <c r="C3764" s="42"/>
      <c r="D3764" s="42"/>
      <c r="E3764" s="42"/>
      <c r="F3764" s="42"/>
      <c r="G3764" s="42"/>
      <c r="H3764" s="42"/>
      <c r="I3764" s="42"/>
      <c r="J3764" s="42"/>
      <c r="K3764" s="42"/>
      <c r="L3764" s="42"/>
      <c r="M3764" s="42"/>
    </row>
    <row r="3765" spans="1:13" x14ac:dyDescent="0.2">
      <c r="A3765" s="42"/>
      <c r="B3765" s="42"/>
      <c r="C3765" s="42"/>
      <c r="D3765" s="42"/>
      <c r="E3765" s="42"/>
      <c r="F3765" s="42"/>
      <c r="G3765" s="42"/>
      <c r="H3765" s="42"/>
      <c r="I3765" s="42"/>
      <c r="J3765" s="42"/>
      <c r="K3765" s="42"/>
      <c r="L3765" s="42"/>
      <c r="M3765" s="42"/>
    </row>
    <row r="3766" spans="1:13" x14ac:dyDescent="0.2">
      <c r="A3766" s="42"/>
      <c r="B3766" s="42"/>
      <c r="C3766" s="42"/>
      <c r="D3766" s="42"/>
      <c r="E3766" s="42"/>
      <c r="F3766" s="42"/>
      <c r="G3766" s="42"/>
      <c r="H3766" s="42"/>
      <c r="I3766" s="42"/>
      <c r="J3766" s="42"/>
      <c r="K3766" s="42"/>
      <c r="L3766" s="42"/>
      <c r="M3766" s="42"/>
    </row>
    <row r="3767" spans="1:13" x14ac:dyDescent="0.2">
      <c r="A3767" s="42"/>
      <c r="B3767" s="42"/>
      <c r="C3767" s="42"/>
      <c r="D3767" s="42"/>
      <c r="E3767" s="42"/>
      <c r="F3767" s="42"/>
      <c r="G3767" s="42"/>
      <c r="H3767" s="42"/>
      <c r="I3767" s="42"/>
      <c r="J3767" s="42"/>
      <c r="K3767" s="42"/>
      <c r="L3767" s="42"/>
      <c r="M3767" s="42"/>
    </row>
    <row r="3768" spans="1:13" x14ac:dyDescent="0.2">
      <c r="A3768" s="42"/>
      <c r="B3768" s="42"/>
      <c r="C3768" s="42"/>
      <c r="D3768" s="42"/>
      <c r="E3768" s="42"/>
      <c r="F3768" s="42"/>
      <c r="G3768" s="42"/>
      <c r="H3768" s="42"/>
      <c r="I3768" s="42"/>
      <c r="J3768" s="42"/>
      <c r="K3768" s="42"/>
      <c r="L3768" s="42"/>
      <c r="M3768" s="42"/>
    </row>
    <row r="3769" spans="1:13" x14ac:dyDescent="0.2">
      <c r="A3769" s="42"/>
      <c r="B3769" s="42"/>
      <c r="C3769" s="42"/>
      <c r="D3769" s="42"/>
      <c r="E3769" s="42"/>
      <c r="F3769" s="42"/>
      <c r="G3769" s="42"/>
      <c r="H3769" s="42"/>
      <c r="I3769" s="42"/>
      <c r="J3769" s="42"/>
      <c r="K3769" s="42"/>
      <c r="L3769" s="42"/>
      <c r="M3769" s="42"/>
    </row>
    <row r="3770" spans="1:13" x14ac:dyDescent="0.2">
      <c r="A3770" s="42"/>
      <c r="B3770" s="42"/>
      <c r="C3770" s="42"/>
      <c r="D3770" s="42"/>
      <c r="E3770" s="42"/>
      <c r="F3770" s="42"/>
      <c r="G3770" s="42"/>
      <c r="H3770" s="42"/>
      <c r="I3770" s="42"/>
      <c r="J3770" s="42"/>
      <c r="K3770" s="42"/>
      <c r="L3770" s="42"/>
      <c r="M3770" s="42"/>
    </row>
    <row r="3771" spans="1:13" x14ac:dyDescent="0.2">
      <c r="A3771" s="42"/>
      <c r="B3771" s="42"/>
      <c r="C3771" s="42"/>
      <c r="D3771" s="42"/>
      <c r="E3771" s="42"/>
      <c r="F3771" s="42"/>
      <c r="G3771" s="42"/>
      <c r="H3771" s="42"/>
      <c r="I3771" s="42"/>
      <c r="J3771" s="42"/>
      <c r="K3771" s="42"/>
      <c r="L3771" s="42"/>
      <c r="M3771" s="42"/>
    </row>
    <row r="3772" spans="1:13" x14ac:dyDescent="0.2">
      <c r="A3772" s="42"/>
      <c r="B3772" s="42"/>
      <c r="C3772" s="42"/>
      <c r="D3772" s="42"/>
      <c r="E3772" s="42"/>
      <c r="F3772" s="42"/>
      <c r="G3772" s="42"/>
      <c r="H3772" s="42"/>
      <c r="I3772" s="42"/>
      <c r="J3772" s="42"/>
      <c r="K3772" s="42"/>
      <c r="L3772" s="42"/>
      <c r="M3772" s="42"/>
    </row>
    <row r="3773" spans="1:13" x14ac:dyDescent="0.2">
      <c r="A3773" s="42"/>
      <c r="B3773" s="42"/>
      <c r="C3773" s="42"/>
      <c r="D3773" s="42"/>
      <c r="E3773" s="42"/>
      <c r="F3773" s="42"/>
      <c r="G3773" s="42"/>
      <c r="H3773" s="42"/>
      <c r="I3773" s="42"/>
      <c r="J3773" s="42"/>
      <c r="K3773" s="42"/>
      <c r="L3773" s="42"/>
      <c r="M3773" s="42"/>
    </row>
    <row r="3774" spans="1:13" x14ac:dyDescent="0.2">
      <c r="A3774" s="42"/>
      <c r="B3774" s="42"/>
      <c r="C3774" s="42"/>
      <c r="D3774" s="42"/>
      <c r="E3774" s="42"/>
      <c r="F3774" s="42"/>
      <c r="G3774" s="42"/>
      <c r="H3774" s="42"/>
      <c r="I3774" s="42"/>
      <c r="J3774" s="42"/>
      <c r="K3774" s="42"/>
      <c r="L3774" s="42"/>
      <c r="M3774" s="42"/>
    </row>
    <row r="3775" spans="1:13" x14ac:dyDescent="0.2">
      <c r="A3775" s="42"/>
      <c r="B3775" s="42"/>
      <c r="C3775" s="42"/>
      <c r="D3775" s="42"/>
      <c r="E3775" s="42"/>
      <c r="F3775" s="42"/>
      <c r="G3775" s="42"/>
      <c r="H3775" s="42"/>
      <c r="I3775" s="42"/>
      <c r="J3775" s="42"/>
      <c r="K3775" s="42"/>
      <c r="L3775" s="42"/>
      <c r="M3775" s="42"/>
    </row>
    <row r="3776" spans="1:13" x14ac:dyDescent="0.2">
      <c r="A3776" s="42"/>
      <c r="B3776" s="42"/>
      <c r="C3776" s="42"/>
      <c r="D3776" s="42"/>
      <c r="E3776" s="42"/>
      <c r="F3776" s="42"/>
      <c r="G3776" s="42"/>
      <c r="H3776" s="42"/>
      <c r="I3776" s="42"/>
      <c r="J3776" s="42"/>
      <c r="K3776" s="42"/>
      <c r="L3776" s="42"/>
      <c r="M3776" s="42"/>
    </row>
    <row r="3777" spans="1:13" x14ac:dyDescent="0.2">
      <c r="A3777" s="42"/>
      <c r="B3777" s="42"/>
      <c r="C3777" s="42"/>
      <c r="D3777" s="42"/>
      <c r="E3777" s="42"/>
      <c r="F3777" s="42"/>
      <c r="G3777" s="42"/>
      <c r="H3777" s="42"/>
      <c r="I3777" s="42"/>
      <c r="J3777" s="42"/>
      <c r="K3777" s="42"/>
      <c r="L3777" s="42"/>
      <c r="M3777" s="42"/>
    </row>
    <row r="3778" spans="1:13" x14ac:dyDescent="0.2">
      <c r="A3778" s="42"/>
      <c r="B3778" s="42"/>
      <c r="C3778" s="42"/>
      <c r="D3778" s="42"/>
      <c r="E3778" s="42"/>
      <c r="F3778" s="42"/>
      <c r="G3778" s="42"/>
      <c r="H3778" s="42"/>
      <c r="I3778" s="42"/>
      <c r="J3778" s="42"/>
      <c r="K3778" s="42"/>
      <c r="L3778" s="42"/>
      <c r="M3778" s="42"/>
    </row>
    <row r="3779" spans="1:13" x14ac:dyDescent="0.2">
      <c r="A3779" s="42"/>
      <c r="B3779" s="42"/>
      <c r="C3779" s="42"/>
      <c r="D3779" s="42"/>
      <c r="E3779" s="42"/>
      <c r="F3779" s="42"/>
      <c r="G3779" s="42"/>
      <c r="H3779" s="42"/>
      <c r="I3779" s="42"/>
      <c r="J3779" s="42"/>
      <c r="K3779" s="42"/>
      <c r="L3779" s="42"/>
      <c r="M3779" s="42"/>
    </row>
    <row r="3780" spans="1:13" x14ac:dyDescent="0.2">
      <c r="A3780" s="42"/>
      <c r="B3780" s="42"/>
      <c r="C3780" s="42"/>
      <c r="D3780" s="42"/>
      <c r="E3780" s="42"/>
      <c r="F3780" s="42"/>
      <c r="G3780" s="42"/>
      <c r="H3780" s="42"/>
      <c r="I3780" s="42"/>
      <c r="J3780" s="42"/>
      <c r="K3780" s="42"/>
      <c r="L3780" s="42"/>
      <c r="M3780" s="42"/>
    </row>
    <row r="3781" spans="1:13" x14ac:dyDescent="0.2">
      <c r="A3781" s="42"/>
      <c r="B3781" s="42"/>
      <c r="C3781" s="42"/>
      <c r="D3781" s="42"/>
      <c r="E3781" s="42"/>
      <c r="F3781" s="42"/>
      <c r="G3781" s="42"/>
      <c r="H3781" s="42"/>
      <c r="I3781" s="42"/>
      <c r="J3781" s="42"/>
      <c r="K3781" s="42"/>
      <c r="L3781" s="42"/>
      <c r="M3781" s="42"/>
    </row>
    <row r="3782" spans="1:13" x14ac:dyDescent="0.2">
      <c r="A3782" s="42"/>
      <c r="B3782" s="42"/>
      <c r="C3782" s="42"/>
      <c r="D3782" s="42"/>
      <c r="E3782" s="42"/>
      <c r="F3782" s="42"/>
      <c r="G3782" s="42"/>
      <c r="H3782" s="42"/>
      <c r="I3782" s="42"/>
      <c r="J3782" s="42"/>
      <c r="K3782" s="42"/>
      <c r="L3782" s="42"/>
      <c r="M3782" s="42"/>
    </row>
    <row r="3783" spans="1:13" x14ac:dyDescent="0.2">
      <c r="A3783" s="42"/>
      <c r="B3783" s="42"/>
      <c r="C3783" s="42"/>
      <c r="D3783" s="42"/>
      <c r="E3783" s="42"/>
      <c r="F3783" s="42"/>
      <c r="G3783" s="42"/>
      <c r="H3783" s="42"/>
      <c r="I3783" s="42"/>
      <c r="J3783" s="42"/>
      <c r="K3783" s="42"/>
      <c r="L3783" s="42"/>
      <c r="M3783" s="42"/>
    </row>
    <row r="3784" spans="1:13" x14ac:dyDescent="0.2">
      <c r="A3784" s="42"/>
      <c r="B3784" s="42"/>
      <c r="C3784" s="42"/>
      <c r="D3784" s="42"/>
      <c r="E3784" s="42"/>
      <c r="F3784" s="42"/>
      <c r="G3784" s="42"/>
      <c r="H3784" s="42"/>
      <c r="I3784" s="42"/>
      <c r="J3784" s="42"/>
      <c r="K3784" s="42"/>
      <c r="L3784" s="42"/>
      <c r="M3784" s="42"/>
    </row>
    <row r="3785" spans="1:13" x14ac:dyDescent="0.2">
      <c r="A3785" s="42"/>
      <c r="B3785" s="42"/>
      <c r="C3785" s="42"/>
      <c r="D3785" s="42"/>
      <c r="E3785" s="42"/>
      <c r="F3785" s="42"/>
      <c r="G3785" s="42"/>
      <c r="H3785" s="42"/>
      <c r="I3785" s="42"/>
      <c r="J3785" s="42"/>
      <c r="K3785" s="42"/>
      <c r="L3785" s="42"/>
      <c r="M3785" s="42"/>
    </row>
    <row r="3786" spans="1:13" x14ac:dyDescent="0.2">
      <c r="A3786" s="42"/>
      <c r="B3786" s="42"/>
      <c r="C3786" s="42"/>
      <c r="D3786" s="42"/>
      <c r="E3786" s="42"/>
      <c r="F3786" s="42"/>
      <c r="G3786" s="42"/>
      <c r="H3786" s="42"/>
      <c r="I3786" s="42"/>
      <c r="J3786" s="42"/>
      <c r="K3786" s="42"/>
      <c r="L3786" s="42"/>
      <c r="M3786" s="42"/>
    </row>
    <row r="3787" spans="1:13" x14ac:dyDescent="0.2">
      <c r="A3787" s="42"/>
      <c r="B3787" s="42"/>
      <c r="C3787" s="42"/>
      <c r="D3787" s="42"/>
      <c r="E3787" s="42"/>
      <c r="F3787" s="42"/>
      <c r="G3787" s="42"/>
      <c r="H3787" s="42"/>
      <c r="I3787" s="42"/>
      <c r="J3787" s="42"/>
      <c r="K3787" s="42"/>
      <c r="L3787" s="42"/>
      <c r="M3787" s="42"/>
    </row>
    <row r="3788" spans="1:13" x14ac:dyDescent="0.2">
      <c r="A3788" s="42"/>
      <c r="B3788" s="42"/>
      <c r="C3788" s="42"/>
      <c r="D3788" s="42"/>
      <c r="E3788" s="42"/>
      <c r="F3788" s="42"/>
      <c r="G3788" s="42"/>
      <c r="H3788" s="42"/>
      <c r="I3788" s="42"/>
      <c r="J3788" s="42"/>
      <c r="K3788" s="42"/>
      <c r="L3788" s="42"/>
      <c r="M3788" s="42"/>
    </row>
    <row r="3789" spans="1:13" x14ac:dyDescent="0.2">
      <c r="A3789" s="42"/>
      <c r="B3789" s="42"/>
      <c r="C3789" s="42"/>
      <c r="D3789" s="42"/>
      <c r="E3789" s="42"/>
      <c r="F3789" s="42"/>
      <c r="G3789" s="42"/>
      <c r="H3789" s="42"/>
      <c r="I3789" s="42"/>
      <c r="J3789" s="42"/>
      <c r="K3789" s="42"/>
      <c r="L3789" s="42"/>
      <c r="M3789" s="42"/>
    </row>
    <row r="3790" spans="1:13" x14ac:dyDescent="0.2">
      <c r="A3790" s="42"/>
      <c r="B3790" s="42"/>
      <c r="C3790" s="42"/>
      <c r="D3790" s="42"/>
      <c r="E3790" s="42"/>
      <c r="F3790" s="42"/>
      <c r="G3790" s="42"/>
      <c r="H3790" s="42"/>
      <c r="I3790" s="42"/>
      <c r="J3790" s="42"/>
      <c r="K3790" s="42"/>
      <c r="L3790" s="42"/>
      <c r="M3790" s="42"/>
    </row>
    <row r="3791" spans="1:13" x14ac:dyDescent="0.2">
      <c r="A3791" s="42"/>
      <c r="B3791" s="42"/>
      <c r="C3791" s="42"/>
      <c r="D3791" s="42"/>
      <c r="E3791" s="42"/>
      <c r="F3791" s="42"/>
      <c r="G3791" s="42"/>
      <c r="H3791" s="42"/>
      <c r="I3791" s="42"/>
      <c r="J3791" s="42"/>
      <c r="K3791" s="42"/>
      <c r="L3791" s="42"/>
      <c r="M3791" s="42"/>
    </row>
    <row r="3792" spans="1:13" x14ac:dyDescent="0.2">
      <c r="A3792" s="42"/>
      <c r="B3792" s="42"/>
      <c r="C3792" s="42"/>
      <c r="D3792" s="42"/>
      <c r="E3792" s="42"/>
      <c r="F3792" s="42"/>
      <c r="G3792" s="42"/>
      <c r="H3792" s="42"/>
      <c r="I3792" s="42"/>
      <c r="J3792" s="42"/>
      <c r="K3792" s="42"/>
      <c r="L3792" s="42"/>
      <c r="M3792" s="42"/>
    </row>
    <row r="3793" spans="1:13" x14ac:dyDescent="0.2">
      <c r="A3793" s="42"/>
      <c r="B3793" s="42"/>
      <c r="C3793" s="42"/>
      <c r="D3793" s="42"/>
      <c r="E3793" s="42"/>
      <c r="F3793" s="42"/>
      <c r="G3793" s="42"/>
      <c r="H3793" s="42"/>
      <c r="I3793" s="42"/>
      <c r="J3793" s="42"/>
      <c r="K3793" s="42"/>
      <c r="L3793" s="42"/>
      <c r="M3793" s="42"/>
    </row>
    <row r="3794" spans="1:13" x14ac:dyDescent="0.2">
      <c r="A3794" s="42"/>
      <c r="B3794" s="42"/>
      <c r="C3794" s="42"/>
      <c r="D3794" s="42"/>
      <c r="E3794" s="42"/>
      <c r="F3794" s="42"/>
      <c r="G3794" s="42"/>
      <c r="H3794" s="42"/>
      <c r="I3794" s="42"/>
      <c r="J3794" s="42"/>
      <c r="K3794" s="42"/>
      <c r="L3794" s="42"/>
      <c r="M3794" s="42"/>
    </row>
    <row r="3795" spans="1:13" x14ac:dyDescent="0.2">
      <c r="A3795" s="42"/>
      <c r="B3795" s="42"/>
      <c r="C3795" s="42"/>
      <c r="D3795" s="42"/>
      <c r="E3795" s="42"/>
      <c r="F3795" s="42"/>
      <c r="G3795" s="42"/>
      <c r="H3795" s="42"/>
      <c r="I3795" s="42"/>
      <c r="J3795" s="42"/>
      <c r="K3795" s="42"/>
      <c r="L3795" s="42"/>
      <c r="M3795" s="42"/>
    </row>
    <row r="3796" spans="1:13" x14ac:dyDescent="0.2">
      <c r="A3796" s="42"/>
      <c r="B3796" s="42"/>
      <c r="C3796" s="42"/>
      <c r="D3796" s="42"/>
      <c r="E3796" s="42"/>
      <c r="F3796" s="42"/>
      <c r="G3796" s="42"/>
      <c r="H3796" s="42"/>
      <c r="I3796" s="42"/>
      <c r="J3796" s="42"/>
      <c r="K3796" s="42"/>
      <c r="L3796" s="42"/>
      <c r="M3796" s="42"/>
    </row>
    <row r="3797" spans="1:13" x14ac:dyDescent="0.2">
      <c r="A3797" s="42"/>
      <c r="B3797" s="42"/>
      <c r="C3797" s="42"/>
      <c r="D3797" s="42"/>
      <c r="E3797" s="42"/>
      <c r="F3797" s="42"/>
      <c r="G3797" s="42"/>
      <c r="H3797" s="42"/>
      <c r="I3797" s="42"/>
      <c r="J3797" s="42"/>
      <c r="K3797" s="42"/>
      <c r="L3797" s="42"/>
      <c r="M3797" s="42"/>
    </row>
    <row r="3798" spans="1:13" x14ac:dyDescent="0.2">
      <c r="A3798" s="42"/>
      <c r="B3798" s="42"/>
      <c r="C3798" s="42"/>
      <c r="D3798" s="42"/>
      <c r="E3798" s="42"/>
      <c r="F3798" s="42"/>
      <c r="G3798" s="42"/>
      <c r="H3798" s="42"/>
      <c r="I3798" s="42"/>
      <c r="J3798" s="42"/>
      <c r="K3798" s="42"/>
      <c r="L3798" s="42"/>
      <c r="M3798" s="42"/>
    </row>
    <row r="3799" spans="1:13" x14ac:dyDescent="0.2">
      <c r="A3799" s="42"/>
      <c r="B3799" s="42"/>
      <c r="C3799" s="42"/>
      <c r="D3799" s="42"/>
      <c r="E3799" s="42"/>
      <c r="F3799" s="42"/>
      <c r="G3799" s="42"/>
      <c r="H3799" s="42"/>
      <c r="I3799" s="42"/>
      <c r="J3799" s="42"/>
      <c r="K3799" s="42"/>
      <c r="L3799" s="42"/>
      <c r="M3799" s="42"/>
    </row>
    <row r="3800" spans="1:13" x14ac:dyDescent="0.2">
      <c r="A3800" s="42"/>
      <c r="B3800" s="42"/>
      <c r="C3800" s="42"/>
      <c r="D3800" s="42"/>
      <c r="E3800" s="42"/>
      <c r="F3800" s="42"/>
      <c r="G3800" s="42"/>
      <c r="H3800" s="42"/>
      <c r="I3800" s="42"/>
      <c r="J3800" s="42"/>
      <c r="K3800" s="42"/>
      <c r="L3800" s="42"/>
      <c r="M3800" s="42"/>
    </row>
    <row r="3801" spans="1:13" x14ac:dyDescent="0.2">
      <c r="A3801" s="42"/>
      <c r="B3801" s="42"/>
      <c r="C3801" s="42"/>
      <c r="D3801" s="42"/>
      <c r="E3801" s="42"/>
      <c r="F3801" s="42"/>
      <c r="G3801" s="42"/>
      <c r="H3801" s="42"/>
      <c r="I3801" s="42"/>
      <c r="J3801" s="42"/>
      <c r="K3801" s="42"/>
      <c r="L3801" s="42"/>
      <c r="M3801" s="42"/>
    </row>
    <row r="3802" spans="1:13" x14ac:dyDescent="0.2">
      <c r="A3802" s="42"/>
      <c r="B3802" s="42"/>
      <c r="C3802" s="42"/>
      <c r="D3802" s="42"/>
      <c r="E3802" s="42"/>
      <c r="F3802" s="42"/>
      <c r="G3802" s="42"/>
      <c r="H3802" s="42"/>
      <c r="I3802" s="42"/>
      <c r="J3802" s="42"/>
      <c r="K3802" s="42"/>
      <c r="L3802" s="42"/>
      <c r="M3802" s="42"/>
    </row>
    <row r="3803" spans="1:13" x14ac:dyDescent="0.2">
      <c r="A3803" s="42"/>
      <c r="B3803" s="42"/>
      <c r="C3803" s="42"/>
      <c r="D3803" s="42"/>
      <c r="E3803" s="42"/>
      <c r="F3803" s="42"/>
      <c r="G3803" s="42"/>
      <c r="H3803" s="42"/>
      <c r="I3803" s="42"/>
      <c r="J3803" s="42"/>
      <c r="K3803" s="42"/>
      <c r="L3803" s="42"/>
      <c r="M3803" s="42"/>
    </row>
    <row r="3804" spans="1:13" x14ac:dyDescent="0.2">
      <c r="A3804" s="42"/>
      <c r="B3804" s="42"/>
      <c r="C3804" s="42"/>
      <c r="D3804" s="42"/>
      <c r="E3804" s="42"/>
      <c r="F3804" s="42"/>
      <c r="G3804" s="42"/>
      <c r="H3804" s="42"/>
      <c r="I3804" s="42"/>
      <c r="J3804" s="42"/>
      <c r="K3804" s="42"/>
      <c r="L3804" s="42"/>
      <c r="M3804" s="42"/>
    </row>
    <row r="3805" spans="1:13" x14ac:dyDescent="0.2">
      <c r="A3805" s="42"/>
      <c r="B3805" s="42"/>
      <c r="C3805" s="42"/>
      <c r="D3805" s="42"/>
      <c r="E3805" s="42"/>
      <c r="F3805" s="42"/>
      <c r="G3805" s="42"/>
      <c r="H3805" s="42"/>
      <c r="I3805" s="42"/>
      <c r="J3805" s="42"/>
      <c r="K3805" s="42"/>
      <c r="L3805" s="42"/>
      <c r="M3805" s="42"/>
    </row>
    <row r="3806" spans="1:13" x14ac:dyDescent="0.2">
      <c r="A3806" s="42"/>
      <c r="B3806" s="42"/>
      <c r="C3806" s="42"/>
      <c r="D3806" s="42"/>
      <c r="E3806" s="42"/>
      <c r="F3806" s="42"/>
      <c r="G3806" s="42"/>
      <c r="H3806" s="42"/>
      <c r="I3806" s="42"/>
      <c r="J3806" s="42"/>
      <c r="K3806" s="42"/>
      <c r="L3806" s="42"/>
      <c r="M3806" s="42"/>
    </row>
    <row r="3807" spans="1:13" x14ac:dyDescent="0.2">
      <c r="A3807" s="42"/>
      <c r="B3807" s="42"/>
      <c r="C3807" s="42"/>
      <c r="D3807" s="42"/>
      <c r="E3807" s="42"/>
      <c r="F3807" s="42"/>
      <c r="G3807" s="42"/>
      <c r="H3807" s="42"/>
      <c r="I3807" s="42"/>
      <c r="J3807" s="42"/>
      <c r="K3807" s="42"/>
      <c r="L3807" s="42"/>
      <c r="M3807" s="42"/>
    </row>
    <row r="3808" spans="1:13" x14ac:dyDescent="0.2">
      <c r="A3808" s="42"/>
      <c r="B3808" s="42"/>
      <c r="C3808" s="42"/>
      <c r="D3808" s="42"/>
      <c r="E3808" s="42"/>
      <c r="F3808" s="42"/>
      <c r="G3808" s="42"/>
      <c r="H3808" s="42"/>
      <c r="I3808" s="42"/>
      <c r="J3808" s="42"/>
      <c r="K3808" s="42"/>
      <c r="L3808" s="42"/>
      <c r="M3808" s="42"/>
    </row>
    <row r="3809" spans="1:13" x14ac:dyDescent="0.2">
      <c r="A3809" s="42"/>
      <c r="B3809" s="42"/>
      <c r="C3809" s="42"/>
      <c r="D3809" s="42"/>
      <c r="E3809" s="42"/>
      <c r="F3809" s="42"/>
      <c r="G3809" s="42"/>
      <c r="H3809" s="42"/>
      <c r="I3809" s="42"/>
      <c r="J3809" s="42"/>
      <c r="K3809" s="42"/>
      <c r="L3809" s="42"/>
      <c r="M3809" s="42"/>
    </row>
    <row r="3810" spans="1:13" x14ac:dyDescent="0.2">
      <c r="A3810" s="42"/>
      <c r="B3810" s="42"/>
      <c r="C3810" s="42"/>
      <c r="D3810" s="42"/>
      <c r="E3810" s="42"/>
      <c r="F3810" s="42"/>
      <c r="G3810" s="42"/>
      <c r="H3810" s="42"/>
      <c r="I3810" s="42"/>
      <c r="J3810" s="42"/>
      <c r="K3810" s="42"/>
      <c r="L3810" s="42"/>
      <c r="M3810" s="42"/>
    </row>
    <row r="3811" spans="1:13" x14ac:dyDescent="0.2">
      <c r="A3811" s="42"/>
      <c r="B3811" s="42"/>
      <c r="C3811" s="42"/>
      <c r="D3811" s="42"/>
      <c r="E3811" s="42"/>
      <c r="F3811" s="42"/>
      <c r="G3811" s="42"/>
      <c r="H3811" s="42"/>
      <c r="I3811" s="42"/>
      <c r="J3811" s="42"/>
      <c r="K3811" s="42"/>
      <c r="L3811" s="42"/>
      <c r="M3811" s="42"/>
    </row>
    <row r="3812" spans="1:13" x14ac:dyDescent="0.2">
      <c r="A3812" s="42"/>
      <c r="B3812" s="42"/>
      <c r="C3812" s="42"/>
      <c r="D3812" s="42"/>
      <c r="E3812" s="42"/>
      <c r="F3812" s="42"/>
      <c r="G3812" s="42"/>
      <c r="H3812" s="42"/>
      <c r="I3812" s="42"/>
      <c r="J3812" s="42"/>
      <c r="K3812" s="42"/>
      <c r="L3812" s="42"/>
      <c r="M3812" s="42"/>
    </row>
    <row r="3813" spans="1:13" x14ac:dyDescent="0.2">
      <c r="A3813" s="42"/>
      <c r="B3813" s="42"/>
      <c r="C3813" s="42"/>
      <c r="D3813" s="42"/>
      <c r="E3813" s="42"/>
      <c r="F3813" s="42"/>
      <c r="G3813" s="42"/>
      <c r="H3813" s="42"/>
      <c r="I3813" s="42"/>
      <c r="J3813" s="42"/>
      <c r="K3813" s="42"/>
      <c r="L3813" s="42"/>
      <c r="M3813" s="42"/>
    </row>
    <row r="3814" spans="1:13" x14ac:dyDescent="0.2">
      <c r="A3814" s="42"/>
      <c r="B3814" s="42"/>
      <c r="C3814" s="42"/>
      <c r="D3814" s="42"/>
      <c r="E3814" s="42"/>
      <c r="F3814" s="42"/>
      <c r="G3814" s="42"/>
      <c r="H3814" s="42"/>
      <c r="I3814" s="42"/>
      <c r="J3814" s="42"/>
      <c r="K3814" s="42"/>
      <c r="L3814" s="42"/>
      <c r="M3814" s="42"/>
    </row>
    <row r="3815" spans="1:13" x14ac:dyDescent="0.2">
      <c r="A3815" s="42"/>
      <c r="B3815" s="42"/>
      <c r="C3815" s="42"/>
      <c r="D3815" s="42"/>
      <c r="E3815" s="42"/>
      <c r="F3815" s="42"/>
      <c r="G3815" s="42"/>
      <c r="H3815" s="42"/>
      <c r="I3815" s="42"/>
      <c r="J3815" s="42"/>
      <c r="K3815" s="42"/>
      <c r="L3815" s="42"/>
      <c r="M3815" s="42"/>
    </row>
    <row r="3816" spans="1:13" x14ac:dyDescent="0.2">
      <c r="A3816" s="42"/>
      <c r="B3816" s="42"/>
      <c r="C3816" s="42"/>
      <c r="D3816" s="42"/>
      <c r="E3816" s="42"/>
      <c r="F3816" s="42"/>
      <c r="G3816" s="42"/>
      <c r="H3816" s="42"/>
      <c r="I3816" s="42"/>
      <c r="J3816" s="42"/>
      <c r="K3816" s="42"/>
      <c r="L3816" s="42"/>
      <c r="M3816" s="42"/>
    </row>
    <row r="3817" spans="1:13" x14ac:dyDescent="0.2">
      <c r="A3817" s="42"/>
      <c r="B3817" s="42"/>
      <c r="C3817" s="42"/>
      <c r="D3817" s="42"/>
      <c r="E3817" s="42"/>
      <c r="F3817" s="42"/>
      <c r="G3817" s="42"/>
      <c r="H3817" s="42"/>
      <c r="I3817" s="42"/>
      <c r="J3817" s="42"/>
      <c r="K3817" s="42"/>
      <c r="L3817" s="42"/>
      <c r="M3817" s="42"/>
    </row>
    <row r="3818" spans="1:13" x14ac:dyDescent="0.2">
      <c r="A3818" s="42"/>
      <c r="B3818" s="42"/>
      <c r="C3818" s="42"/>
      <c r="D3818" s="42"/>
      <c r="E3818" s="42"/>
      <c r="F3818" s="42"/>
      <c r="G3818" s="42"/>
      <c r="H3818" s="42"/>
      <c r="I3818" s="42"/>
      <c r="J3818" s="42"/>
      <c r="K3818" s="42"/>
      <c r="L3818" s="42"/>
      <c r="M3818" s="42"/>
    </row>
    <row r="3819" spans="1:13" x14ac:dyDescent="0.2">
      <c r="A3819" s="42"/>
      <c r="B3819" s="42"/>
      <c r="C3819" s="42"/>
      <c r="D3819" s="42"/>
      <c r="E3819" s="42"/>
      <c r="F3819" s="42"/>
      <c r="G3819" s="42"/>
      <c r="H3819" s="42"/>
      <c r="I3819" s="42"/>
      <c r="J3819" s="42"/>
      <c r="K3819" s="42"/>
      <c r="L3819" s="42"/>
      <c r="M3819" s="42"/>
    </row>
    <row r="3820" spans="1:13" x14ac:dyDescent="0.2">
      <c r="A3820" s="42"/>
      <c r="B3820" s="42"/>
      <c r="C3820" s="42"/>
      <c r="D3820" s="42"/>
      <c r="E3820" s="42"/>
      <c r="F3820" s="42"/>
      <c r="G3820" s="42"/>
      <c r="H3820" s="42"/>
      <c r="I3820" s="42"/>
      <c r="J3820" s="42"/>
      <c r="K3820" s="42"/>
      <c r="L3820" s="42"/>
      <c r="M3820" s="42"/>
    </row>
    <row r="3821" spans="1:13" x14ac:dyDescent="0.2">
      <c r="A3821" s="42"/>
      <c r="B3821" s="42"/>
      <c r="C3821" s="42"/>
      <c r="D3821" s="42"/>
      <c r="E3821" s="42"/>
      <c r="F3821" s="42"/>
      <c r="G3821" s="42"/>
      <c r="H3821" s="42"/>
      <c r="I3821" s="42"/>
      <c r="J3821" s="42"/>
      <c r="K3821" s="42"/>
      <c r="L3821" s="42"/>
      <c r="M3821" s="42"/>
    </row>
    <row r="3822" spans="1:13" x14ac:dyDescent="0.2">
      <c r="A3822" s="42"/>
      <c r="B3822" s="42"/>
      <c r="C3822" s="42"/>
      <c r="D3822" s="42"/>
      <c r="E3822" s="42"/>
      <c r="F3822" s="42"/>
      <c r="G3822" s="42"/>
      <c r="H3822" s="42"/>
      <c r="I3822" s="42"/>
      <c r="J3822" s="42"/>
      <c r="K3822" s="42"/>
      <c r="L3822" s="42"/>
      <c r="M3822" s="42"/>
    </row>
    <row r="3823" spans="1:13" x14ac:dyDescent="0.2">
      <c r="A3823" s="42"/>
      <c r="B3823" s="42"/>
      <c r="C3823" s="42"/>
      <c r="D3823" s="42"/>
      <c r="E3823" s="42"/>
      <c r="F3823" s="42"/>
      <c r="G3823" s="42"/>
      <c r="H3823" s="42"/>
      <c r="I3823" s="42"/>
      <c r="J3823" s="42"/>
      <c r="K3823" s="42"/>
      <c r="L3823" s="42"/>
      <c r="M3823" s="42"/>
    </row>
    <row r="3824" spans="1:13" x14ac:dyDescent="0.2">
      <c r="A3824" s="42"/>
      <c r="B3824" s="42"/>
      <c r="C3824" s="42"/>
      <c r="D3824" s="42"/>
      <c r="E3824" s="42"/>
      <c r="F3824" s="42"/>
      <c r="G3824" s="42"/>
      <c r="H3824" s="42"/>
      <c r="I3824" s="42"/>
      <c r="J3824" s="42"/>
      <c r="K3824" s="42"/>
      <c r="L3824" s="42"/>
      <c r="M3824" s="42"/>
    </row>
    <row r="3825" spans="1:13" x14ac:dyDescent="0.2">
      <c r="A3825" s="42"/>
      <c r="B3825" s="42"/>
      <c r="C3825" s="42"/>
      <c r="D3825" s="42"/>
      <c r="E3825" s="42"/>
      <c r="F3825" s="42"/>
      <c r="G3825" s="42"/>
      <c r="H3825" s="42"/>
      <c r="I3825" s="42"/>
      <c r="J3825" s="42"/>
      <c r="K3825" s="42"/>
      <c r="L3825" s="42"/>
      <c r="M3825" s="42"/>
    </row>
    <row r="3826" spans="1:13" x14ac:dyDescent="0.2">
      <c r="A3826" s="42"/>
      <c r="B3826" s="42"/>
      <c r="C3826" s="42"/>
      <c r="D3826" s="42"/>
      <c r="E3826" s="42"/>
      <c r="F3826" s="42"/>
      <c r="G3826" s="42"/>
      <c r="H3826" s="42"/>
      <c r="I3826" s="42"/>
      <c r="J3826" s="42"/>
      <c r="K3826" s="42"/>
      <c r="L3826" s="42"/>
      <c r="M3826" s="42"/>
    </row>
    <row r="3827" spans="1:13" x14ac:dyDescent="0.2">
      <c r="A3827" s="42"/>
      <c r="B3827" s="42"/>
      <c r="C3827" s="42"/>
      <c r="D3827" s="42"/>
      <c r="E3827" s="42"/>
      <c r="F3827" s="42"/>
      <c r="G3827" s="42"/>
      <c r="H3827" s="42"/>
      <c r="I3827" s="42"/>
      <c r="J3827" s="42"/>
      <c r="K3827" s="42"/>
      <c r="L3827" s="42"/>
      <c r="M3827" s="42"/>
    </row>
    <row r="3828" spans="1:13" x14ac:dyDescent="0.2">
      <c r="A3828" s="42"/>
      <c r="B3828" s="42"/>
      <c r="C3828" s="42"/>
      <c r="D3828" s="42"/>
      <c r="E3828" s="42"/>
      <c r="F3828" s="42"/>
      <c r="G3828" s="42"/>
      <c r="H3828" s="42"/>
      <c r="I3828" s="42"/>
      <c r="J3828" s="42"/>
      <c r="K3828" s="42"/>
      <c r="L3828" s="42"/>
      <c r="M3828" s="42"/>
    </row>
    <row r="3829" spans="1:13" x14ac:dyDescent="0.2">
      <c r="A3829" s="42"/>
      <c r="B3829" s="42"/>
      <c r="C3829" s="42"/>
      <c r="D3829" s="42"/>
      <c r="E3829" s="42"/>
      <c r="F3829" s="42"/>
      <c r="G3829" s="42"/>
      <c r="H3829" s="42"/>
      <c r="I3829" s="42"/>
      <c r="J3829" s="42"/>
      <c r="K3829" s="42"/>
      <c r="L3829" s="42"/>
      <c r="M3829" s="42"/>
    </row>
    <row r="3830" spans="1:13" x14ac:dyDescent="0.2">
      <c r="A3830" s="42"/>
      <c r="B3830" s="42"/>
      <c r="C3830" s="42"/>
      <c r="D3830" s="42"/>
      <c r="E3830" s="42"/>
      <c r="F3830" s="42"/>
      <c r="G3830" s="42"/>
      <c r="H3830" s="42"/>
      <c r="I3830" s="42"/>
      <c r="J3830" s="42"/>
      <c r="K3830" s="42"/>
      <c r="L3830" s="42"/>
      <c r="M3830" s="42"/>
    </row>
    <row r="3831" spans="1:13" x14ac:dyDescent="0.2">
      <c r="A3831" s="42"/>
      <c r="B3831" s="42"/>
      <c r="C3831" s="42"/>
      <c r="D3831" s="42"/>
      <c r="E3831" s="42"/>
      <c r="F3831" s="42"/>
      <c r="G3831" s="42"/>
      <c r="H3831" s="42"/>
      <c r="I3831" s="42"/>
      <c r="J3831" s="42"/>
      <c r="K3831" s="42"/>
      <c r="L3831" s="42"/>
      <c r="M3831" s="42"/>
    </row>
    <row r="3832" spans="1:13" x14ac:dyDescent="0.2">
      <c r="A3832" s="42"/>
      <c r="B3832" s="42"/>
      <c r="C3832" s="42"/>
      <c r="D3832" s="42"/>
      <c r="E3832" s="42"/>
      <c r="F3832" s="42"/>
      <c r="G3832" s="42"/>
      <c r="H3832" s="42"/>
      <c r="I3832" s="42"/>
      <c r="J3832" s="42"/>
      <c r="K3832" s="42"/>
      <c r="L3832" s="42"/>
      <c r="M3832" s="42"/>
    </row>
    <row r="3833" spans="1:13" x14ac:dyDescent="0.2">
      <c r="A3833" s="42"/>
      <c r="B3833" s="42"/>
      <c r="C3833" s="42"/>
      <c r="D3833" s="42"/>
      <c r="E3833" s="42"/>
      <c r="F3833" s="42"/>
      <c r="G3833" s="42"/>
      <c r="H3833" s="42"/>
      <c r="I3833" s="42"/>
      <c r="J3833" s="42"/>
      <c r="K3833" s="42"/>
      <c r="L3833" s="42"/>
      <c r="M3833" s="42"/>
    </row>
    <row r="3834" spans="1:13" x14ac:dyDescent="0.2">
      <c r="A3834" s="42"/>
      <c r="B3834" s="42"/>
      <c r="C3834" s="42"/>
      <c r="D3834" s="42"/>
      <c r="E3834" s="42"/>
      <c r="F3834" s="42"/>
      <c r="G3834" s="42"/>
      <c r="H3834" s="42"/>
      <c r="I3834" s="42"/>
      <c r="J3834" s="42"/>
      <c r="K3834" s="42"/>
      <c r="L3834" s="42"/>
      <c r="M3834" s="42"/>
    </row>
    <row r="3835" spans="1:13" x14ac:dyDescent="0.2">
      <c r="A3835" s="42"/>
      <c r="B3835" s="42"/>
      <c r="C3835" s="42"/>
      <c r="D3835" s="42"/>
      <c r="E3835" s="42"/>
      <c r="F3835" s="42"/>
      <c r="G3835" s="42"/>
      <c r="H3835" s="42"/>
      <c r="I3835" s="42"/>
      <c r="J3835" s="42"/>
      <c r="K3835" s="42"/>
      <c r="L3835" s="42"/>
      <c r="M3835" s="42"/>
    </row>
    <row r="3836" spans="1:13" x14ac:dyDescent="0.2">
      <c r="A3836" s="42"/>
      <c r="B3836" s="42"/>
      <c r="C3836" s="42"/>
      <c r="D3836" s="42"/>
      <c r="E3836" s="42"/>
      <c r="F3836" s="42"/>
      <c r="G3836" s="42"/>
      <c r="H3836" s="42"/>
      <c r="I3836" s="42"/>
      <c r="J3836" s="42"/>
      <c r="K3836" s="42"/>
      <c r="L3836" s="42"/>
      <c r="M3836" s="42"/>
    </row>
    <row r="3837" spans="1:13" x14ac:dyDescent="0.2">
      <c r="A3837" s="42"/>
      <c r="B3837" s="42"/>
      <c r="C3837" s="42"/>
      <c r="D3837" s="42"/>
      <c r="E3837" s="42"/>
      <c r="F3837" s="42"/>
      <c r="G3837" s="42"/>
      <c r="H3837" s="42"/>
      <c r="I3837" s="42"/>
      <c r="J3837" s="42"/>
      <c r="K3837" s="42"/>
      <c r="L3837" s="42"/>
      <c r="M3837" s="42"/>
    </row>
    <row r="3838" spans="1:13" x14ac:dyDescent="0.2">
      <c r="A3838" s="42"/>
      <c r="B3838" s="42"/>
      <c r="C3838" s="42"/>
      <c r="D3838" s="42"/>
      <c r="E3838" s="42"/>
      <c r="F3838" s="42"/>
      <c r="G3838" s="42"/>
      <c r="H3838" s="42"/>
      <c r="I3838" s="42"/>
      <c r="J3838" s="42"/>
      <c r="K3838" s="42"/>
      <c r="L3838" s="42"/>
      <c r="M3838" s="42"/>
    </row>
    <row r="3839" spans="1:13" x14ac:dyDescent="0.2">
      <c r="A3839" s="42"/>
      <c r="B3839" s="42"/>
      <c r="C3839" s="42"/>
      <c r="D3839" s="42"/>
      <c r="E3839" s="42"/>
      <c r="F3839" s="42"/>
      <c r="G3839" s="42"/>
      <c r="H3839" s="42"/>
      <c r="I3839" s="42"/>
      <c r="J3839" s="42"/>
      <c r="K3839" s="42"/>
      <c r="L3839" s="42"/>
      <c r="M3839" s="42"/>
    </row>
    <row r="3840" spans="1:13" x14ac:dyDescent="0.2">
      <c r="A3840" s="42"/>
      <c r="B3840" s="42"/>
      <c r="C3840" s="42"/>
      <c r="D3840" s="42"/>
      <c r="E3840" s="42"/>
      <c r="F3840" s="42"/>
      <c r="G3840" s="42"/>
      <c r="H3840" s="42"/>
      <c r="I3840" s="42"/>
      <c r="J3840" s="42"/>
      <c r="K3840" s="42"/>
      <c r="L3840" s="42"/>
      <c r="M3840" s="42"/>
    </row>
    <row r="3841" spans="1:13" x14ac:dyDescent="0.2">
      <c r="A3841" s="42"/>
      <c r="B3841" s="42"/>
      <c r="C3841" s="42"/>
      <c r="D3841" s="42"/>
      <c r="E3841" s="42"/>
      <c r="F3841" s="42"/>
      <c r="G3841" s="42"/>
      <c r="H3841" s="42"/>
      <c r="I3841" s="42"/>
      <c r="J3841" s="42"/>
      <c r="K3841" s="42"/>
      <c r="L3841" s="42"/>
      <c r="M3841" s="42"/>
    </row>
    <row r="3842" spans="1:13" x14ac:dyDescent="0.2">
      <c r="A3842" s="42"/>
      <c r="B3842" s="42"/>
      <c r="C3842" s="42"/>
      <c r="D3842" s="42"/>
      <c r="E3842" s="42"/>
      <c r="F3842" s="42"/>
      <c r="G3842" s="42"/>
      <c r="H3842" s="42"/>
      <c r="I3842" s="42"/>
      <c r="J3842" s="42"/>
      <c r="K3842" s="42"/>
      <c r="L3842" s="42"/>
      <c r="M3842" s="42"/>
    </row>
    <row r="3843" spans="1:13" x14ac:dyDescent="0.2">
      <c r="A3843" s="42"/>
      <c r="B3843" s="42"/>
      <c r="C3843" s="42"/>
      <c r="D3843" s="42"/>
      <c r="E3843" s="42"/>
      <c r="F3843" s="42"/>
      <c r="G3843" s="42"/>
      <c r="H3843" s="42"/>
      <c r="I3843" s="42"/>
      <c r="J3843" s="42"/>
      <c r="K3843" s="42"/>
      <c r="L3843" s="42"/>
      <c r="M3843" s="42"/>
    </row>
    <row r="3844" spans="1:13" x14ac:dyDescent="0.2">
      <c r="A3844" s="42"/>
      <c r="B3844" s="42"/>
      <c r="C3844" s="42"/>
      <c r="D3844" s="42"/>
      <c r="E3844" s="42"/>
      <c r="F3844" s="42"/>
      <c r="G3844" s="42"/>
      <c r="H3844" s="42"/>
      <c r="I3844" s="42"/>
      <c r="J3844" s="42"/>
      <c r="K3844" s="42"/>
      <c r="L3844" s="42"/>
      <c r="M3844" s="42"/>
    </row>
    <row r="3845" spans="1:13" x14ac:dyDescent="0.2">
      <c r="A3845" s="42"/>
      <c r="B3845" s="42"/>
      <c r="C3845" s="42"/>
      <c r="D3845" s="42"/>
      <c r="E3845" s="42"/>
      <c r="F3845" s="42"/>
      <c r="G3845" s="42"/>
      <c r="H3845" s="42"/>
      <c r="I3845" s="42"/>
      <c r="J3845" s="42"/>
      <c r="K3845" s="42"/>
      <c r="L3845" s="42"/>
      <c r="M3845" s="42"/>
    </row>
    <row r="3846" spans="1:13" x14ac:dyDescent="0.2">
      <c r="A3846" s="42"/>
      <c r="B3846" s="42"/>
      <c r="C3846" s="42"/>
      <c r="D3846" s="42"/>
      <c r="E3846" s="42"/>
      <c r="F3846" s="42"/>
      <c r="G3846" s="42"/>
      <c r="H3846" s="42"/>
      <c r="I3846" s="42"/>
      <c r="J3846" s="42"/>
      <c r="K3846" s="42"/>
      <c r="L3846" s="42"/>
      <c r="M3846" s="42"/>
    </row>
    <row r="3847" spans="1:13" x14ac:dyDescent="0.2">
      <c r="A3847" s="42"/>
      <c r="B3847" s="42"/>
      <c r="C3847" s="42"/>
      <c r="D3847" s="42"/>
      <c r="E3847" s="42"/>
      <c r="F3847" s="42"/>
      <c r="G3847" s="42"/>
      <c r="H3847" s="42"/>
      <c r="I3847" s="42"/>
      <c r="J3847" s="42"/>
      <c r="K3847" s="42"/>
      <c r="L3847" s="42"/>
      <c r="M3847" s="42"/>
    </row>
    <row r="3848" spans="1:13" x14ac:dyDescent="0.2">
      <c r="A3848" s="42"/>
      <c r="B3848" s="42"/>
      <c r="C3848" s="42"/>
      <c r="D3848" s="42"/>
      <c r="E3848" s="42"/>
      <c r="F3848" s="42"/>
      <c r="G3848" s="42"/>
      <c r="H3848" s="42"/>
      <c r="I3848" s="42"/>
      <c r="J3848" s="42"/>
      <c r="K3848" s="42"/>
      <c r="L3848" s="42"/>
      <c r="M3848" s="42"/>
    </row>
    <row r="3849" spans="1:13" x14ac:dyDescent="0.2">
      <c r="A3849" s="42"/>
      <c r="B3849" s="42"/>
      <c r="C3849" s="42"/>
      <c r="D3849" s="42"/>
      <c r="E3849" s="42"/>
      <c r="F3849" s="42"/>
      <c r="G3849" s="42"/>
      <c r="H3849" s="42"/>
      <c r="I3849" s="42"/>
      <c r="J3849" s="42"/>
      <c r="K3849" s="42"/>
      <c r="L3849" s="42"/>
      <c r="M3849" s="42"/>
    </row>
    <row r="3850" spans="1:13" x14ac:dyDescent="0.2">
      <c r="A3850" s="42"/>
      <c r="B3850" s="42"/>
      <c r="C3850" s="42"/>
      <c r="D3850" s="42"/>
      <c r="E3850" s="42"/>
      <c r="F3850" s="42"/>
      <c r="G3850" s="42"/>
      <c r="H3850" s="42"/>
      <c r="I3850" s="42"/>
      <c r="J3850" s="42"/>
      <c r="K3850" s="42"/>
      <c r="L3850" s="42"/>
      <c r="M3850" s="42"/>
    </row>
    <row r="3851" spans="1:13" x14ac:dyDescent="0.2">
      <c r="A3851" s="42"/>
      <c r="B3851" s="42"/>
      <c r="C3851" s="42"/>
      <c r="D3851" s="42"/>
      <c r="E3851" s="42"/>
      <c r="F3851" s="42"/>
      <c r="G3851" s="42"/>
      <c r="H3851" s="42"/>
      <c r="I3851" s="42"/>
      <c r="J3851" s="42"/>
      <c r="K3851" s="42"/>
      <c r="L3851" s="42"/>
      <c r="M3851" s="42"/>
    </row>
    <row r="3852" spans="1:13" x14ac:dyDescent="0.2">
      <c r="A3852" s="42"/>
      <c r="B3852" s="42"/>
      <c r="C3852" s="42"/>
      <c r="D3852" s="42"/>
      <c r="E3852" s="42"/>
      <c r="F3852" s="42"/>
      <c r="G3852" s="42"/>
      <c r="H3852" s="42"/>
      <c r="I3852" s="42"/>
      <c r="J3852" s="42"/>
      <c r="K3852" s="42"/>
      <c r="L3852" s="42"/>
      <c r="M3852" s="42"/>
    </row>
    <row r="3853" spans="1:13" x14ac:dyDescent="0.2">
      <c r="A3853" s="42"/>
      <c r="B3853" s="42"/>
      <c r="C3853" s="42"/>
      <c r="D3853" s="42"/>
      <c r="E3853" s="42"/>
      <c r="F3853" s="42"/>
      <c r="G3853" s="42"/>
      <c r="H3853" s="42"/>
      <c r="I3853" s="42"/>
      <c r="J3853" s="42"/>
      <c r="K3853" s="42"/>
      <c r="L3853" s="42"/>
      <c r="M3853" s="42"/>
    </row>
    <row r="3854" spans="1:13" x14ac:dyDescent="0.2">
      <c r="A3854" s="42"/>
      <c r="B3854" s="42"/>
      <c r="C3854" s="42"/>
      <c r="D3854" s="42"/>
      <c r="E3854" s="42"/>
      <c r="F3854" s="42"/>
      <c r="G3854" s="42"/>
      <c r="H3854" s="42"/>
      <c r="I3854" s="42"/>
      <c r="J3854" s="42"/>
      <c r="K3854" s="42"/>
      <c r="L3854" s="42"/>
      <c r="M3854" s="42"/>
    </row>
    <row r="3855" spans="1:13" x14ac:dyDescent="0.2">
      <c r="A3855" s="42"/>
      <c r="B3855" s="42"/>
      <c r="C3855" s="42"/>
      <c r="D3855" s="42"/>
      <c r="E3855" s="42"/>
      <c r="F3855" s="42"/>
      <c r="G3855" s="42"/>
      <c r="H3855" s="42"/>
      <c r="I3855" s="42"/>
      <c r="J3855" s="42"/>
      <c r="K3855" s="42"/>
      <c r="L3855" s="42"/>
      <c r="M3855" s="42"/>
    </row>
    <row r="3856" spans="1:13" x14ac:dyDescent="0.2">
      <c r="A3856" s="42"/>
      <c r="B3856" s="42"/>
      <c r="C3856" s="42"/>
      <c r="D3856" s="42"/>
      <c r="E3856" s="42"/>
      <c r="F3856" s="42"/>
      <c r="G3856" s="42"/>
      <c r="H3856" s="42"/>
      <c r="I3856" s="42"/>
      <c r="J3856" s="42"/>
      <c r="K3856" s="42"/>
      <c r="L3856" s="42"/>
      <c r="M3856" s="42"/>
    </row>
    <row r="3857" spans="1:13" x14ac:dyDescent="0.2">
      <c r="A3857" s="42"/>
      <c r="B3857" s="42"/>
      <c r="C3857" s="42"/>
      <c r="D3857" s="42"/>
      <c r="E3857" s="42"/>
      <c r="F3857" s="42"/>
      <c r="G3857" s="42"/>
      <c r="H3857" s="42"/>
      <c r="I3857" s="42"/>
      <c r="J3857" s="42"/>
      <c r="K3857" s="42"/>
      <c r="L3857" s="42"/>
      <c r="M3857" s="42"/>
    </row>
    <row r="3858" spans="1:13" x14ac:dyDescent="0.2">
      <c r="A3858" s="42"/>
      <c r="B3858" s="42"/>
      <c r="C3858" s="42"/>
      <c r="D3858" s="42"/>
      <c r="E3858" s="42"/>
      <c r="F3858" s="42"/>
      <c r="G3858" s="42"/>
      <c r="H3858" s="42"/>
      <c r="I3858" s="42"/>
      <c r="J3858" s="42"/>
      <c r="K3858" s="42"/>
      <c r="L3858" s="42"/>
      <c r="M3858" s="42"/>
    </row>
    <row r="3859" spans="1:13" x14ac:dyDescent="0.2">
      <c r="A3859" s="42"/>
      <c r="B3859" s="42"/>
      <c r="C3859" s="42"/>
      <c r="D3859" s="42"/>
      <c r="E3859" s="42"/>
      <c r="F3859" s="42"/>
      <c r="G3859" s="42"/>
      <c r="H3859" s="42"/>
      <c r="I3859" s="42"/>
      <c r="J3859" s="42"/>
      <c r="K3859" s="42"/>
      <c r="L3859" s="42"/>
      <c r="M3859" s="42"/>
    </row>
    <row r="3860" spans="1:13" x14ac:dyDescent="0.2">
      <c r="A3860" s="42"/>
      <c r="B3860" s="42"/>
      <c r="C3860" s="42"/>
      <c r="D3860" s="42"/>
      <c r="E3860" s="42"/>
      <c r="F3860" s="42"/>
      <c r="G3860" s="42"/>
      <c r="H3860" s="42"/>
      <c r="I3860" s="42"/>
      <c r="J3860" s="42"/>
      <c r="K3860" s="42"/>
      <c r="L3860" s="42"/>
      <c r="M3860" s="42"/>
    </row>
    <row r="3861" spans="1:13" x14ac:dyDescent="0.2">
      <c r="A3861" s="42"/>
      <c r="B3861" s="42"/>
      <c r="C3861" s="42"/>
      <c r="D3861" s="42"/>
      <c r="E3861" s="42"/>
      <c r="F3861" s="42"/>
      <c r="G3861" s="42"/>
      <c r="H3861" s="42"/>
      <c r="I3861" s="42"/>
      <c r="J3861" s="42"/>
      <c r="K3861" s="42"/>
      <c r="L3861" s="42"/>
      <c r="M3861" s="42"/>
    </row>
    <row r="3862" spans="1:13" x14ac:dyDescent="0.2">
      <c r="A3862" s="42"/>
      <c r="B3862" s="42"/>
      <c r="C3862" s="42"/>
      <c r="D3862" s="42"/>
      <c r="E3862" s="42"/>
      <c r="F3862" s="42"/>
      <c r="G3862" s="42"/>
      <c r="H3862" s="42"/>
      <c r="I3862" s="42"/>
      <c r="J3862" s="42"/>
      <c r="K3862" s="42"/>
      <c r="L3862" s="42"/>
      <c r="M3862" s="42"/>
    </row>
    <row r="3863" spans="1:13" x14ac:dyDescent="0.2">
      <c r="A3863" s="42"/>
      <c r="B3863" s="42"/>
      <c r="C3863" s="42"/>
      <c r="D3863" s="42"/>
      <c r="E3863" s="42"/>
      <c r="F3863" s="42"/>
      <c r="G3863" s="42"/>
      <c r="H3863" s="42"/>
      <c r="I3863" s="42"/>
      <c r="J3863" s="42"/>
      <c r="K3863" s="42"/>
      <c r="L3863" s="42"/>
      <c r="M3863" s="42"/>
    </row>
    <row r="3864" spans="1:13" x14ac:dyDescent="0.2">
      <c r="A3864" s="42"/>
      <c r="B3864" s="42"/>
      <c r="C3864" s="42"/>
      <c r="D3864" s="42"/>
      <c r="E3864" s="42"/>
      <c r="F3864" s="42"/>
      <c r="G3864" s="42"/>
      <c r="H3864" s="42"/>
      <c r="I3864" s="42"/>
      <c r="J3864" s="42"/>
      <c r="K3864" s="42"/>
      <c r="L3864" s="42"/>
      <c r="M3864" s="42"/>
    </row>
    <row r="3865" spans="1:13" x14ac:dyDescent="0.2">
      <c r="A3865" s="42"/>
      <c r="B3865" s="42"/>
      <c r="C3865" s="42"/>
      <c r="D3865" s="42"/>
      <c r="E3865" s="42"/>
      <c r="F3865" s="42"/>
      <c r="G3865" s="42"/>
      <c r="H3865" s="42"/>
      <c r="I3865" s="42"/>
      <c r="J3865" s="42"/>
      <c r="K3865" s="42"/>
      <c r="L3865" s="42"/>
      <c r="M3865" s="42"/>
    </row>
    <row r="3866" spans="1:13" x14ac:dyDescent="0.2">
      <c r="A3866" s="42"/>
      <c r="B3866" s="42"/>
      <c r="C3866" s="42"/>
      <c r="D3866" s="42"/>
      <c r="E3866" s="42"/>
      <c r="F3866" s="42"/>
      <c r="G3866" s="42"/>
      <c r="H3866" s="42"/>
      <c r="I3866" s="42"/>
      <c r="J3866" s="42"/>
      <c r="K3866" s="42"/>
      <c r="L3866" s="42"/>
      <c r="M3866" s="42"/>
    </row>
    <row r="3867" spans="1:13" x14ac:dyDescent="0.2">
      <c r="A3867" s="42"/>
      <c r="B3867" s="42"/>
      <c r="C3867" s="42"/>
      <c r="D3867" s="42"/>
      <c r="E3867" s="42"/>
      <c r="F3867" s="42"/>
      <c r="G3867" s="42"/>
      <c r="H3867" s="42"/>
      <c r="I3867" s="42"/>
      <c r="J3867" s="42"/>
      <c r="K3867" s="42"/>
      <c r="L3867" s="42"/>
      <c r="M3867" s="42"/>
    </row>
    <row r="3868" spans="1:13" x14ac:dyDescent="0.2">
      <c r="A3868" s="42"/>
      <c r="B3868" s="42"/>
      <c r="C3868" s="42"/>
      <c r="D3868" s="42"/>
      <c r="E3868" s="42"/>
      <c r="F3868" s="42"/>
      <c r="G3868" s="42"/>
      <c r="H3868" s="42"/>
      <c r="I3868" s="42"/>
      <c r="J3868" s="42"/>
      <c r="K3868" s="42"/>
      <c r="L3868" s="42"/>
      <c r="M3868" s="42"/>
    </row>
    <row r="3869" spans="1:13" x14ac:dyDescent="0.2">
      <c r="A3869" s="42"/>
      <c r="B3869" s="42"/>
      <c r="C3869" s="42"/>
      <c r="D3869" s="42"/>
      <c r="E3869" s="42"/>
      <c r="F3869" s="42"/>
      <c r="G3869" s="42"/>
      <c r="H3869" s="42"/>
      <c r="I3869" s="42"/>
      <c r="J3869" s="42"/>
      <c r="K3869" s="42"/>
      <c r="L3869" s="42"/>
      <c r="M3869" s="42"/>
    </row>
    <row r="3870" spans="1:13" x14ac:dyDescent="0.2">
      <c r="A3870" s="42"/>
      <c r="B3870" s="42"/>
      <c r="C3870" s="42"/>
      <c r="D3870" s="42"/>
      <c r="E3870" s="42"/>
      <c r="F3870" s="42"/>
      <c r="G3870" s="42"/>
      <c r="H3870" s="42"/>
      <c r="I3870" s="42"/>
      <c r="J3870" s="42"/>
      <c r="K3870" s="42"/>
      <c r="L3870" s="42"/>
      <c r="M3870" s="42"/>
    </row>
    <row r="3871" spans="1:13" x14ac:dyDescent="0.2">
      <c r="A3871" s="42"/>
      <c r="B3871" s="42"/>
      <c r="C3871" s="42"/>
      <c r="D3871" s="42"/>
      <c r="E3871" s="42"/>
      <c r="F3871" s="42"/>
      <c r="G3871" s="42"/>
      <c r="H3871" s="42"/>
      <c r="I3871" s="42"/>
      <c r="J3871" s="42"/>
      <c r="K3871" s="42"/>
      <c r="L3871" s="42"/>
      <c r="M3871" s="42"/>
    </row>
    <row r="3872" spans="1:13" x14ac:dyDescent="0.2">
      <c r="A3872" s="42"/>
      <c r="B3872" s="42"/>
      <c r="C3872" s="42"/>
      <c r="D3872" s="42"/>
      <c r="E3872" s="42"/>
      <c r="F3872" s="42"/>
      <c r="G3872" s="42"/>
      <c r="H3872" s="42"/>
      <c r="I3872" s="42"/>
      <c r="J3872" s="42"/>
      <c r="K3872" s="42"/>
      <c r="L3872" s="42"/>
      <c r="M3872" s="42"/>
    </row>
    <row r="3873" spans="1:13" x14ac:dyDescent="0.2">
      <c r="A3873" s="42"/>
      <c r="B3873" s="42"/>
      <c r="C3873" s="42"/>
      <c r="D3873" s="42"/>
      <c r="E3873" s="42"/>
      <c r="F3873" s="42"/>
      <c r="G3873" s="42"/>
      <c r="H3873" s="42"/>
      <c r="I3873" s="42"/>
      <c r="J3873" s="42"/>
      <c r="K3873" s="42"/>
      <c r="L3873" s="42"/>
      <c r="M3873" s="42"/>
    </row>
    <row r="3874" spans="1:13" x14ac:dyDescent="0.2">
      <c r="A3874" s="42"/>
      <c r="B3874" s="42"/>
      <c r="C3874" s="42"/>
      <c r="D3874" s="42"/>
      <c r="E3874" s="42"/>
      <c r="F3874" s="42"/>
      <c r="G3874" s="42"/>
      <c r="H3874" s="42"/>
      <c r="I3874" s="42"/>
      <c r="J3874" s="42"/>
      <c r="K3874" s="42"/>
      <c r="L3874" s="42"/>
      <c r="M3874" s="42"/>
    </row>
    <row r="3875" spans="1:13" x14ac:dyDescent="0.2">
      <c r="A3875" s="42"/>
      <c r="B3875" s="42"/>
      <c r="C3875" s="42"/>
      <c r="D3875" s="42"/>
      <c r="E3875" s="42"/>
      <c r="F3875" s="42"/>
      <c r="G3875" s="42"/>
      <c r="H3875" s="42"/>
      <c r="I3875" s="42"/>
      <c r="J3875" s="42"/>
      <c r="K3875" s="42"/>
      <c r="L3875" s="42"/>
      <c r="M3875" s="42"/>
    </row>
    <row r="3876" spans="1:13" x14ac:dyDescent="0.2">
      <c r="A3876" s="42"/>
      <c r="B3876" s="42"/>
      <c r="C3876" s="42"/>
      <c r="D3876" s="42"/>
      <c r="E3876" s="42"/>
      <c r="F3876" s="42"/>
      <c r="G3876" s="42"/>
      <c r="H3876" s="42"/>
      <c r="I3876" s="42"/>
      <c r="J3876" s="42"/>
      <c r="K3876" s="42"/>
      <c r="L3876" s="42"/>
      <c r="M3876" s="42"/>
    </row>
    <row r="3877" spans="1:13" x14ac:dyDescent="0.2">
      <c r="A3877" s="42"/>
      <c r="B3877" s="42"/>
      <c r="C3877" s="42"/>
      <c r="D3877" s="42"/>
      <c r="E3877" s="42"/>
      <c r="F3877" s="42"/>
      <c r="G3877" s="42"/>
      <c r="H3877" s="42"/>
      <c r="I3877" s="42"/>
      <c r="J3877" s="42"/>
      <c r="K3877" s="42"/>
      <c r="L3877" s="42"/>
      <c r="M3877" s="42"/>
    </row>
    <row r="3878" spans="1:13" x14ac:dyDescent="0.2">
      <c r="A3878" s="42"/>
      <c r="B3878" s="42"/>
      <c r="C3878" s="42"/>
      <c r="D3878" s="42"/>
      <c r="E3878" s="42"/>
      <c r="F3878" s="42"/>
      <c r="G3878" s="42"/>
      <c r="H3878" s="42"/>
      <c r="I3878" s="42"/>
      <c r="J3878" s="42"/>
      <c r="K3878" s="42"/>
      <c r="L3878" s="42"/>
      <c r="M3878" s="42"/>
    </row>
    <row r="3879" spans="1:13" x14ac:dyDescent="0.2">
      <c r="A3879" s="42"/>
      <c r="B3879" s="42"/>
      <c r="C3879" s="42"/>
      <c r="D3879" s="42"/>
      <c r="E3879" s="42"/>
      <c r="F3879" s="42"/>
      <c r="G3879" s="42"/>
      <c r="H3879" s="42"/>
      <c r="I3879" s="42"/>
      <c r="J3879" s="42"/>
      <c r="K3879" s="42"/>
      <c r="L3879" s="42"/>
      <c r="M3879" s="42"/>
    </row>
    <row r="3880" spans="1:13" x14ac:dyDescent="0.2">
      <c r="A3880" s="42"/>
      <c r="B3880" s="42"/>
      <c r="C3880" s="42"/>
      <c r="D3880" s="42"/>
      <c r="E3880" s="42"/>
      <c r="F3880" s="42"/>
      <c r="G3880" s="42"/>
      <c r="H3880" s="42"/>
      <c r="I3880" s="42"/>
      <c r="J3880" s="42"/>
      <c r="K3880" s="42"/>
      <c r="L3880" s="42"/>
      <c r="M3880" s="42"/>
    </row>
    <row r="3881" spans="1:13" x14ac:dyDescent="0.2">
      <c r="A3881" s="42"/>
      <c r="B3881" s="42"/>
      <c r="C3881" s="42"/>
      <c r="D3881" s="42"/>
      <c r="E3881" s="42"/>
      <c r="F3881" s="42"/>
      <c r="G3881" s="42"/>
      <c r="H3881" s="42"/>
      <c r="I3881" s="42"/>
      <c r="J3881" s="42"/>
      <c r="K3881" s="42"/>
      <c r="L3881" s="42"/>
      <c r="M3881" s="42"/>
    </row>
    <row r="3882" spans="1:13" x14ac:dyDescent="0.2">
      <c r="A3882" s="42"/>
      <c r="B3882" s="42"/>
      <c r="C3882" s="42"/>
      <c r="D3882" s="42"/>
      <c r="E3882" s="42"/>
      <c r="F3882" s="42"/>
      <c r="G3882" s="42"/>
      <c r="H3882" s="42"/>
      <c r="I3882" s="42"/>
      <c r="J3882" s="42"/>
      <c r="K3882" s="42"/>
      <c r="L3882" s="42"/>
      <c r="M3882" s="42"/>
    </row>
    <row r="3883" spans="1:13" x14ac:dyDescent="0.2">
      <c r="A3883" s="42"/>
      <c r="B3883" s="42"/>
      <c r="C3883" s="42"/>
      <c r="D3883" s="42"/>
      <c r="E3883" s="42"/>
      <c r="F3883" s="42"/>
      <c r="G3883" s="42"/>
      <c r="H3883" s="42"/>
      <c r="I3883" s="42"/>
      <c r="J3883" s="42"/>
      <c r="K3883" s="42"/>
      <c r="L3883" s="42"/>
      <c r="M3883" s="42"/>
    </row>
    <row r="3884" spans="1:13" x14ac:dyDescent="0.2">
      <c r="A3884" s="42"/>
      <c r="B3884" s="42"/>
      <c r="C3884" s="42"/>
      <c r="D3884" s="42"/>
      <c r="E3884" s="42"/>
      <c r="F3884" s="42"/>
      <c r="G3884" s="42"/>
      <c r="H3884" s="42"/>
      <c r="I3884" s="42"/>
      <c r="J3884" s="42"/>
      <c r="K3884" s="42"/>
      <c r="L3884" s="42"/>
      <c r="M3884" s="42"/>
    </row>
    <row r="3885" spans="1:13" x14ac:dyDescent="0.2">
      <c r="A3885" s="42"/>
      <c r="B3885" s="42"/>
      <c r="C3885" s="42"/>
      <c r="D3885" s="42"/>
      <c r="E3885" s="42"/>
      <c r="F3885" s="42"/>
      <c r="G3885" s="42"/>
      <c r="H3885" s="42"/>
      <c r="I3885" s="42"/>
      <c r="J3885" s="42"/>
      <c r="K3885" s="42"/>
      <c r="L3885" s="42"/>
      <c r="M3885" s="42"/>
    </row>
    <row r="3886" spans="1:13" x14ac:dyDescent="0.2">
      <c r="A3886" s="42"/>
      <c r="B3886" s="42"/>
      <c r="C3886" s="42"/>
      <c r="D3886" s="42"/>
      <c r="E3886" s="42"/>
      <c r="F3886" s="42"/>
      <c r="G3886" s="42"/>
      <c r="H3886" s="42"/>
      <c r="I3886" s="42"/>
      <c r="J3886" s="42"/>
      <c r="K3886" s="42"/>
      <c r="L3886" s="42"/>
      <c r="M3886" s="42"/>
    </row>
    <row r="3887" spans="1:13" x14ac:dyDescent="0.2">
      <c r="A3887" s="42"/>
      <c r="B3887" s="42"/>
      <c r="C3887" s="42"/>
      <c r="D3887" s="42"/>
      <c r="E3887" s="42"/>
      <c r="F3887" s="42"/>
      <c r="G3887" s="42"/>
      <c r="H3887" s="42"/>
      <c r="I3887" s="42"/>
      <c r="J3887" s="42"/>
      <c r="K3887" s="42"/>
      <c r="L3887" s="42"/>
      <c r="M3887" s="42"/>
    </row>
    <row r="3888" spans="1:13" x14ac:dyDescent="0.2">
      <c r="A3888" s="42"/>
      <c r="B3888" s="42"/>
      <c r="C3888" s="42"/>
      <c r="D3888" s="42"/>
      <c r="E3888" s="42"/>
      <c r="F3888" s="42"/>
      <c r="G3888" s="42"/>
      <c r="H3888" s="42"/>
      <c r="I3888" s="42"/>
      <c r="J3888" s="42"/>
      <c r="K3888" s="42"/>
      <c r="L3888" s="42"/>
      <c r="M3888" s="42"/>
    </row>
    <row r="3889" spans="1:13" x14ac:dyDescent="0.2">
      <c r="A3889" s="42"/>
      <c r="B3889" s="42"/>
      <c r="C3889" s="42"/>
      <c r="D3889" s="42"/>
      <c r="E3889" s="42"/>
      <c r="F3889" s="42"/>
      <c r="G3889" s="42"/>
      <c r="H3889" s="42"/>
      <c r="I3889" s="42"/>
      <c r="J3889" s="42"/>
      <c r="K3889" s="42"/>
      <c r="L3889" s="42"/>
      <c r="M3889" s="42"/>
    </row>
    <row r="3890" spans="1:13" x14ac:dyDescent="0.2">
      <c r="A3890" s="42"/>
      <c r="B3890" s="42"/>
      <c r="C3890" s="42"/>
      <c r="D3890" s="42"/>
      <c r="E3890" s="42"/>
      <c r="F3890" s="42"/>
      <c r="G3890" s="42"/>
      <c r="H3890" s="42"/>
      <c r="I3890" s="42"/>
      <c r="J3890" s="42"/>
      <c r="K3890" s="42"/>
      <c r="L3890" s="42"/>
      <c r="M3890" s="42"/>
    </row>
    <row r="3891" spans="1:13" x14ac:dyDescent="0.2">
      <c r="A3891" s="42"/>
      <c r="B3891" s="42"/>
      <c r="C3891" s="42"/>
      <c r="D3891" s="42"/>
      <c r="E3891" s="42"/>
      <c r="F3891" s="42"/>
      <c r="G3891" s="42"/>
      <c r="H3891" s="42"/>
      <c r="I3891" s="42"/>
      <c r="J3891" s="42"/>
      <c r="K3891" s="42"/>
      <c r="L3891" s="42"/>
      <c r="M3891" s="42"/>
    </row>
    <row r="3892" spans="1:13" x14ac:dyDescent="0.2">
      <c r="A3892" s="42"/>
      <c r="B3892" s="42"/>
      <c r="C3892" s="42"/>
      <c r="D3892" s="42"/>
      <c r="E3892" s="42"/>
      <c r="F3892" s="42"/>
      <c r="G3892" s="42"/>
      <c r="H3892" s="42"/>
      <c r="I3892" s="42"/>
      <c r="J3892" s="42"/>
      <c r="K3892" s="42"/>
      <c r="L3892" s="42"/>
      <c r="M3892" s="42"/>
    </row>
    <row r="3893" spans="1:13" x14ac:dyDescent="0.2">
      <c r="A3893" s="42"/>
      <c r="B3893" s="42"/>
      <c r="C3893" s="42"/>
      <c r="D3893" s="42"/>
      <c r="E3893" s="42"/>
      <c r="F3893" s="42"/>
      <c r="G3893" s="42"/>
      <c r="H3893" s="42"/>
      <c r="I3893" s="42"/>
      <c r="J3893" s="42"/>
      <c r="K3893" s="42"/>
      <c r="L3893" s="42"/>
      <c r="M3893" s="42"/>
    </row>
    <row r="3894" spans="1:13" x14ac:dyDescent="0.2">
      <c r="A3894" s="42"/>
      <c r="B3894" s="42"/>
      <c r="C3894" s="42"/>
      <c r="D3894" s="42"/>
      <c r="E3894" s="42"/>
      <c r="F3894" s="42"/>
      <c r="G3894" s="42"/>
      <c r="H3894" s="42"/>
      <c r="I3894" s="42"/>
      <c r="J3894" s="42"/>
      <c r="K3894" s="42"/>
      <c r="L3894" s="42"/>
      <c r="M3894" s="42"/>
    </row>
    <row r="3895" spans="1:13" x14ac:dyDescent="0.2">
      <c r="A3895" s="42"/>
      <c r="B3895" s="42"/>
      <c r="C3895" s="42"/>
      <c r="D3895" s="42"/>
      <c r="E3895" s="42"/>
      <c r="F3895" s="42"/>
      <c r="G3895" s="42"/>
      <c r="H3895" s="42"/>
      <c r="I3895" s="42"/>
      <c r="J3895" s="42"/>
      <c r="K3895" s="42"/>
      <c r="L3895" s="42"/>
      <c r="M3895" s="42"/>
    </row>
    <row r="3896" spans="1:13" x14ac:dyDescent="0.2">
      <c r="A3896" s="42"/>
      <c r="B3896" s="42"/>
      <c r="C3896" s="42"/>
      <c r="D3896" s="42"/>
      <c r="E3896" s="42"/>
      <c r="F3896" s="42"/>
      <c r="G3896" s="42"/>
      <c r="H3896" s="42"/>
      <c r="I3896" s="42"/>
      <c r="J3896" s="42"/>
      <c r="K3896" s="42"/>
      <c r="L3896" s="42"/>
      <c r="M3896" s="42"/>
    </row>
    <row r="3897" spans="1:13" x14ac:dyDescent="0.2">
      <c r="A3897" s="42"/>
      <c r="B3897" s="42"/>
      <c r="C3897" s="42"/>
      <c r="D3897" s="42"/>
      <c r="E3897" s="42"/>
      <c r="F3897" s="42"/>
      <c r="G3897" s="42"/>
      <c r="H3897" s="42"/>
      <c r="I3897" s="42"/>
      <c r="J3897" s="42"/>
      <c r="K3897" s="42"/>
      <c r="L3897" s="42"/>
      <c r="M3897" s="42"/>
    </row>
    <row r="3898" spans="1:13" x14ac:dyDescent="0.2">
      <c r="A3898" s="42"/>
      <c r="B3898" s="42"/>
      <c r="C3898" s="42"/>
      <c r="D3898" s="42"/>
      <c r="E3898" s="42"/>
      <c r="F3898" s="42"/>
      <c r="G3898" s="42"/>
      <c r="H3898" s="42"/>
      <c r="I3898" s="42"/>
      <c r="J3898" s="42"/>
      <c r="K3898" s="42"/>
      <c r="L3898" s="42"/>
      <c r="M3898" s="42"/>
    </row>
    <row r="3899" spans="1:13" x14ac:dyDescent="0.2">
      <c r="A3899" s="42"/>
      <c r="B3899" s="42"/>
      <c r="C3899" s="42"/>
      <c r="D3899" s="42"/>
      <c r="E3899" s="42"/>
      <c r="F3899" s="42"/>
      <c r="G3899" s="42"/>
      <c r="H3899" s="42"/>
      <c r="I3899" s="42"/>
      <c r="J3899" s="42"/>
      <c r="K3899" s="42"/>
      <c r="L3899" s="42"/>
      <c r="M3899" s="42"/>
    </row>
    <row r="3900" spans="1:13" x14ac:dyDescent="0.2">
      <c r="A3900" s="42"/>
      <c r="B3900" s="42"/>
      <c r="C3900" s="42"/>
      <c r="D3900" s="42"/>
      <c r="E3900" s="42"/>
      <c r="F3900" s="42"/>
      <c r="G3900" s="42"/>
      <c r="H3900" s="42"/>
      <c r="I3900" s="42"/>
      <c r="J3900" s="42"/>
      <c r="K3900" s="42"/>
      <c r="L3900" s="42"/>
      <c r="M3900" s="42"/>
    </row>
    <row r="3901" spans="1:13" x14ac:dyDescent="0.2">
      <c r="A3901" s="42"/>
      <c r="B3901" s="42"/>
      <c r="C3901" s="42"/>
      <c r="D3901" s="42"/>
      <c r="E3901" s="42"/>
      <c r="F3901" s="42"/>
      <c r="G3901" s="42"/>
      <c r="H3901" s="42"/>
      <c r="I3901" s="42"/>
      <c r="J3901" s="42"/>
      <c r="K3901" s="42"/>
      <c r="L3901" s="42"/>
      <c r="M3901" s="42"/>
    </row>
    <row r="3902" spans="1:13" x14ac:dyDescent="0.2">
      <c r="A3902" s="42"/>
      <c r="B3902" s="42"/>
      <c r="C3902" s="42"/>
      <c r="D3902" s="42"/>
      <c r="E3902" s="42"/>
      <c r="F3902" s="42"/>
      <c r="G3902" s="42"/>
      <c r="H3902" s="42"/>
      <c r="I3902" s="42"/>
      <c r="J3902" s="42"/>
      <c r="K3902" s="42"/>
      <c r="L3902" s="42"/>
      <c r="M3902" s="42"/>
    </row>
    <row r="3903" spans="1:13" x14ac:dyDescent="0.2">
      <c r="A3903" s="42"/>
      <c r="B3903" s="42"/>
      <c r="C3903" s="42"/>
      <c r="D3903" s="42"/>
      <c r="E3903" s="42"/>
      <c r="F3903" s="42"/>
      <c r="G3903" s="42"/>
      <c r="H3903" s="42"/>
      <c r="I3903" s="42"/>
      <c r="J3903" s="42"/>
      <c r="K3903" s="42"/>
      <c r="L3903" s="42"/>
      <c r="M3903" s="42"/>
    </row>
    <row r="3904" spans="1:13" x14ac:dyDescent="0.2">
      <c r="A3904" s="42"/>
      <c r="B3904" s="42"/>
      <c r="C3904" s="42"/>
      <c r="D3904" s="42"/>
      <c r="E3904" s="42"/>
      <c r="F3904" s="42"/>
      <c r="G3904" s="42"/>
      <c r="H3904" s="42"/>
      <c r="I3904" s="42"/>
      <c r="J3904" s="42"/>
      <c r="K3904" s="42"/>
      <c r="L3904" s="42"/>
      <c r="M3904" s="42"/>
    </row>
    <row r="3905" spans="1:13" x14ac:dyDescent="0.2">
      <c r="A3905" s="42"/>
      <c r="B3905" s="42"/>
      <c r="C3905" s="42"/>
      <c r="D3905" s="42"/>
      <c r="E3905" s="42"/>
      <c r="F3905" s="42"/>
      <c r="G3905" s="42"/>
      <c r="H3905" s="42"/>
      <c r="I3905" s="42"/>
      <c r="J3905" s="42"/>
      <c r="K3905" s="42"/>
      <c r="L3905" s="42"/>
      <c r="M3905" s="42"/>
    </row>
    <row r="3906" spans="1:13" x14ac:dyDescent="0.2">
      <c r="A3906" s="42"/>
      <c r="B3906" s="42"/>
      <c r="C3906" s="42"/>
      <c r="D3906" s="42"/>
      <c r="E3906" s="42"/>
      <c r="F3906" s="42"/>
      <c r="G3906" s="42"/>
      <c r="H3906" s="42"/>
      <c r="I3906" s="42"/>
      <c r="J3906" s="42"/>
      <c r="K3906" s="42"/>
      <c r="L3906" s="42"/>
      <c r="M3906" s="42"/>
    </row>
    <row r="3907" spans="1:13" x14ac:dyDescent="0.2">
      <c r="A3907" s="42"/>
      <c r="B3907" s="42"/>
      <c r="C3907" s="42"/>
      <c r="D3907" s="42"/>
      <c r="E3907" s="42"/>
      <c r="F3907" s="42"/>
      <c r="G3907" s="42"/>
      <c r="H3907" s="42"/>
      <c r="I3907" s="42"/>
      <c r="J3907" s="42"/>
      <c r="K3907" s="42"/>
      <c r="L3907" s="42"/>
      <c r="M3907" s="42"/>
    </row>
    <row r="3908" spans="1:13" x14ac:dyDescent="0.2">
      <c r="A3908" s="42"/>
      <c r="B3908" s="42"/>
      <c r="C3908" s="42"/>
      <c r="D3908" s="42"/>
      <c r="E3908" s="42"/>
      <c r="F3908" s="42"/>
      <c r="G3908" s="42"/>
      <c r="H3908" s="42"/>
      <c r="I3908" s="42"/>
      <c r="J3908" s="42"/>
      <c r="K3908" s="42"/>
      <c r="L3908" s="42"/>
      <c r="M3908" s="42"/>
    </row>
    <row r="3909" spans="1:13" x14ac:dyDescent="0.2">
      <c r="A3909" s="42"/>
      <c r="B3909" s="42"/>
      <c r="C3909" s="42"/>
      <c r="D3909" s="42"/>
      <c r="E3909" s="42"/>
      <c r="F3909" s="42"/>
      <c r="G3909" s="42"/>
      <c r="H3909" s="42"/>
      <c r="I3909" s="42"/>
      <c r="J3909" s="42"/>
      <c r="K3909" s="42"/>
      <c r="L3909" s="42"/>
      <c r="M3909" s="42"/>
    </row>
    <row r="3910" spans="1:13" x14ac:dyDescent="0.2">
      <c r="A3910" s="42"/>
      <c r="B3910" s="42"/>
      <c r="C3910" s="42"/>
      <c r="D3910" s="42"/>
      <c r="E3910" s="42"/>
      <c r="F3910" s="42"/>
      <c r="G3910" s="42"/>
      <c r="H3910" s="42"/>
      <c r="I3910" s="42"/>
      <c r="J3910" s="42"/>
      <c r="K3910" s="42"/>
      <c r="L3910" s="42"/>
      <c r="M3910" s="42"/>
    </row>
    <row r="3911" spans="1:13" x14ac:dyDescent="0.2">
      <c r="A3911" s="42"/>
      <c r="B3911" s="42"/>
      <c r="C3911" s="42"/>
      <c r="D3911" s="42"/>
      <c r="E3911" s="42"/>
      <c r="F3911" s="42"/>
      <c r="G3911" s="42"/>
      <c r="H3911" s="42"/>
      <c r="I3911" s="42"/>
      <c r="J3911" s="42"/>
      <c r="K3911" s="42"/>
      <c r="L3911" s="42"/>
      <c r="M3911" s="42"/>
    </row>
    <row r="3912" spans="1:13" x14ac:dyDescent="0.2">
      <c r="A3912" s="42"/>
      <c r="B3912" s="42"/>
      <c r="C3912" s="42"/>
      <c r="D3912" s="42"/>
      <c r="E3912" s="42"/>
      <c r="F3912" s="42"/>
      <c r="G3912" s="42"/>
      <c r="H3912" s="42"/>
      <c r="I3912" s="42"/>
      <c r="J3912" s="42"/>
      <c r="K3912" s="42"/>
      <c r="L3912" s="42"/>
      <c r="M3912" s="42"/>
    </row>
    <row r="3913" spans="1:13" x14ac:dyDescent="0.2">
      <c r="A3913" s="42"/>
      <c r="B3913" s="42"/>
      <c r="C3913" s="42"/>
      <c r="D3913" s="42"/>
      <c r="E3913" s="42"/>
      <c r="F3913" s="42"/>
      <c r="G3913" s="42"/>
      <c r="H3913" s="42"/>
      <c r="I3913" s="42"/>
      <c r="J3913" s="42"/>
      <c r="K3913" s="42"/>
      <c r="L3913" s="42"/>
      <c r="M3913" s="42"/>
    </row>
    <row r="3914" spans="1:13" x14ac:dyDescent="0.2">
      <c r="A3914" s="42"/>
      <c r="B3914" s="42"/>
      <c r="C3914" s="42"/>
      <c r="D3914" s="42"/>
      <c r="E3914" s="42"/>
      <c r="F3914" s="42"/>
      <c r="G3914" s="42"/>
      <c r="H3914" s="42"/>
      <c r="I3914" s="42"/>
      <c r="J3914" s="42"/>
      <c r="K3914" s="42"/>
      <c r="L3914" s="42"/>
      <c r="M3914" s="42"/>
    </row>
    <row r="3915" spans="1:13" x14ac:dyDescent="0.2">
      <c r="A3915" s="42"/>
      <c r="B3915" s="42"/>
      <c r="C3915" s="42"/>
      <c r="D3915" s="42"/>
      <c r="E3915" s="42"/>
      <c r="F3915" s="42"/>
      <c r="G3915" s="42"/>
      <c r="H3915" s="42"/>
      <c r="I3915" s="42"/>
      <c r="J3915" s="42"/>
      <c r="K3915" s="42"/>
      <c r="L3915" s="42"/>
      <c r="M3915" s="42"/>
    </row>
    <row r="3916" spans="1:13" x14ac:dyDescent="0.2">
      <c r="A3916" s="42"/>
      <c r="B3916" s="42"/>
      <c r="C3916" s="42"/>
      <c r="D3916" s="42"/>
      <c r="E3916" s="42"/>
      <c r="F3916" s="42"/>
      <c r="G3916" s="42"/>
      <c r="H3916" s="42"/>
      <c r="I3916" s="42"/>
      <c r="J3916" s="42"/>
      <c r="K3916" s="42"/>
      <c r="L3916" s="42"/>
      <c r="M3916" s="42"/>
    </row>
    <row r="3917" spans="1:13" x14ac:dyDescent="0.2">
      <c r="A3917" s="42"/>
      <c r="B3917" s="42"/>
      <c r="C3917" s="42"/>
      <c r="D3917" s="42"/>
      <c r="E3917" s="42"/>
      <c r="F3917" s="42"/>
      <c r="G3917" s="42"/>
      <c r="H3917" s="42"/>
      <c r="I3917" s="42"/>
      <c r="J3917" s="42"/>
      <c r="K3917" s="42"/>
      <c r="L3917" s="42"/>
      <c r="M3917" s="42"/>
    </row>
    <row r="3918" spans="1:13" x14ac:dyDescent="0.2">
      <c r="A3918" s="42"/>
      <c r="B3918" s="42"/>
      <c r="C3918" s="42"/>
      <c r="D3918" s="42"/>
      <c r="E3918" s="42"/>
      <c r="F3918" s="42"/>
      <c r="G3918" s="42"/>
      <c r="H3918" s="42"/>
      <c r="I3918" s="42"/>
      <c r="J3918" s="42"/>
      <c r="K3918" s="42"/>
      <c r="L3918" s="42"/>
      <c r="M3918" s="42"/>
    </row>
    <row r="3919" spans="1:13" x14ac:dyDescent="0.2">
      <c r="A3919" s="42"/>
      <c r="B3919" s="42"/>
      <c r="C3919" s="42"/>
      <c r="D3919" s="42"/>
      <c r="E3919" s="42"/>
      <c r="F3919" s="42"/>
      <c r="G3919" s="42"/>
      <c r="H3919" s="42"/>
      <c r="I3919" s="42"/>
      <c r="J3919" s="42"/>
      <c r="K3919" s="42"/>
      <c r="L3919" s="42"/>
      <c r="M3919" s="42"/>
    </row>
    <row r="3920" spans="1:13" x14ac:dyDescent="0.2">
      <c r="A3920" s="42"/>
      <c r="B3920" s="42"/>
      <c r="C3920" s="42"/>
      <c r="D3920" s="42"/>
      <c r="E3920" s="42"/>
      <c r="F3920" s="42"/>
      <c r="G3920" s="42"/>
      <c r="H3920" s="42"/>
      <c r="I3920" s="42"/>
      <c r="J3920" s="42"/>
      <c r="K3920" s="42"/>
      <c r="L3920" s="42"/>
      <c r="M3920" s="42"/>
    </row>
    <row r="3921" spans="1:13" x14ac:dyDescent="0.2">
      <c r="A3921" s="42"/>
      <c r="B3921" s="42"/>
      <c r="C3921" s="42"/>
      <c r="D3921" s="42"/>
      <c r="E3921" s="42"/>
      <c r="F3921" s="42"/>
      <c r="G3921" s="42"/>
      <c r="H3921" s="42"/>
      <c r="I3921" s="42"/>
      <c r="J3921" s="42"/>
      <c r="K3921" s="42"/>
      <c r="L3921" s="42"/>
      <c r="M3921" s="42"/>
    </row>
    <row r="3922" spans="1:13" x14ac:dyDescent="0.2">
      <c r="A3922" s="42"/>
      <c r="B3922" s="42"/>
      <c r="C3922" s="42"/>
      <c r="D3922" s="42"/>
      <c r="E3922" s="42"/>
      <c r="F3922" s="42"/>
      <c r="G3922" s="42"/>
      <c r="H3922" s="42"/>
      <c r="I3922" s="42"/>
      <c r="J3922" s="42"/>
      <c r="K3922" s="42"/>
      <c r="L3922" s="42"/>
      <c r="M3922" s="42"/>
    </row>
    <row r="3923" spans="1:13" x14ac:dyDescent="0.2">
      <c r="A3923" s="42"/>
      <c r="B3923" s="42"/>
      <c r="C3923" s="42"/>
      <c r="D3923" s="42"/>
      <c r="E3923" s="42"/>
      <c r="F3923" s="42"/>
      <c r="G3923" s="42"/>
      <c r="H3923" s="42"/>
      <c r="I3923" s="42"/>
      <c r="J3923" s="42"/>
      <c r="K3923" s="42"/>
      <c r="L3923" s="42"/>
      <c r="M3923" s="42"/>
    </row>
    <row r="3924" spans="1:13" x14ac:dyDescent="0.2">
      <c r="A3924" s="42"/>
      <c r="B3924" s="42"/>
      <c r="C3924" s="42"/>
      <c r="D3924" s="42"/>
      <c r="E3924" s="42"/>
      <c r="F3924" s="42"/>
      <c r="G3924" s="42"/>
      <c r="H3924" s="42"/>
      <c r="I3924" s="42"/>
      <c r="J3924" s="42"/>
      <c r="K3924" s="42"/>
      <c r="L3924" s="42"/>
      <c r="M3924" s="42"/>
    </row>
    <row r="3925" spans="1:13" x14ac:dyDescent="0.2">
      <c r="A3925" s="42"/>
      <c r="B3925" s="42"/>
      <c r="C3925" s="42"/>
      <c r="D3925" s="42"/>
      <c r="E3925" s="42"/>
      <c r="F3925" s="42"/>
      <c r="G3925" s="42"/>
      <c r="H3925" s="42"/>
      <c r="I3925" s="42"/>
      <c r="J3925" s="42"/>
      <c r="K3925" s="42"/>
      <c r="L3925" s="42"/>
      <c r="M3925" s="42"/>
    </row>
    <row r="3926" spans="1:13" x14ac:dyDescent="0.2">
      <c r="A3926" s="42"/>
      <c r="B3926" s="42"/>
      <c r="C3926" s="42"/>
      <c r="D3926" s="42"/>
      <c r="E3926" s="42"/>
      <c r="F3926" s="42"/>
      <c r="G3926" s="42"/>
      <c r="H3926" s="42"/>
      <c r="I3926" s="42"/>
      <c r="J3926" s="42"/>
      <c r="K3926" s="42"/>
      <c r="L3926" s="42"/>
      <c r="M3926" s="42"/>
    </row>
    <row r="3927" spans="1:13" x14ac:dyDescent="0.2">
      <c r="A3927" s="42"/>
      <c r="B3927" s="42"/>
      <c r="C3927" s="42"/>
      <c r="D3927" s="42"/>
      <c r="E3927" s="42"/>
      <c r="F3927" s="42"/>
      <c r="G3927" s="42"/>
      <c r="H3927" s="42"/>
      <c r="I3927" s="42"/>
      <c r="J3927" s="42"/>
      <c r="K3927" s="42"/>
      <c r="L3927" s="42"/>
      <c r="M3927" s="42"/>
    </row>
    <row r="3928" spans="1:13" x14ac:dyDescent="0.2">
      <c r="A3928" s="42"/>
      <c r="B3928" s="42"/>
      <c r="C3928" s="42"/>
      <c r="D3928" s="42"/>
      <c r="E3928" s="42"/>
      <c r="F3928" s="42"/>
      <c r="G3928" s="42"/>
      <c r="H3928" s="42"/>
      <c r="I3928" s="42"/>
      <c r="J3928" s="42"/>
      <c r="K3928" s="42"/>
      <c r="L3928" s="42"/>
      <c r="M3928" s="42"/>
    </row>
    <row r="3929" spans="1:13" x14ac:dyDescent="0.2">
      <c r="A3929" s="42"/>
      <c r="B3929" s="42"/>
      <c r="C3929" s="42"/>
      <c r="D3929" s="42"/>
      <c r="E3929" s="42"/>
      <c r="F3929" s="42"/>
      <c r="G3929" s="42"/>
      <c r="H3929" s="42"/>
      <c r="I3929" s="42"/>
      <c r="J3929" s="42"/>
      <c r="K3929" s="42"/>
      <c r="L3929" s="42"/>
      <c r="M3929" s="42"/>
    </row>
    <row r="3930" spans="1:13" x14ac:dyDescent="0.2">
      <c r="A3930" s="42"/>
      <c r="B3930" s="42"/>
      <c r="C3930" s="42"/>
      <c r="D3930" s="42"/>
      <c r="E3930" s="42"/>
      <c r="F3930" s="42"/>
      <c r="G3930" s="42"/>
      <c r="H3930" s="42"/>
      <c r="I3930" s="42"/>
      <c r="J3930" s="42"/>
      <c r="K3930" s="42"/>
      <c r="L3930" s="42"/>
      <c r="M3930" s="42"/>
    </row>
    <row r="3931" spans="1:13" x14ac:dyDescent="0.2">
      <c r="A3931" s="42"/>
      <c r="B3931" s="42"/>
      <c r="C3931" s="42"/>
      <c r="D3931" s="42"/>
      <c r="E3931" s="42"/>
      <c r="F3931" s="42"/>
      <c r="G3931" s="42"/>
      <c r="H3931" s="42"/>
      <c r="I3931" s="42"/>
      <c r="J3931" s="42"/>
      <c r="K3931" s="42"/>
      <c r="L3931" s="42"/>
      <c r="M3931" s="42"/>
    </row>
    <row r="3932" spans="1:13" x14ac:dyDescent="0.2">
      <c r="A3932" s="42"/>
      <c r="B3932" s="42"/>
      <c r="C3932" s="42"/>
      <c r="D3932" s="42"/>
      <c r="E3932" s="42"/>
      <c r="F3932" s="42"/>
      <c r="G3932" s="42"/>
      <c r="H3932" s="42"/>
      <c r="I3932" s="42"/>
      <c r="J3932" s="42"/>
      <c r="K3932" s="42"/>
      <c r="L3932" s="42"/>
      <c r="M3932" s="42"/>
    </row>
    <row r="3933" spans="1:13" x14ac:dyDescent="0.2">
      <c r="A3933" s="42"/>
      <c r="B3933" s="42"/>
      <c r="C3933" s="42"/>
      <c r="D3933" s="42"/>
      <c r="E3933" s="42"/>
      <c r="F3933" s="42"/>
      <c r="G3933" s="42"/>
      <c r="H3933" s="42"/>
      <c r="I3933" s="42"/>
      <c r="J3933" s="42"/>
      <c r="K3933" s="42"/>
      <c r="L3933" s="42"/>
      <c r="M3933" s="42"/>
    </row>
    <row r="3934" spans="1:13" x14ac:dyDescent="0.2">
      <c r="A3934" s="42"/>
      <c r="B3934" s="42"/>
      <c r="C3934" s="42"/>
      <c r="D3934" s="42"/>
      <c r="E3934" s="42"/>
      <c r="F3934" s="42"/>
      <c r="G3934" s="42"/>
      <c r="H3934" s="42"/>
      <c r="I3934" s="42"/>
      <c r="J3934" s="42"/>
      <c r="K3934" s="42"/>
      <c r="L3934" s="42"/>
      <c r="M3934" s="42"/>
    </row>
    <row r="3935" spans="1:13" x14ac:dyDescent="0.2">
      <c r="A3935" s="42"/>
      <c r="B3935" s="42"/>
      <c r="C3935" s="42"/>
      <c r="D3935" s="42"/>
      <c r="E3935" s="42"/>
      <c r="F3935" s="42"/>
      <c r="G3935" s="42"/>
      <c r="H3935" s="42"/>
      <c r="I3935" s="42"/>
      <c r="J3935" s="42"/>
      <c r="K3935" s="42"/>
      <c r="L3935" s="42"/>
      <c r="M3935" s="42"/>
    </row>
    <row r="3936" spans="1:13" x14ac:dyDescent="0.2">
      <c r="A3936" s="42"/>
      <c r="B3936" s="42"/>
      <c r="C3936" s="42"/>
      <c r="D3936" s="42"/>
      <c r="E3936" s="42"/>
      <c r="F3936" s="42"/>
      <c r="G3936" s="42"/>
      <c r="H3936" s="42"/>
      <c r="I3936" s="42"/>
      <c r="J3936" s="42"/>
      <c r="K3936" s="42"/>
      <c r="L3936" s="42"/>
      <c r="M3936" s="42"/>
    </row>
    <row r="3937" spans="1:13" x14ac:dyDescent="0.2">
      <c r="A3937" s="42"/>
      <c r="B3937" s="42"/>
      <c r="C3937" s="42"/>
      <c r="D3937" s="42"/>
      <c r="E3937" s="42"/>
      <c r="F3937" s="42"/>
      <c r="G3937" s="42"/>
      <c r="H3937" s="42"/>
      <c r="I3937" s="42"/>
      <c r="J3937" s="42"/>
      <c r="K3937" s="42"/>
      <c r="L3937" s="42"/>
      <c r="M3937" s="42"/>
    </row>
    <row r="3938" spans="1:13" x14ac:dyDescent="0.2">
      <c r="A3938" s="42"/>
      <c r="B3938" s="42"/>
      <c r="C3938" s="42"/>
      <c r="D3938" s="42"/>
      <c r="E3938" s="42"/>
      <c r="F3938" s="42"/>
      <c r="G3938" s="42"/>
      <c r="H3938" s="42"/>
      <c r="I3938" s="42"/>
      <c r="J3938" s="42"/>
      <c r="K3938" s="42"/>
      <c r="L3938" s="42"/>
      <c r="M3938" s="42"/>
    </row>
    <row r="3939" spans="1:13" x14ac:dyDescent="0.2">
      <c r="A3939" s="42"/>
      <c r="B3939" s="42"/>
      <c r="C3939" s="42"/>
      <c r="D3939" s="42"/>
      <c r="E3939" s="42"/>
      <c r="F3939" s="42"/>
      <c r="G3939" s="42"/>
      <c r="H3939" s="42"/>
      <c r="I3939" s="42"/>
      <c r="J3939" s="42"/>
      <c r="K3939" s="42"/>
      <c r="L3939" s="42"/>
      <c r="M3939" s="42"/>
    </row>
    <row r="3940" spans="1:13" x14ac:dyDescent="0.2">
      <c r="A3940" s="42"/>
      <c r="B3940" s="42"/>
      <c r="C3940" s="42"/>
      <c r="D3940" s="42"/>
      <c r="E3940" s="42"/>
      <c r="F3940" s="42"/>
      <c r="G3940" s="42"/>
      <c r="H3940" s="42"/>
      <c r="I3940" s="42"/>
      <c r="J3940" s="42"/>
      <c r="K3940" s="42"/>
      <c r="L3940" s="42"/>
      <c r="M3940" s="42"/>
    </row>
    <row r="3941" spans="1:13" x14ac:dyDescent="0.2">
      <c r="A3941" s="42"/>
      <c r="B3941" s="42"/>
      <c r="C3941" s="42"/>
      <c r="D3941" s="42"/>
      <c r="E3941" s="42"/>
      <c r="F3941" s="42"/>
      <c r="G3941" s="42"/>
      <c r="H3941" s="42"/>
      <c r="I3941" s="42"/>
      <c r="J3941" s="42"/>
      <c r="K3941" s="42"/>
      <c r="L3941" s="42"/>
      <c r="M3941" s="42"/>
    </row>
    <row r="3942" spans="1:13" x14ac:dyDescent="0.2">
      <c r="A3942" s="42"/>
      <c r="B3942" s="42"/>
      <c r="C3942" s="42"/>
      <c r="D3942" s="42"/>
      <c r="E3942" s="42"/>
      <c r="F3942" s="42"/>
      <c r="G3942" s="42"/>
      <c r="H3942" s="42"/>
      <c r="I3942" s="42"/>
      <c r="J3942" s="42"/>
      <c r="K3942" s="42"/>
      <c r="L3942" s="42"/>
      <c r="M3942" s="42"/>
    </row>
    <row r="3943" spans="1:13" x14ac:dyDescent="0.2">
      <c r="A3943" s="42"/>
      <c r="B3943" s="42"/>
      <c r="C3943" s="42"/>
      <c r="D3943" s="42"/>
      <c r="E3943" s="42"/>
      <c r="F3943" s="42"/>
      <c r="G3943" s="42"/>
      <c r="H3943" s="42"/>
      <c r="I3943" s="42"/>
      <c r="J3943" s="42"/>
      <c r="K3943" s="42"/>
      <c r="L3943" s="42"/>
      <c r="M3943" s="42"/>
    </row>
    <row r="3944" spans="1:13" x14ac:dyDescent="0.2">
      <c r="A3944" s="42"/>
      <c r="B3944" s="42"/>
      <c r="C3944" s="42"/>
      <c r="D3944" s="42"/>
      <c r="E3944" s="42"/>
      <c r="F3944" s="42"/>
      <c r="G3944" s="42"/>
      <c r="H3944" s="42"/>
      <c r="I3944" s="42"/>
      <c r="J3944" s="42"/>
      <c r="K3944" s="42"/>
      <c r="L3944" s="42"/>
      <c r="M3944" s="42"/>
    </row>
    <row r="3945" spans="1:13" x14ac:dyDescent="0.2">
      <c r="A3945" s="42"/>
      <c r="B3945" s="42"/>
      <c r="C3945" s="42"/>
      <c r="D3945" s="42"/>
      <c r="E3945" s="42"/>
      <c r="F3945" s="42"/>
      <c r="G3945" s="42"/>
      <c r="H3945" s="42"/>
      <c r="I3945" s="42"/>
      <c r="J3945" s="42"/>
      <c r="K3945" s="42"/>
      <c r="L3945" s="42"/>
      <c r="M3945" s="42"/>
    </row>
    <row r="3946" spans="1:13" x14ac:dyDescent="0.2">
      <c r="A3946" s="42"/>
      <c r="B3946" s="42"/>
      <c r="C3946" s="42"/>
      <c r="D3946" s="42"/>
      <c r="E3946" s="42"/>
      <c r="F3946" s="42"/>
      <c r="G3946" s="42"/>
      <c r="H3946" s="42"/>
      <c r="I3946" s="42"/>
      <c r="J3946" s="42"/>
      <c r="K3946" s="42"/>
      <c r="L3946" s="42"/>
      <c r="M3946" s="42"/>
    </row>
    <row r="3947" spans="1:13" x14ac:dyDescent="0.2">
      <c r="A3947" s="42"/>
      <c r="B3947" s="42"/>
      <c r="C3947" s="42"/>
      <c r="D3947" s="42"/>
      <c r="E3947" s="42"/>
      <c r="F3947" s="42"/>
      <c r="G3947" s="42"/>
      <c r="H3947" s="42"/>
      <c r="I3947" s="42"/>
      <c r="J3947" s="42"/>
      <c r="K3947" s="42"/>
      <c r="L3947" s="42"/>
      <c r="M3947" s="42"/>
    </row>
    <row r="3948" spans="1:13" x14ac:dyDescent="0.2">
      <c r="A3948" s="42"/>
      <c r="B3948" s="42"/>
      <c r="C3948" s="42"/>
      <c r="D3948" s="42"/>
      <c r="E3948" s="42"/>
      <c r="F3948" s="42"/>
      <c r="G3948" s="42"/>
      <c r="H3948" s="42"/>
      <c r="I3948" s="42"/>
      <c r="J3948" s="42"/>
      <c r="K3948" s="42"/>
      <c r="L3948" s="42"/>
      <c r="M3948" s="42"/>
    </row>
    <row r="3949" spans="1:13" x14ac:dyDescent="0.2">
      <c r="A3949" s="42"/>
      <c r="B3949" s="42"/>
      <c r="C3949" s="42"/>
      <c r="D3949" s="42"/>
      <c r="E3949" s="42"/>
      <c r="F3949" s="42"/>
      <c r="G3949" s="42"/>
      <c r="H3949" s="42"/>
      <c r="I3949" s="42"/>
      <c r="J3949" s="42"/>
      <c r="K3949" s="42"/>
      <c r="L3949" s="42"/>
      <c r="M3949" s="42"/>
    </row>
    <row r="3950" spans="1:13" x14ac:dyDescent="0.2">
      <c r="A3950" s="42"/>
      <c r="B3950" s="42"/>
      <c r="C3950" s="42"/>
      <c r="D3950" s="42"/>
      <c r="E3950" s="42"/>
      <c r="F3950" s="42"/>
      <c r="G3950" s="42"/>
      <c r="H3950" s="42"/>
      <c r="I3950" s="42"/>
      <c r="J3950" s="42"/>
      <c r="K3950" s="42"/>
      <c r="L3950" s="42"/>
      <c r="M3950" s="42"/>
    </row>
    <row r="3951" spans="1:13" x14ac:dyDescent="0.2">
      <c r="A3951" s="42"/>
      <c r="B3951" s="42"/>
      <c r="C3951" s="42"/>
      <c r="D3951" s="42"/>
      <c r="E3951" s="42"/>
      <c r="F3951" s="42"/>
      <c r="G3951" s="42"/>
      <c r="H3951" s="42"/>
      <c r="I3951" s="42"/>
      <c r="J3951" s="42"/>
      <c r="K3951" s="42"/>
      <c r="L3951" s="42"/>
      <c r="M3951" s="42"/>
    </row>
    <row r="3952" spans="1:13" x14ac:dyDescent="0.2">
      <c r="A3952" s="42"/>
      <c r="B3952" s="42"/>
      <c r="C3952" s="42"/>
      <c r="D3952" s="42"/>
      <c r="E3952" s="42"/>
      <c r="F3952" s="42"/>
      <c r="G3952" s="42"/>
      <c r="H3952" s="42"/>
      <c r="I3952" s="42"/>
      <c r="J3952" s="42"/>
      <c r="K3952" s="42"/>
      <c r="L3952" s="42"/>
      <c r="M3952" s="42"/>
    </row>
    <row r="3953" spans="1:13" x14ac:dyDescent="0.2">
      <c r="A3953" s="42"/>
      <c r="B3953" s="42"/>
      <c r="C3953" s="42"/>
      <c r="D3953" s="42"/>
      <c r="E3953" s="42"/>
      <c r="F3953" s="42"/>
      <c r="G3953" s="42"/>
      <c r="H3953" s="42"/>
      <c r="I3953" s="42"/>
      <c r="J3953" s="42"/>
      <c r="K3953" s="42"/>
      <c r="L3953" s="42"/>
      <c r="M3953" s="42"/>
    </row>
    <row r="3954" spans="1:13" x14ac:dyDescent="0.2">
      <c r="A3954" s="42"/>
      <c r="B3954" s="42"/>
      <c r="C3954" s="42"/>
      <c r="D3954" s="42"/>
      <c r="E3954" s="42"/>
      <c r="F3954" s="42"/>
      <c r="G3954" s="42"/>
      <c r="H3954" s="42"/>
      <c r="I3954" s="42"/>
      <c r="J3954" s="42"/>
      <c r="K3954" s="42"/>
      <c r="L3954" s="42"/>
      <c r="M3954" s="42"/>
    </row>
    <row r="3955" spans="1:13" x14ac:dyDescent="0.2">
      <c r="A3955" s="42"/>
      <c r="B3955" s="42"/>
      <c r="C3955" s="42"/>
      <c r="D3955" s="42"/>
      <c r="E3955" s="42"/>
      <c r="F3955" s="42"/>
      <c r="G3955" s="42"/>
      <c r="H3955" s="42"/>
      <c r="I3955" s="42"/>
      <c r="J3955" s="42"/>
      <c r="K3955" s="42"/>
      <c r="L3955" s="42"/>
      <c r="M3955" s="42"/>
    </row>
    <row r="3956" spans="1:13" x14ac:dyDescent="0.2">
      <c r="A3956" s="42"/>
      <c r="B3956" s="42"/>
      <c r="C3956" s="42"/>
      <c r="D3956" s="42"/>
      <c r="E3956" s="42"/>
      <c r="F3956" s="42"/>
      <c r="G3956" s="42"/>
      <c r="H3956" s="42"/>
      <c r="I3956" s="42"/>
      <c r="J3956" s="42"/>
      <c r="K3956" s="42"/>
      <c r="L3956" s="42"/>
      <c r="M3956" s="42"/>
    </row>
    <row r="3957" spans="1:13" x14ac:dyDescent="0.2">
      <c r="A3957" s="42"/>
      <c r="B3957" s="42"/>
      <c r="C3957" s="42"/>
      <c r="D3957" s="42"/>
      <c r="E3957" s="42"/>
      <c r="F3957" s="42"/>
      <c r="G3957" s="42"/>
      <c r="H3957" s="42"/>
      <c r="I3957" s="42"/>
      <c r="J3957" s="42"/>
      <c r="K3957" s="42"/>
      <c r="L3957" s="42"/>
      <c r="M3957" s="42"/>
    </row>
    <row r="3958" spans="1:13" x14ac:dyDescent="0.2">
      <c r="A3958" s="42"/>
      <c r="B3958" s="42"/>
      <c r="C3958" s="42"/>
      <c r="D3958" s="42"/>
      <c r="E3958" s="42"/>
      <c r="F3958" s="42"/>
      <c r="G3958" s="42"/>
      <c r="H3958" s="42"/>
      <c r="I3958" s="42"/>
      <c r="J3958" s="42"/>
      <c r="K3958" s="42"/>
      <c r="L3958" s="42"/>
      <c r="M3958" s="42"/>
    </row>
    <row r="3959" spans="1:13" x14ac:dyDescent="0.2">
      <c r="A3959" s="42"/>
      <c r="B3959" s="42"/>
      <c r="C3959" s="42"/>
      <c r="D3959" s="42"/>
      <c r="E3959" s="42"/>
      <c r="F3959" s="42"/>
      <c r="G3959" s="42"/>
      <c r="H3959" s="42"/>
      <c r="I3959" s="42"/>
      <c r="J3959" s="42"/>
      <c r="K3959" s="42"/>
      <c r="L3959" s="42"/>
      <c r="M3959" s="42"/>
    </row>
    <row r="3960" spans="1:13" x14ac:dyDescent="0.2">
      <c r="A3960" s="42"/>
      <c r="B3960" s="42"/>
      <c r="C3960" s="42"/>
      <c r="D3960" s="42"/>
      <c r="E3960" s="42"/>
      <c r="F3960" s="42"/>
      <c r="G3960" s="42"/>
      <c r="H3960" s="42"/>
      <c r="I3960" s="42"/>
      <c r="J3960" s="42"/>
      <c r="K3960" s="42"/>
      <c r="L3960" s="42"/>
      <c r="M3960" s="42"/>
    </row>
    <row r="3961" spans="1:13" x14ac:dyDescent="0.2">
      <c r="A3961" s="42"/>
      <c r="B3961" s="42"/>
      <c r="C3961" s="42"/>
      <c r="D3961" s="42"/>
      <c r="E3961" s="42"/>
      <c r="F3961" s="42"/>
      <c r="G3961" s="42"/>
      <c r="H3961" s="42"/>
      <c r="I3961" s="42"/>
      <c r="J3961" s="42"/>
      <c r="K3961" s="42"/>
      <c r="L3961" s="42"/>
      <c r="M3961" s="42"/>
    </row>
    <row r="3962" spans="1:13" x14ac:dyDescent="0.2">
      <c r="A3962" s="42"/>
      <c r="B3962" s="42"/>
      <c r="C3962" s="42"/>
      <c r="D3962" s="42"/>
      <c r="E3962" s="42"/>
      <c r="F3962" s="42"/>
      <c r="G3962" s="42"/>
      <c r="H3962" s="42"/>
      <c r="I3962" s="42"/>
      <c r="J3962" s="42"/>
      <c r="K3962" s="42"/>
      <c r="L3962" s="42"/>
      <c r="M3962" s="42"/>
    </row>
    <row r="3963" spans="1:13" x14ac:dyDescent="0.2">
      <c r="A3963" s="42"/>
      <c r="B3963" s="42"/>
      <c r="C3963" s="42"/>
      <c r="D3963" s="42"/>
      <c r="E3963" s="42"/>
      <c r="F3963" s="42"/>
      <c r="G3963" s="42"/>
      <c r="H3963" s="42"/>
      <c r="I3963" s="42"/>
      <c r="J3963" s="42"/>
      <c r="K3963" s="42"/>
      <c r="L3963" s="42"/>
      <c r="M3963" s="42"/>
    </row>
    <row r="3964" spans="1:13" x14ac:dyDescent="0.2">
      <c r="A3964" s="42"/>
      <c r="B3964" s="42"/>
      <c r="C3964" s="42"/>
      <c r="D3964" s="42"/>
      <c r="E3964" s="42"/>
      <c r="F3964" s="42"/>
      <c r="G3964" s="42"/>
      <c r="H3964" s="42"/>
      <c r="I3964" s="42"/>
      <c r="J3964" s="42"/>
      <c r="K3964" s="42"/>
      <c r="L3964" s="42"/>
      <c r="M3964" s="42"/>
    </row>
    <row r="3965" spans="1:13" x14ac:dyDescent="0.2">
      <c r="A3965" s="42"/>
      <c r="B3965" s="42"/>
      <c r="C3965" s="42"/>
      <c r="D3965" s="42"/>
      <c r="E3965" s="42"/>
      <c r="F3965" s="42"/>
      <c r="G3965" s="42"/>
      <c r="H3965" s="42"/>
      <c r="I3965" s="42"/>
      <c r="J3965" s="42"/>
      <c r="K3965" s="42"/>
      <c r="L3965" s="42"/>
      <c r="M3965" s="42"/>
    </row>
    <row r="3966" spans="1:13" x14ac:dyDescent="0.2">
      <c r="A3966" s="42"/>
      <c r="B3966" s="42"/>
      <c r="C3966" s="42"/>
      <c r="D3966" s="42"/>
      <c r="E3966" s="42"/>
      <c r="F3966" s="42"/>
      <c r="G3966" s="42"/>
      <c r="H3966" s="42"/>
      <c r="I3966" s="42"/>
      <c r="J3966" s="42"/>
      <c r="K3966" s="42"/>
      <c r="L3966" s="42"/>
      <c r="M3966" s="42"/>
    </row>
    <row r="3967" spans="1:13" x14ac:dyDescent="0.2">
      <c r="A3967" s="42"/>
      <c r="B3967" s="42"/>
      <c r="C3967" s="42"/>
      <c r="D3967" s="42"/>
      <c r="E3967" s="42"/>
      <c r="F3967" s="42"/>
      <c r="G3967" s="42"/>
      <c r="H3967" s="42"/>
      <c r="I3967" s="42"/>
      <c r="J3967" s="42"/>
      <c r="K3967" s="42"/>
      <c r="L3967" s="42"/>
      <c r="M3967" s="42"/>
    </row>
    <row r="3968" spans="1:13" x14ac:dyDescent="0.2">
      <c r="A3968" s="42"/>
      <c r="B3968" s="42"/>
      <c r="C3968" s="42"/>
      <c r="D3968" s="42"/>
      <c r="E3968" s="42"/>
      <c r="F3968" s="42"/>
      <c r="G3968" s="42"/>
      <c r="H3968" s="42"/>
      <c r="I3968" s="42"/>
      <c r="J3968" s="42"/>
      <c r="K3968" s="42"/>
      <c r="L3968" s="42"/>
      <c r="M3968" s="42"/>
    </row>
    <row r="3969" spans="1:13" x14ac:dyDescent="0.2">
      <c r="A3969" s="42"/>
      <c r="B3969" s="42"/>
      <c r="C3969" s="42"/>
      <c r="D3969" s="42"/>
      <c r="E3969" s="42"/>
      <c r="F3969" s="42"/>
      <c r="G3969" s="42"/>
      <c r="H3969" s="42"/>
      <c r="I3969" s="42"/>
      <c r="J3969" s="42"/>
      <c r="K3969" s="42"/>
      <c r="L3969" s="42"/>
      <c r="M3969" s="42"/>
    </row>
    <row r="3970" spans="1:13" x14ac:dyDescent="0.2">
      <c r="A3970" s="42"/>
      <c r="B3970" s="42"/>
      <c r="C3970" s="42"/>
      <c r="D3970" s="42"/>
      <c r="E3970" s="42"/>
      <c r="F3970" s="42"/>
      <c r="G3970" s="42"/>
      <c r="H3970" s="42"/>
      <c r="I3970" s="42"/>
      <c r="J3970" s="42"/>
      <c r="K3970" s="42"/>
      <c r="L3970" s="42"/>
      <c r="M3970" s="42"/>
    </row>
    <row r="3971" spans="1:13" x14ac:dyDescent="0.2">
      <c r="A3971" s="42"/>
      <c r="B3971" s="42"/>
      <c r="C3971" s="42"/>
      <c r="D3971" s="42"/>
      <c r="E3971" s="42"/>
      <c r="F3971" s="42"/>
      <c r="G3971" s="42"/>
      <c r="H3971" s="42"/>
      <c r="I3971" s="42"/>
      <c r="J3971" s="42"/>
      <c r="K3971" s="42"/>
      <c r="L3971" s="42"/>
      <c r="M3971" s="42"/>
    </row>
    <row r="3972" spans="1:13" x14ac:dyDescent="0.2">
      <c r="A3972" s="42"/>
      <c r="B3972" s="42"/>
      <c r="C3972" s="42"/>
      <c r="D3972" s="42"/>
      <c r="E3972" s="42"/>
      <c r="F3972" s="42"/>
      <c r="G3972" s="42"/>
      <c r="H3972" s="42"/>
      <c r="I3972" s="42"/>
      <c r="J3972" s="42"/>
      <c r="K3972" s="42"/>
      <c r="L3972" s="42"/>
      <c r="M3972" s="42"/>
    </row>
    <row r="3973" spans="1:13" x14ac:dyDescent="0.2">
      <c r="A3973" s="42"/>
      <c r="B3973" s="42"/>
      <c r="C3973" s="42"/>
      <c r="D3973" s="42"/>
      <c r="E3973" s="42"/>
      <c r="F3973" s="42"/>
      <c r="G3973" s="42"/>
      <c r="H3973" s="42"/>
      <c r="I3973" s="42"/>
      <c r="J3973" s="42"/>
      <c r="K3973" s="42"/>
      <c r="L3973" s="42"/>
      <c r="M3973" s="42"/>
    </row>
    <row r="3974" spans="1:13" x14ac:dyDescent="0.2">
      <c r="A3974" s="42"/>
      <c r="B3974" s="42"/>
      <c r="C3974" s="42"/>
      <c r="D3974" s="42"/>
      <c r="E3974" s="42"/>
      <c r="F3974" s="42"/>
      <c r="G3974" s="42"/>
      <c r="H3974" s="42"/>
      <c r="I3974" s="42"/>
      <c r="J3974" s="42"/>
      <c r="K3974" s="42"/>
      <c r="L3974" s="42"/>
      <c r="M3974" s="42"/>
    </row>
    <row r="3975" spans="1:13" x14ac:dyDescent="0.2">
      <c r="A3975" s="42"/>
      <c r="B3975" s="42"/>
      <c r="C3975" s="42"/>
      <c r="D3975" s="42"/>
      <c r="E3975" s="42"/>
      <c r="F3975" s="42"/>
      <c r="G3975" s="42"/>
      <c r="H3975" s="42"/>
      <c r="I3975" s="42"/>
      <c r="J3975" s="42"/>
      <c r="K3975" s="42"/>
      <c r="L3975" s="42"/>
      <c r="M3975" s="42"/>
    </row>
    <row r="3976" spans="1:13" x14ac:dyDescent="0.2">
      <c r="A3976" s="42"/>
      <c r="B3976" s="42"/>
      <c r="C3976" s="42"/>
      <c r="D3976" s="42"/>
      <c r="E3976" s="42"/>
      <c r="F3976" s="42"/>
      <c r="G3976" s="42"/>
      <c r="H3976" s="42"/>
      <c r="I3976" s="42"/>
      <c r="J3976" s="42"/>
      <c r="K3976" s="42"/>
      <c r="L3976" s="42"/>
      <c r="M3976" s="42"/>
    </row>
    <row r="3977" spans="1:13" x14ac:dyDescent="0.2">
      <c r="A3977" s="42"/>
      <c r="B3977" s="42"/>
      <c r="C3977" s="42"/>
      <c r="D3977" s="42"/>
      <c r="E3977" s="42"/>
      <c r="F3977" s="42"/>
      <c r="G3977" s="42"/>
      <c r="H3977" s="42"/>
      <c r="I3977" s="42"/>
      <c r="J3977" s="42"/>
      <c r="K3977" s="42"/>
      <c r="L3977" s="42"/>
      <c r="M3977" s="42"/>
    </row>
    <row r="3978" spans="1:13" x14ac:dyDescent="0.2">
      <c r="A3978" s="42"/>
      <c r="B3978" s="42"/>
      <c r="C3978" s="42"/>
      <c r="D3978" s="42"/>
      <c r="E3978" s="42"/>
      <c r="F3978" s="42"/>
      <c r="G3978" s="42"/>
      <c r="H3978" s="42"/>
      <c r="I3978" s="42"/>
      <c r="J3978" s="42"/>
      <c r="K3978" s="42"/>
      <c r="L3978" s="42"/>
      <c r="M3978" s="42"/>
    </row>
    <row r="3979" spans="1:13" x14ac:dyDescent="0.2">
      <c r="A3979" s="42"/>
      <c r="B3979" s="42"/>
      <c r="C3979" s="42"/>
      <c r="D3979" s="42"/>
      <c r="E3979" s="42"/>
      <c r="F3979" s="42"/>
      <c r="G3979" s="42"/>
      <c r="H3979" s="42"/>
      <c r="I3979" s="42"/>
      <c r="J3979" s="42"/>
      <c r="K3979" s="42"/>
      <c r="L3979" s="42"/>
      <c r="M3979" s="42"/>
    </row>
    <row r="3980" spans="1:13" x14ac:dyDescent="0.2">
      <c r="A3980" s="42"/>
      <c r="B3980" s="42"/>
      <c r="C3980" s="42"/>
      <c r="D3980" s="42"/>
      <c r="E3980" s="42"/>
      <c r="F3980" s="42"/>
      <c r="G3980" s="42"/>
      <c r="H3980" s="42"/>
      <c r="I3980" s="42"/>
      <c r="J3980" s="42"/>
      <c r="K3980" s="42"/>
      <c r="L3980" s="42"/>
      <c r="M3980" s="42"/>
    </row>
    <row r="3981" spans="1:13" x14ac:dyDescent="0.2">
      <c r="A3981" s="42"/>
      <c r="B3981" s="42"/>
      <c r="C3981" s="42"/>
      <c r="D3981" s="42"/>
      <c r="E3981" s="42"/>
      <c r="F3981" s="42"/>
      <c r="G3981" s="42"/>
      <c r="H3981" s="42"/>
      <c r="I3981" s="42"/>
      <c r="J3981" s="42"/>
      <c r="K3981" s="42"/>
      <c r="L3981" s="42"/>
      <c r="M3981" s="42"/>
    </row>
    <row r="3982" spans="1:13" x14ac:dyDescent="0.2">
      <c r="A3982" s="42"/>
      <c r="B3982" s="42"/>
      <c r="C3982" s="42"/>
      <c r="D3982" s="42"/>
      <c r="E3982" s="42"/>
      <c r="F3982" s="42"/>
      <c r="G3982" s="42"/>
      <c r="H3982" s="42"/>
      <c r="I3982" s="42"/>
      <c r="J3982" s="42"/>
      <c r="K3982" s="42"/>
      <c r="L3982" s="42"/>
      <c r="M3982" s="42"/>
    </row>
    <row r="3983" spans="1:13" x14ac:dyDescent="0.2">
      <c r="A3983" s="42"/>
      <c r="B3983" s="42"/>
      <c r="C3983" s="42"/>
      <c r="D3983" s="42"/>
      <c r="E3983" s="42"/>
      <c r="F3983" s="42"/>
      <c r="G3983" s="42"/>
      <c r="H3983" s="42"/>
      <c r="I3983" s="42"/>
      <c r="J3983" s="42"/>
      <c r="K3983" s="42"/>
      <c r="L3983" s="42"/>
      <c r="M3983" s="42"/>
    </row>
    <row r="3984" spans="1:13" x14ac:dyDescent="0.2">
      <c r="A3984" s="42"/>
      <c r="B3984" s="42"/>
      <c r="C3984" s="42"/>
      <c r="D3984" s="42"/>
      <c r="E3984" s="42"/>
      <c r="F3984" s="42"/>
      <c r="G3984" s="42"/>
      <c r="H3984" s="42"/>
      <c r="I3984" s="42"/>
      <c r="J3984" s="42"/>
      <c r="K3984" s="42"/>
      <c r="L3984" s="42"/>
      <c r="M3984" s="42"/>
    </row>
    <row r="3985" spans="1:13" x14ac:dyDescent="0.2">
      <c r="A3985" s="42"/>
      <c r="B3985" s="42"/>
      <c r="C3985" s="42"/>
      <c r="D3985" s="42"/>
      <c r="E3985" s="42"/>
      <c r="F3985" s="42"/>
      <c r="G3985" s="42"/>
      <c r="H3985" s="42"/>
      <c r="I3985" s="42"/>
      <c r="J3985" s="42"/>
      <c r="K3985" s="42"/>
      <c r="L3985" s="42"/>
      <c r="M3985" s="42"/>
    </row>
    <row r="3986" spans="1:13" x14ac:dyDescent="0.2">
      <c r="A3986" s="42"/>
      <c r="B3986" s="42"/>
      <c r="C3986" s="42"/>
      <c r="D3986" s="42"/>
      <c r="E3986" s="42"/>
      <c r="F3986" s="42"/>
      <c r="G3986" s="42"/>
      <c r="H3986" s="42"/>
      <c r="I3986" s="42"/>
      <c r="J3986" s="42"/>
      <c r="K3986" s="42"/>
      <c r="L3986" s="42"/>
      <c r="M3986" s="42"/>
    </row>
    <row r="3987" spans="1:13" x14ac:dyDescent="0.2">
      <c r="A3987" s="42"/>
      <c r="B3987" s="42"/>
      <c r="C3987" s="42"/>
      <c r="D3987" s="42"/>
      <c r="E3987" s="42"/>
      <c r="F3987" s="42"/>
      <c r="G3987" s="42"/>
      <c r="H3987" s="42"/>
      <c r="I3987" s="42"/>
      <c r="J3987" s="42"/>
      <c r="K3987" s="42"/>
      <c r="L3987" s="42"/>
      <c r="M3987" s="42"/>
    </row>
    <row r="3988" spans="1:13" x14ac:dyDescent="0.2">
      <c r="A3988" s="42"/>
      <c r="B3988" s="42"/>
      <c r="C3988" s="42"/>
      <c r="D3988" s="42"/>
      <c r="E3988" s="42"/>
      <c r="F3988" s="42"/>
      <c r="G3988" s="42"/>
      <c r="H3988" s="42"/>
      <c r="I3988" s="42"/>
      <c r="J3988" s="42"/>
      <c r="K3988" s="42"/>
      <c r="L3988" s="42"/>
      <c r="M3988" s="42"/>
    </row>
    <row r="3989" spans="1:13" x14ac:dyDescent="0.2">
      <c r="A3989" s="42"/>
      <c r="B3989" s="42"/>
      <c r="C3989" s="42"/>
      <c r="D3989" s="42"/>
      <c r="E3989" s="42"/>
      <c r="F3989" s="42"/>
      <c r="G3989" s="42"/>
      <c r="H3989" s="42"/>
      <c r="I3989" s="42"/>
      <c r="J3989" s="42"/>
      <c r="K3989" s="42"/>
      <c r="L3989" s="42"/>
      <c r="M3989" s="42"/>
    </row>
    <row r="3990" spans="1:13" x14ac:dyDescent="0.2">
      <c r="A3990" s="42"/>
      <c r="B3990" s="42"/>
      <c r="C3990" s="42"/>
      <c r="D3990" s="42"/>
      <c r="E3990" s="42"/>
      <c r="F3990" s="42"/>
      <c r="G3990" s="42"/>
      <c r="H3990" s="42"/>
      <c r="I3990" s="42"/>
      <c r="J3990" s="42"/>
      <c r="K3990" s="42"/>
      <c r="L3990" s="42"/>
      <c r="M3990" s="42"/>
    </row>
    <row r="3991" spans="1:13" x14ac:dyDescent="0.2">
      <c r="A3991" s="42"/>
      <c r="B3991" s="42"/>
      <c r="C3991" s="42"/>
      <c r="D3991" s="42"/>
      <c r="E3991" s="42"/>
      <c r="F3991" s="42"/>
      <c r="G3991" s="42"/>
      <c r="H3991" s="42"/>
      <c r="I3991" s="42"/>
      <c r="J3991" s="42"/>
      <c r="K3991" s="42"/>
      <c r="L3991" s="42"/>
      <c r="M3991" s="42"/>
    </row>
    <row r="3992" spans="1:13" x14ac:dyDescent="0.2">
      <c r="A3992" s="42"/>
      <c r="B3992" s="42"/>
      <c r="C3992" s="42"/>
      <c r="D3992" s="42"/>
      <c r="E3992" s="42"/>
      <c r="F3992" s="42"/>
      <c r="G3992" s="42"/>
      <c r="H3992" s="42"/>
      <c r="I3992" s="42"/>
      <c r="J3992" s="42"/>
      <c r="K3992" s="42"/>
      <c r="L3992" s="42"/>
      <c r="M3992" s="42"/>
    </row>
    <row r="3993" spans="1:13" x14ac:dyDescent="0.2">
      <c r="A3993" s="42"/>
      <c r="B3993" s="42"/>
      <c r="C3993" s="42"/>
      <c r="D3993" s="42"/>
      <c r="E3993" s="42"/>
      <c r="F3993" s="42"/>
      <c r="G3993" s="42"/>
      <c r="H3993" s="42"/>
      <c r="I3993" s="42"/>
      <c r="J3993" s="42"/>
      <c r="K3993" s="42"/>
      <c r="L3993" s="42"/>
      <c r="M3993" s="42"/>
    </row>
    <row r="3994" spans="1:13" x14ac:dyDescent="0.2">
      <c r="A3994" s="42"/>
      <c r="B3994" s="42"/>
      <c r="C3994" s="42"/>
      <c r="D3994" s="42"/>
      <c r="E3994" s="42"/>
      <c r="F3994" s="42"/>
      <c r="G3994" s="42"/>
      <c r="H3994" s="42"/>
      <c r="I3994" s="42"/>
      <c r="J3994" s="42"/>
      <c r="K3994" s="42"/>
      <c r="L3994" s="42"/>
      <c r="M3994" s="42"/>
    </row>
    <row r="3995" spans="1:13" x14ac:dyDescent="0.2">
      <c r="A3995" s="42"/>
      <c r="B3995" s="42"/>
      <c r="C3995" s="42"/>
      <c r="D3995" s="42"/>
      <c r="E3995" s="42"/>
      <c r="F3995" s="42"/>
      <c r="G3995" s="42"/>
      <c r="H3995" s="42"/>
      <c r="I3995" s="42"/>
      <c r="J3995" s="42"/>
      <c r="K3995" s="42"/>
      <c r="L3995" s="42"/>
      <c r="M3995" s="42"/>
    </row>
    <row r="3996" spans="1:13" x14ac:dyDescent="0.2">
      <c r="A3996" s="42"/>
      <c r="B3996" s="42"/>
      <c r="C3996" s="42"/>
      <c r="D3996" s="42"/>
      <c r="E3996" s="42"/>
      <c r="F3996" s="42"/>
      <c r="G3996" s="42"/>
      <c r="H3996" s="42"/>
      <c r="I3996" s="42"/>
      <c r="J3996" s="42"/>
      <c r="K3996" s="42"/>
      <c r="L3996" s="42"/>
      <c r="M3996" s="42"/>
    </row>
    <row r="3997" spans="1:13" x14ac:dyDescent="0.2">
      <c r="A3997" s="42"/>
      <c r="B3997" s="42"/>
      <c r="C3997" s="42"/>
      <c r="D3997" s="42"/>
      <c r="E3997" s="42"/>
      <c r="F3997" s="42"/>
      <c r="G3997" s="42"/>
      <c r="H3997" s="42"/>
      <c r="I3997" s="42"/>
      <c r="J3997" s="42"/>
      <c r="K3997" s="42"/>
      <c r="L3997" s="42"/>
      <c r="M3997" s="42"/>
    </row>
    <row r="3998" spans="1:13" x14ac:dyDescent="0.2">
      <c r="A3998" s="42"/>
      <c r="B3998" s="42"/>
      <c r="C3998" s="42"/>
      <c r="D3998" s="42"/>
      <c r="E3998" s="42"/>
      <c r="F3998" s="42"/>
      <c r="G3998" s="42"/>
      <c r="H3998" s="42"/>
      <c r="I3998" s="42"/>
      <c r="J3998" s="42"/>
      <c r="K3998" s="42"/>
      <c r="L3998" s="42"/>
      <c r="M3998" s="42"/>
    </row>
    <row r="3999" spans="1:13" x14ac:dyDescent="0.2">
      <c r="A3999" s="42"/>
      <c r="B3999" s="42"/>
      <c r="C3999" s="42"/>
      <c r="D3999" s="42"/>
      <c r="E3999" s="42"/>
      <c r="F3999" s="42"/>
      <c r="G3999" s="42"/>
      <c r="H3999" s="42"/>
      <c r="I3999" s="42"/>
      <c r="J3999" s="42"/>
      <c r="K3999" s="42"/>
      <c r="L3999" s="42"/>
      <c r="M3999" s="42"/>
    </row>
    <row r="4000" spans="1:13" x14ac:dyDescent="0.2">
      <c r="A4000" s="42"/>
      <c r="B4000" s="42"/>
      <c r="C4000" s="42"/>
      <c r="D4000" s="42"/>
      <c r="E4000" s="42"/>
      <c r="F4000" s="42"/>
      <c r="G4000" s="42"/>
      <c r="H4000" s="42"/>
      <c r="I4000" s="42"/>
      <c r="J4000" s="42"/>
      <c r="K4000" s="42"/>
      <c r="L4000" s="42"/>
      <c r="M4000" s="42"/>
    </row>
    <row r="4001" spans="1:13" x14ac:dyDescent="0.2">
      <c r="A4001" s="42"/>
      <c r="B4001" s="42"/>
      <c r="C4001" s="42"/>
      <c r="D4001" s="42"/>
      <c r="E4001" s="42"/>
      <c r="F4001" s="42"/>
      <c r="G4001" s="42"/>
      <c r="H4001" s="42"/>
      <c r="I4001" s="42"/>
      <c r="J4001" s="42"/>
      <c r="K4001" s="42"/>
      <c r="L4001" s="42"/>
      <c r="M4001" s="42"/>
    </row>
    <row r="4002" spans="1:13" x14ac:dyDescent="0.2">
      <c r="A4002" s="42"/>
      <c r="B4002" s="42"/>
      <c r="C4002" s="42"/>
      <c r="D4002" s="42"/>
      <c r="E4002" s="42"/>
      <c r="F4002" s="42"/>
      <c r="G4002" s="42"/>
      <c r="H4002" s="42"/>
      <c r="I4002" s="42"/>
      <c r="J4002" s="42"/>
      <c r="K4002" s="42"/>
      <c r="L4002" s="42"/>
      <c r="M4002" s="42"/>
    </row>
    <row r="4003" spans="1:13" x14ac:dyDescent="0.2">
      <c r="A4003" s="42"/>
      <c r="B4003" s="42"/>
      <c r="C4003" s="42"/>
      <c r="D4003" s="42"/>
      <c r="E4003" s="42"/>
      <c r="F4003" s="42"/>
      <c r="G4003" s="42"/>
      <c r="H4003" s="42"/>
      <c r="I4003" s="42"/>
      <c r="J4003" s="42"/>
      <c r="K4003" s="42"/>
      <c r="L4003" s="42"/>
      <c r="M4003" s="42"/>
    </row>
    <row r="4004" spans="1:13" x14ac:dyDescent="0.2">
      <c r="A4004" s="42"/>
      <c r="B4004" s="42"/>
      <c r="C4004" s="42"/>
      <c r="D4004" s="42"/>
      <c r="E4004" s="42"/>
      <c r="F4004" s="42"/>
      <c r="G4004" s="42"/>
      <c r="H4004" s="42"/>
      <c r="I4004" s="42"/>
      <c r="J4004" s="42"/>
      <c r="K4004" s="42"/>
      <c r="L4004" s="42"/>
      <c r="M4004" s="42"/>
    </row>
    <row r="4005" spans="1:13" x14ac:dyDescent="0.2">
      <c r="A4005" s="42"/>
      <c r="B4005" s="42"/>
      <c r="C4005" s="42"/>
      <c r="D4005" s="42"/>
      <c r="E4005" s="42"/>
      <c r="F4005" s="42"/>
      <c r="G4005" s="42"/>
      <c r="H4005" s="42"/>
      <c r="I4005" s="42"/>
      <c r="J4005" s="42"/>
      <c r="K4005" s="42"/>
      <c r="L4005" s="42"/>
      <c r="M4005" s="42"/>
    </row>
    <row r="4006" spans="1:13" x14ac:dyDescent="0.2">
      <c r="A4006" s="42"/>
      <c r="B4006" s="42"/>
      <c r="C4006" s="42"/>
      <c r="D4006" s="42"/>
      <c r="E4006" s="42"/>
      <c r="F4006" s="42"/>
      <c r="G4006" s="42"/>
      <c r="H4006" s="42"/>
      <c r="I4006" s="42"/>
      <c r="J4006" s="42"/>
      <c r="K4006" s="42"/>
      <c r="L4006" s="42"/>
      <c r="M4006" s="42"/>
    </row>
    <row r="4007" spans="1:13" x14ac:dyDescent="0.2">
      <c r="A4007" s="42"/>
      <c r="B4007" s="42"/>
      <c r="C4007" s="42"/>
      <c r="D4007" s="42"/>
      <c r="E4007" s="42"/>
      <c r="F4007" s="42"/>
      <c r="G4007" s="42"/>
      <c r="H4007" s="42"/>
      <c r="I4007" s="42"/>
      <c r="J4007" s="42"/>
      <c r="K4007" s="42"/>
      <c r="L4007" s="42"/>
      <c r="M4007" s="42"/>
    </row>
    <row r="4008" spans="1:13" x14ac:dyDescent="0.2">
      <c r="A4008" s="42"/>
      <c r="B4008" s="42"/>
      <c r="C4008" s="42"/>
      <c r="D4008" s="42"/>
      <c r="E4008" s="42"/>
      <c r="F4008" s="42"/>
      <c r="G4008" s="42"/>
      <c r="H4008" s="42"/>
      <c r="I4008" s="42"/>
      <c r="J4008" s="42"/>
      <c r="K4008" s="42"/>
      <c r="L4008" s="42"/>
      <c r="M4008" s="42"/>
    </row>
    <row r="4009" spans="1:13" x14ac:dyDescent="0.2">
      <c r="A4009" s="42"/>
      <c r="B4009" s="42"/>
      <c r="C4009" s="42"/>
      <c r="D4009" s="42"/>
      <c r="E4009" s="42"/>
      <c r="F4009" s="42"/>
      <c r="G4009" s="42"/>
      <c r="H4009" s="42"/>
      <c r="I4009" s="42"/>
      <c r="J4009" s="42"/>
      <c r="K4009" s="42"/>
      <c r="L4009" s="42"/>
      <c r="M4009" s="42"/>
    </row>
    <row r="4010" spans="1:13" x14ac:dyDescent="0.2">
      <c r="A4010" s="42"/>
      <c r="B4010" s="42"/>
      <c r="C4010" s="42"/>
      <c r="D4010" s="42"/>
      <c r="E4010" s="42"/>
      <c r="F4010" s="42"/>
      <c r="G4010" s="42"/>
      <c r="H4010" s="42"/>
      <c r="I4010" s="42"/>
      <c r="J4010" s="42"/>
      <c r="K4010" s="42"/>
      <c r="L4010" s="42"/>
      <c r="M4010" s="42"/>
    </row>
    <row r="4011" spans="1:13" x14ac:dyDescent="0.2">
      <c r="A4011" s="42"/>
      <c r="B4011" s="42"/>
      <c r="C4011" s="42"/>
      <c r="D4011" s="42"/>
      <c r="E4011" s="42"/>
      <c r="F4011" s="42"/>
      <c r="G4011" s="42"/>
      <c r="H4011" s="42"/>
      <c r="I4011" s="42"/>
      <c r="J4011" s="42"/>
      <c r="K4011" s="42"/>
      <c r="L4011" s="42"/>
      <c r="M4011" s="42"/>
    </row>
    <row r="4012" spans="1:13" x14ac:dyDescent="0.2">
      <c r="A4012" s="42"/>
      <c r="B4012" s="42"/>
      <c r="C4012" s="42"/>
      <c r="D4012" s="42"/>
      <c r="E4012" s="42"/>
      <c r="F4012" s="42"/>
      <c r="G4012" s="42"/>
      <c r="H4012" s="42"/>
      <c r="I4012" s="42"/>
      <c r="J4012" s="42"/>
      <c r="K4012" s="42"/>
      <c r="L4012" s="42"/>
      <c r="M4012" s="42"/>
    </row>
    <row r="4013" spans="1:13" x14ac:dyDescent="0.2">
      <c r="A4013" s="42"/>
      <c r="B4013" s="42"/>
      <c r="C4013" s="42"/>
      <c r="D4013" s="42"/>
      <c r="E4013" s="42"/>
      <c r="F4013" s="42"/>
      <c r="G4013" s="42"/>
      <c r="H4013" s="42"/>
      <c r="I4013" s="42"/>
      <c r="J4013" s="42"/>
      <c r="K4013" s="42"/>
      <c r="L4013" s="42"/>
      <c r="M4013" s="42"/>
    </row>
    <row r="4014" spans="1:13" x14ac:dyDescent="0.2">
      <c r="A4014" s="42"/>
      <c r="B4014" s="42"/>
      <c r="C4014" s="42"/>
      <c r="D4014" s="42"/>
      <c r="E4014" s="42"/>
      <c r="F4014" s="42"/>
      <c r="G4014" s="42"/>
      <c r="H4014" s="42"/>
      <c r="I4014" s="42"/>
      <c r="J4014" s="42"/>
      <c r="K4014" s="42"/>
      <c r="L4014" s="42"/>
      <c r="M4014" s="42"/>
    </row>
    <row r="4015" spans="1:13" x14ac:dyDescent="0.2">
      <c r="A4015" s="42"/>
      <c r="B4015" s="42"/>
      <c r="C4015" s="42"/>
      <c r="D4015" s="42"/>
      <c r="E4015" s="42"/>
      <c r="F4015" s="42"/>
      <c r="G4015" s="42"/>
      <c r="H4015" s="42"/>
      <c r="I4015" s="42"/>
      <c r="J4015" s="42"/>
      <c r="K4015" s="42"/>
      <c r="L4015" s="42"/>
      <c r="M4015" s="42"/>
    </row>
    <row r="4016" spans="1:13" x14ac:dyDescent="0.2">
      <c r="A4016" s="42"/>
      <c r="B4016" s="42"/>
      <c r="C4016" s="42"/>
      <c r="D4016" s="42"/>
      <c r="E4016" s="42"/>
      <c r="F4016" s="42"/>
      <c r="G4016" s="42"/>
      <c r="H4016" s="42"/>
      <c r="I4016" s="42"/>
      <c r="J4016" s="42"/>
      <c r="K4016" s="42"/>
      <c r="L4016" s="42"/>
      <c r="M4016" s="42"/>
    </row>
    <row r="4017" spans="1:13" x14ac:dyDescent="0.2">
      <c r="A4017" s="42"/>
      <c r="B4017" s="42"/>
      <c r="C4017" s="42"/>
      <c r="D4017" s="42"/>
      <c r="E4017" s="42"/>
      <c r="F4017" s="42"/>
      <c r="G4017" s="42"/>
      <c r="H4017" s="42"/>
      <c r="I4017" s="42"/>
      <c r="J4017" s="42"/>
      <c r="K4017" s="42"/>
      <c r="L4017" s="42"/>
      <c r="M4017" s="42"/>
    </row>
    <row r="4018" spans="1:13" x14ac:dyDescent="0.2">
      <c r="A4018" s="42"/>
      <c r="B4018" s="42"/>
      <c r="C4018" s="42"/>
      <c r="D4018" s="42"/>
      <c r="E4018" s="42"/>
      <c r="F4018" s="42"/>
      <c r="G4018" s="42"/>
      <c r="H4018" s="42"/>
      <c r="I4018" s="42"/>
      <c r="J4018" s="42"/>
      <c r="K4018" s="42"/>
      <c r="L4018" s="42"/>
      <c r="M4018" s="42"/>
    </row>
    <row r="4019" spans="1:13" x14ac:dyDescent="0.2">
      <c r="A4019" s="42"/>
      <c r="B4019" s="42"/>
      <c r="C4019" s="42"/>
      <c r="D4019" s="42"/>
      <c r="E4019" s="42"/>
      <c r="F4019" s="42"/>
      <c r="G4019" s="42"/>
      <c r="H4019" s="42"/>
      <c r="I4019" s="42"/>
      <c r="J4019" s="42"/>
      <c r="K4019" s="42"/>
      <c r="L4019" s="42"/>
      <c r="M4019" s="42"/>
    </row>
    <row r="4020" spans="1:13" x14ac:dyDescent="0.2">
      <c r="A4020" s="42"/>
      <c r="B4020" s="42"/>
      <c r="C4020" s="42"/>
      <c r="D4020" s="42"/>
      <c r="E4020" s="42"/>
      <c r="F4020" s="42"/>
      <c r="G4020" s="42"/>
      <c r="H4020" s="42"/>
      <c r="I4020" s="42"/>
      <c r="J4020" s="42"/>
      <c r="K4020" s="42"/>
      <c r="L4020" s="42"/>
      <c r="M4020" s="42"/>
    </row>
    <row r="4021" spans="1:13" x14ac:dyDescent="0.2">
      <c r="A4021" s="42"/>
      <c r="B4021" s="42"/>
      <c r="C4021" s="42"/>
      <c r="D4021" s="42"/>
      <c r="E4021" s="42"/>
      <c r="F4021" s="42"/>
      <c r="G4021" s="42"/>
      <c r="H4021" s="42"/>
      <c r="I4021" s="42"/>
      <c r="J4021" s="42"/>
      <c r="K4021" s="42"/>
      <c r="L4021" s="42"/>
      <c r="M4021" s="42"/>
    </row>
    <row r="4022" spans="1:13" x14ac:dyDescent="0.2">
      <c r="A4022" s="42"/>
      <c r="B4022" s="42"/>
      <c r="C4022" s="42"/>
      <c r="D4022" s="42"/>
      <c r="E4022" s="42"/>
      <c r="F4022" s="42"/>
      <c r="G4022" s="42"/>
      <c r="H4022" s="42"/>
      <c r="I4022" s="42"/>
      <c r="J4022" s="42"/>
      <c r="K4022" s="42"/>
      <c r="L4022" s="42"/>
      <c r="M4022" s="42"/>
    </row>
    <row r="4023" spans="1:13" x14ac:dyDescent="0.2">
      <c r="A4023" s="42"/>
      <c r="B4023" s="42"/>
      <c r="C4023" s="42"/>
      <c r="D4023" s="42"/>
      <c r="E4023" s="42"/>
      <c r="F4023" s="42"/>
      <c r="G4023" s="42"/>
      <c r="H4023" s="42"/>
      <c r="I4023" s="42"/>
      <c r="J4023" s="42"/>
      <c r="K4023" s="42"/>
      <c r="L4023" s="42"/>
      <c r="M4023" s="42"/>
    </row>
    <row r="4024" spans="1:13" x14ac:dyDescent="0.2">
      <c r="A4024" s="42"/>
      <c r="B4024" s="42"/>
      <c r="C4024" s="42"/>
      <c r="D4024" s="42"/>
      <c r="E4024" s="42"/>
      <c r="F4024" s="42"/>
      <c r="G4024" s="42"/>
      <c r="H4024" s="42"/>
      <c r="I4024" s="42"/>
      <c r="J4024" s="42"/>
      <c r="K4024" s="42"/>
      <c r="L4024" s="42"/>
      <c r="M4024" s="42"/>
    </row>
    <row r="4025" spans="1:13" x14ac:dyDescent="0.2">
      <c r="A4025" s="42"/>
      <c r="B4025" s="42"/>
      <c r="C4025" s="42"/>
      <c r="D4025" s="42"/>
      <c r="E4025" s="42"/>
      <c r="F4025" s="42"/>
      <c r="G4025" s="42"/>
      <c r="H4025" s="42"/>
      <c r="I4025" s="42"/>
      <c r="J4025" s="42"/>
      <c r="K4025" s="42"/>
      <c r="L4025" s="42"/>
      <c r="M4025" s="42"/>
    </row>
    <row r="4026" spans="1:13" x14ac:dyDescent="0.2">
      <c r="A4026" s="42"/>
      <c r="B4026" s="42"/>
      <c r="C4026" s="42"/>
      <c r="D4026" s="42"/>
      <c r="E4026" s="42"/>
      <c r="F4026" s="42"/>
      <c r="G4026" s="42"/>
      <c r="H4026" s="42"/>
      <c r="I4026" s="42"/>
      <c r="J4026" s="42"/>
      <c r="K4026" s="42"/>
      <c r="L4026" s="42"/>
      <c r="M4026" s="42"/>
    </row>
    <row r="4027" spans="1:13" x14ac:dyDescent="0.2">
      <c r="A4027" s="42"/>
      <c r="B4027" s="42"/>
      <c r="C4027" s="42"/>
      <c r="D4027" s="42"/>
      <c r="E4027" s="42"/>
      <c r="F4027" s="42"/>
      <c r="G4027" s="42"/>
      <c r="H4027" s="42"/>
      <c r="I4027" s="42"/>
      <c r="J4027" s="42"/>
      <c r="K4027" s="42"/>
      <c r="L4027" s="42"/>
      <c r="M4027" s="42"/>
    </row>
    <row r="4028" spans="1:13" x14ac:dyDescent="0.2">
      <c r="A4028" s="42"/>
      <c r="B4028" s="42"/>
      <c r="C4028" s="42"/>
      <c r="D4028" s="42"/>
      <c r="E4028" s="42"/>
      <c r="F4028" s="42"/>
      <c r="G4028" s="42"/>
      <c r="H4028" s="42"/>
      <c r="I4028" s="42"/>
      <c r="J4028" s="42"/>
      <c r="K4028" s="42"/>
      <c r="L4028" s="42"/>
      <c r="M4028" s="42"/>
    </row>
    <row r="4029" spans="1:13" x14ac:dyDescent="0.2">
      <c r="A4029" s="42"/>
      <c r="B4029" s="42"/>
      <c r="C4029" s="42"/>
      <c r="D4029" s="42"/>
      <c r="E4029" s="42"/>
      <c r="F4029" s="42"/>
      <c r="G4029" s="42"/>
      <c r="H4029" s="42"/>
      <c r="I4029" s="42"/>
      <c r="J4029" s="42"/>
      <c r="K4029" s="42"/>
      <c r="L4029" s="42"/>
      <c r="M4029" s="42"/>
    </row>
    <row r="4030" spans="1:13" x14ac:dyDescent="0.2">
      <c r="A4030" s="42"/>
      <c r="B4030" s="42"/>
      <c r="C4030" s="42"/>
      <c r="D4030" s="42"/>
      <c r="E4030" s="42"/>
      <c r="F4030" s="42"/>
      <c r="G4030" s="42"/>
      <c r="H4030" s="42"/>
      <c r="I4030" s="42"/>
      <c r="J4030" s="42"/>
      <c r="K4030" s="42"/>
      <c r="L4030" s="42"/>
      <c r="M4030" s="42"/>
    </row>
    <row r="4031" spans="1:13" x14ac:dyDescent="0.2">
      <c r="A4031" s="42"/>
      <c r="B4031" s="42"/>
      <c r="C4031" s="42"/>
      <c r="D4031" s="42"/>
      <c r="E4031" s="42"/>
      <c r="F4031" s="42"/>
      <c r="G4031" s="42"/>
      <c r="H4031" s="42"/>
      <c r="I4031" s="42"/>
      <c r="J4031" s="42"/>
      <c r="K4031" s="42"/>
      <c r="L4031" s="42"/>
      <c r="M4031" s="42"/>
    </row>
    <row r="4032" spans="1:13" x14ac:dyDescent="0.2">
      <c r="A4032" s="42"/>
      <c r="B4032" s="42"/>
      <c r="C4032" s="42"/>
      <c r="D4032" s="42"/>
      <c r="E4032" s="42"/>
      <c r="F4032" s="42"/>
      <c r="G4032" s="42"/>
      <c r="H4032" s="42"/>
      <c r="I4032" s="42"/>
      <c r="J4032" s="42"/>
      <c r="K4032" s="42"/>
      <c r="L4032" s="42"/>
      <c r="M4032" s="42"/>
    </row>
    <row r="4033" spans="1:13" x14ac:dyDescent="0.2">
      <c r="A4033" s="42"/>
      <c r="B4033" s="42"/>
      <c r="C4033" s="42"/>
      <c r="D4033" s="42"/>
      <c r="E4033" s="42"/>
      <c r="F4033" s="42"/>
      <c r="G4033" s="42"/>
      <c r="H4033" s="42"/>
      <c r="I4033" s="42"/>
      <c r="J4033" s="42"/>
      <c r="K4033" s="42"/>
      <c r="L4033" s="42"/>
      <c r="M4033" s="42"/>
    </row>
    <row r="4034" spans="1:13" x14ac:dyDescent="0.2">
      <c r="A4034" s="42"/>
      <c r="B4034" s="42"/>
      <c r="C4034" s="42"/>
      <c r="D4034" s="42"/>
      <c r="E4034" s="42"/>
      <c r="F4034" s="42"/>
      <c r="G4034" s="42"/>
      <c r="H4034" s="42"/>
      <c r="I4034" s="42"/>
      <c r="J4034" s="42"/>
      <c r="K4034" s="42"/>
      <c r="L4034" s="42"/>
      <c r="M4034" s="42"/>
    </row>
    <row r="4035" spans="1:13" x14ac:dyDescent="0.2">
      <c r="A4035" s="42"/>
      <c r="B4035" s="42"/>
      <c r="C4035" s="42"/>
      <c r="D4035" s="42"/>
      <c r="E4035" s="42"/>
      <c r="F4035" s="42"/>
      <c r="G4035" s="42"/>
      <c r="H4035" s="42"/>
      <c r="I4035" s="42"/>
      <c r="J4035" s="42"/>
      <c r="K4035" s="42"/>
      <c r="L4035" s="42"/>
      <c r="M4035" s="42"/>
    </row>
    <row r="4036" spans="1:13" x14ac:dyDescent="0.2">
      <c r="A4036" s="42"/>
      <c r="B4036" s="42"/>
      <c r="C4036" s="42"/>
      <c r="D4036" s="42"/>
      <c r="E4036" s="42"/>
      <c r="F4036" s="42"/>
      <c r="G4036" s="42"/>
      <c r="H4036" s="42"/>
      <c r="I4036" s="42"/>
      <c r="J4036" s="42"/>
      <c r="K4036" s="42"/>
      <c r="L4036" s="42"/>
      <c r="M4036" s="42"/>
    </row>
    <row r="4037" spans="1:13" x14ac:dyDescent="0.2">
      <c r="A4037" s="42"/>
      <c r="B4037" s="42"/>
      <c r="C4037" s="42"/>
      <c r="D4037" s="42"/>
      <c r="E4037" s="42"/>
      <c r="F4037" s="42"/>
      <c r="G4037" s="42"/>
      <c r="H4037" s="42"/>
      <c r="I4037" s="42"/>
      <c r="J4037" s="42"/>
      <c r="K4037" s="42"/>
      <c r="L4037" s="42"/>
      <c r="M4037" s="42"/>
    </row>
    <row r="4038" spans="1:13" x14ac:dyDescent="0.2">
      <c r="A4038" s="42"/>
      <c r="B4038" s="42"/>
      <c r="C4038" s="42"/>
      <c r="D4038" s="42"/>
      <c r="E4038" s="42"/>
      <c r="F4038" s="42"/>
      <c r="G4038" s="42"/>
      <c r="H4038" s="42"/>
      <c r="I4038" s="42"/>
      <c r="J4038" s="42"/>
      <c r="K4038" s="42"/>
      <c r="L4038" s="42"/>
      <c r="M4038" s="42"/>
    </row>
    <row r="4039" spans="1:13" x14ac:dyDescent="0.2">
      <c r="A4039" s="42"/>
      <c r="B4039" s="42"/>
      <c r="C4039" s="42"/>
      <c r="D4039" s="42"/>
      <c r="E4039" s="42"/>
      <c r="F4039" s="42"/>
      <c r="G4039" s="42"/>
      <c r="H4039" s="42"/>
      <c r="I4039" s="42"/>
      <c r="J4039" s="42"/>
      <c r="K4039" s="42"/>
      <c r="L4039" s="42"/>
      <c r="M4039" s="42"/>
    </row>
    <row r="4040" spans="1:13" x14ac:dyDescent="0.2">
      <c r="A4040" s="42"/>
      <c r="B4040" s="42"/>
      <c r="C4040" s="42"/>
      <c r="D4040" s="42"/>
      <c r="E4040" s="42"/>
      <c r="F4040" s="42"/>
      <c r="G4040" s="42"/>
      <c r="H4040" s="42"/>
      <c r="I4040" s="42"/>
      <c r="J4040" s="42"/>
      <c r="K4040" s="42"/>
      <c r="L4040" s="42"/>
      <c r="M4040" s="42"/>
    </row>
    <row r="4041" spans="1:13" x14ac:dyDescent="0.2">
      <c r="A4041" s="42"/>
      <c r="B4041" s="42"/>
      <c r="C4041" s="42"/>
      <c r="D4041" s="42"/>
      <c r="E4041" s="42"/>
      <c r="F4041" s="42"/>
      <c r="G4041" s="42"/>
      <c r="H4041" s="42"/>
      <c r="I4041" s="42"/>
      <c r="J4041" s="42"/>
      <c r="K4041" s="42"/>
      <c r="L4041" s="42"/>
      <c r="M4041" s="42"/>
    </row>
    <row r="4042" spans="1:13" x14ac:dyDescent="0.2">
      <c r="A4042" s="42"/>
      <c r="B4042" s="42"/>
      <c r="C4042" s="42"/>
      <c r="D4042" s="42"/>
      <c r="E4042" s="42"/>
      <c r="F4042" s="42"/>
      <c r="G4042" s="42"/>
      <c r="H4042" s="42"/>
      <c r="I4042" s="42"/>
      <c r="J4042" s="42"/>
      <c r="K4042" s="42"/>
      <c r="L4042" s="42"/>
      <c r="M4042" s="42"/>
    </row>
    <row r="4043" spans="1:13" x14ac:dyDescent="0.2">
      <c r="A4043" s="42"/>
      <c r="B4043" s="42"/>
      <c r="C4043" s="42"/>
      <c r="D4043" s="42"/>
      <c r="E4043" s="42"/>
      <c r="F4043" s="42"/>
      <c r="G4043" s="42"/>
      <c r="H4043" s="42"/>
      <c r="I4043" s="42"/>
      <c r="J4043" s="42"/>
      <c r="K4043" s="42"/>
      <c r="L4043" s="42"/>
      <c r="M4043" s="42"/>
    </row>
    <row r="4044" spans="1:13" x14ac:dyDescent="0.2">
      <c r="A4044" s="42"/>
      <c r="B4044" s="42"/>
      <c r="C4044" s="42"/>
      <c r="D4044" s="42"/>
      <c r="E4044" s="42"/>
      <c r="F4044" s="42"/>
      <c r="G4044" s="42"/>
      <c r="H4044" s="42"/>
      <c r="I4044" s="42"/>
      <c r="J4044" s="42"/>
      <c r="K4044" s="42"/>
      <c r="L4044" s="42"/>
      <c r="M4044" s="42"/>
    </row>
    <row r="4045" spans="1:13" x14ac:dyDescent="0.2">
      <c r="A4045" s="42"/>
      <c r="B4045" s="42"/>
      <c r="C4045" s="42"/>
      <c r="D4045" s="42"/>
      <c r="E4045" s="42"/>
      <c r="F4045" s="42"/>
      <c r="G4045" s="42"/>
      <c r="H4045" s="42"/>
      <c r="I4045" s="42"/>
      <c r="J4045" s="42"/>
      <c r="K4045" s="42"/>
      <c r="L4045" s="42"/>
      <c r="M4045" s="42"/>
    </row>
    <row r="4046" spans="1:13" x14ac:dyDescent="0.2">
      <c r="A4046" s="42"/>
      <c r="B4046" s="42"/>
      <c r="C4046" s="42"/>
      <c r="D4046" s="42"/>
      <c r="E4046" s="42"/>
      <c r="F4046" s="42"/>
      <c r="G4046" s="42"/>
      <c r="H4046" s="42"/>
      <c r="I4046" s="42"/>
      <c r="J4046" s="42"/>
      <c r="K4046" s="42"/>
      <c r="L4046" s="42"/>
      <c r="M4046" s="42"/>
    </row>
    <row r="4047" spans="1:13" x14ac:dyDescent="0.2">
      <c r="A4047" s="42"/>
      <c r="B4047" s="42"/>
      <c r="C4047" s="42"/>
      <c r="D4047" s="42"/>
      <c r="E4047" s="42"/>
      <c r="F4047" s="42"/>
      <c r="G4047" s="42"/>
      <c r="H4047" s="42"/>
      <c r="I4047" s="42"/>
      <c r="J4047" s="42"/>
      <c r="K4047" s="42"/>
      <c r="L4047" s="42"/>
      <c r="M4047" s="42"/>
    </row>
    <row r="4048" spans="1:13" x14ac:dyDescent="0.2">
      <c r="A4048" s="42"/>
      <c r="B4048" s="42"/>
      <c r="C4048" s="42"/>
      <c r="D4048" s="42"/>
      <c r="E4048" s="42"/>
      <c r="F4048" s="42"/>
      <c r="G4048" s="42"/>
      <c r="H4048" s="42"/>
      <c r="I4048" s="42"/>
      <c r="J4048" s="42"/>
      <c r="K4048" s="42"/>
      <c r="L4048" s="42"/>
      <c r="M4048" s="42"/>
    </row>
    <row r="4049" spans="1:13" x14ac:dyDescent="0.2">
      <c r="A4049" s="42"/>
      <c r="B4049" s="42"/>
      <c r="C4049" s="42"/>
      <c r="D4049" s="42"/>
      <c r="E4049" s="42"/>
      <c r="F4049" s="42"/>
      <c r="G4049" s="42"/>
      <c r="H4049" s="42"/>
      <c r="I4049" s="42"/>
      <c r="J4049" s="42"/>
      <c r="K4049" s="42"/>
      <c r="L4049" s="42"/>
      <c r="M4049" s="42"/>
    </row>
    <row r="4050" spans="1:13" x14ac:dyDescent="0.2">
      <c r="A4050" s="42"/>
      <c r="B4050" s="42"/>
      <c r="C4050" s="42"/>
      <c r="D4050" s="42"/>
      <c r="E4050" s="42"/>
      <c r="F4050" s="42"/>
      <c r="G4050" s="42"/>
      <c r="H4050" s="42"/>
      <c r="I4050" s="42"/>
      <c r="J4050" s="42"/>
      <c r="K4050" s="42"/>
      <c r="L4050" s="42"/>
      <c r="M4050" s="42"/>
    </row>
    <row r="4051" spans="1:13" x14ac:dyDescent="0.2">
      <c r="A4051" s="42"/>
      <c r="B4051" s="42"/>
      <c r="C4051" s="42"/>
      <c r="D4051" s="42"/>
      <c r="E4051" s="42"/>
      <c r="F4051" s="42"/>
      <c r="G4051" s="42"/>
      <c r="H4051" s="42"/>
      <c r="I4051" s="42"/>
      <c r="J4051" s="42"/>
      <c r="K4051" s="42"/>
      <c r="L4051" s="42"/>
      <c r="M4051" s="42"/>
    </row>
    <row r="4052" spans="1:13" x14ac:dyDescent="0.2">
      <c r="A4052" s="42"/>
      <c r="B4052" s="42"/>
      <c r="C4052" s="42"/>
      <c r="D4052" s="42"/>
      <c r="E4052" s="42"/>
      <c r="F4052" s="42"/>
      <c r="G4052" s="42"/>
      <c r="H4052" s="42"/>
      <c r="I4052" s="42"/>
      <c r="J4052" s="42"/>
      <c r="K4052" s="42"/>
      <c r="L4052" s="42"/>
      <c r="M4052" s="42"/>
    </row>
    <row r="4053" spans="1:13" x14ac:dyDescent="0.2">
      <c r="A4053" s="42"/>
      <c r="B4053" s="42"/>
      <c r="C4053" s="42"/>
      <c r="D4053" s="42"/>
      <c r="E4053" s="42"/>
      <c r="F4053" s="42"/>
      <c r="G4053" s="42"/>
      <c r="H4053" s="42"/>
      <c r="I4053" s="42"/>
      <c r="J4053" s="42"/>
      <c r="K4053" s="42"/>
      <c r="L4053" s="42"/>
      <c r="M4053" s="42"/>
    </row>
    <row r="4054" spans="1:13" x14ac:dyDescent="0.2">
      <c r="A4054" s="42"/>
      <c r="B4054" s="42"/>
      <c r="C4054" s="42"/>
      <c r="D4054" s="42"/>
      <c r="E4054" s="42"/>
      <c r="F4054" s="42"/>
      <c r="G4054" s="42"/>
      <c r="H4054" s="42"/>
      <c r="I4054" s="42"/>
      <c r="J4054" s="42"/>
      <c r="K4054" s="42"/>
      <c r="L4054" s="42"/>
      <c r="M4054" s="42"/>
    </row>
    <row r="4055" spans="1:13" x14ac:dyDescent="0.2">
      <c r="A4055" s="42"/>
      <c r="B4055" s="42"/>
      <c r="C4055" s="42"/>
      <c r="D4055" s="42"/>
      <c r="E4055" s="42"/>
      <c r="F4055" s="42"/>
      <c r="G4055" s="42"/>
      <c r="H4055" s="42"/>
      <c r="I4055" s="42"/>
      <c r="J4055" s="42"/>
      <c r="K4055" s="42"/>
      <c r="L4055" s="42"/>
      <c r="M4055" s="42"/>
    </row>
    <row r="4056" spans="1:13" x14ac:dyDescent="0.2">
      <c r="A4056" s="42"/>
      <c r="B4056" s="42"/>
      <c r="C4056" s="42"/>
      <c r="D4056" s="42"/>
      <c r="E4056" s="42"/>
      <c r="F4056" s="42"/>
      <c r="G4056" s="42"/>
      <c r="H4056" s="42"/>
      <c r="I4056" s="42"/>
      <c r="J4056" s="42"/>
      <c r="K4056" s="42"/>
      <c r="L4056" s="42"/>
      <c r="M4056" s="42"/>
    </row>
    <row r="4057" spans="1:13" x14ac:dyDescent="0.2">
      <c r="A4057" s="42"/>
      <c r="B4057" s="42"/>
      <c r="C4057" s="42"/>
      <c r="D4057" s="42"/>
      <c r="E4057" s="42"/>
      <c r="F4057" s="42"/>
      <c r="G4057" s="42"/>
      <c r="H4057" s="42"/>
      <c r="I4057" s="42"/>
      <c r="J4057" s="42"/>
      <c r="K4057" s="42"/>
      <c r="L4057" s="42"/>
      <c r="M4057" s="42"/>
    </row>
    <row r="4058" spans="1:13" x14ac:dyDescent="0.2">
      <c r="A4058" s="42"/>
      <c r="B4058" s="42"/>
      <c r="C4058" s="42"/>
      <c r="D4058" s="42"/>
      <c r="E4058" s="42"/>
      <c r="F4058" s="42"/>
      <c r="G4058" s="42"/>
      <c r="H4058" s="42"/>
      <c r="I4058" s="42"/>
      <c r="J4058" s="42"/>
      <c r="K4058" s="42"/>
      <c r="L4058" s="42"/>
      <c r="M4058" s="42"/>
    </row>
    <row r="4059" spans="1:13" x14ac:dyDescent="0.2">
      <c r="A4059" s="42"/>
      <c r="B4059" s="42"/>
      <c r="C4059" s="42"/>
      <c r="D4059" s="42"/>
      <c r="E4059" s="42"/>
      <c r="F4059" s="42"/>
      <c r="G4059" s="42"/>
      <c r="H4059" s="42"/>
      <c r="I4059" s="42"/>
      <c r="J4059" s="42"/>
      <c r="K4059" s="42"/>
      <c r="L4059" s="42"/>
      <c r="M4059" s="42"/>
    </row>
    <row r="4060" spans="1:13" x14ac:dyDescent="0.2">
      <c r="A4060" s="42"/>
      <c r="B4060" s="42"/>
      <c r="C4060" s="42"/>
      <c r="D4060" s="42"/>
      <c r="E4060" s="42"/>
      <c r="F4060" s="42"/>
      <c r="G4060" s="42"/>
      <c r="H4060" s="42"/>
      <c r="I4060" s="42"/>
      <c r="J4060" s="42"/>
      <c r="K4060" s="42"/>
      <c r="L4060" s="42"/>
      <c r="M4060" s="42"/>
    </row>
    <row r="4061" spans="1:13" x14ac:dyDescent="0.2">
      <c r="A4061" s="42"/>
      <c r="B4061" s="42"/>
      <c r="C4061" s="42"/>
      <c r="D4061" s="42"/>
      <c r="E4061" s="42"/>
      <c r="F4061" s="42"/>
      <c r="G4061" s="42"/>
      <c r="H4061" s="42"/>
      <c r="I4061" s="42"/>
      <c r="J4061" s="42"/>
      <c r="K4061" s="42"/>
      <c r="L4061" s="42"/>
      <c r="M4061" s="42"/>
    </row>
    <row r="4062" spans="1:13" x14ac:dyDescent="0.2">
      <c r="A4062" s="42"/>
      <c r="B4062" s="42"/>
      <c r="C4062" s="42"/>
      <c r="D4062" s="42"/>
      <c r="E4062" s="42"/>
      <c r="F4062" s="42"/>
      <c r="G4062" s="42"/>
      <c r="H4062" s="42"/>
      <c r="I4062" s="42"/>
      <c r="J4062" s="42"/>
      <c r="K4062" s="42"/>
      <c r="L4062" s="42"/>
      <c r="M4062" s="42"/>
    </row>
    <row r="4063" spans="1:13" x14ac:dyDescent="0.2">
      <c r="A4063" s="42"/>
      <c r="B4063" s="42"/>
      <c r="C4063" s="42"/>
      <c r="D4063" s="42"/>
      <c r="E4063" s="42"/>
      <c r="F4063" s="42"/>
      <c r="G4063" s="42"/>
      <c r="H4063" s="42"/>
      <c r="I4063" s="42"/>
      <c r="J4063" s="42"/>
      <c r="K4063" s="42"/>
      <c r="L4063" s="42"/>
      <c r="M4063" s="42"/>
    </row>
    <row r="4064" spans="1:13" x14ac:dyDescent="0.2">
      <c r="A4064" s="42"/>
      <c r="B4064" s="42"/>
      <c r="C4064" s="42"/>
      <c r="D4064" s="42"/>
      <c r="E4064" s="42"/>
      <c r="F4064" s="42"/>
      <c r="G4064" s="42"/>
      <c r="H4064" s="42"/>
      <c r="I4064" s="42"/>
      <c r="J4064" s="42"/>
      <c r="K4064" s="42"/>
      <c r="L4064" s="42"/>
      <c r="M4064" s="42"/>
    </row>
    <row r="4065" spans="1:13" x14ac:dyDescent="0.2">
      <c r="A4065" s="42"/>
      <c r="B4065" s="42"/>
      <c r="C4065" s="42"/>
      <c r="D4065" s="42"/>
      <c r="E4065" s="42"/>
      <c r="F4065" s="42"/>
      <c r="G4065" s="42"/>
      <c r="H4065" s="42"/>
      <c r="I4065" s="42"/>
      <c r="J4065" s="42"/>
      <c r="K4065" s="42"/>
      <c r="L4065" s="42"/>
      <c r="M4065" s="42"/>
    </row>
    <row r="4066" spans="1:13" x14ac:dyDescent="0.2">
      <c r="A4066" s="42"/>
      <c r="B4066" s="42"/>
      <c r="C4066" s="42"/>
      <c r="D4066" s="42"/>
      <c r="E4066" s="42"/>
      <c r="F4066" s="42"/>
      <c r="G4066" s="42"/>
      <c r="H4066" s="42"/>
      <c r="I4066" s="42"/>
      <c r="J4066" s="42"/>
      <c r="K4066" s="42"/>
      <c r="L4066" s="42"/>
      <c r="M4066" s="42"/>
    </row>
    <row r="4067" spans="1:13" x14ac:dyDescent="0.2">
      <c r="A4067" s="42"/>
      <c r="B4067" s="42"/>
      <c r="C4067" s="42"/>
      <c r="D4067" s="42"/>
      <c r="E4067" s="42"/>
      <c r="F4067" s="42"/>
      <c r="G4067" s="42"/>
      <c r="H4067" s="42"/>
      <c r="I4067" s="42"/>
      <c r="J4067" s="42"/>
      <c r="K4067" s="42"/>
      <c r="L4067" s="42"/>
      <c r="M4067" s="42"/>
    </row>
    <row r="4068" spans="1:13" x14ac:dyDescent="0.2">
      <c r="A4068" s="42"/>
      <c r="B4068" s="42"/>
      <c r="C4068" s="42"/>
      <c r="D4068" s="42"/>
      <c r="E4068" s="42"/>
      <c r="F4068" s="42"/>
      <c r="G4068" s="42"/>
      <c r="H4068" s="42"/>
      <c r="I4068" s="42"/>
      <c r="J4068" s="42"/>
      <c r="K4068" s="42"/>
      <c r="L4068" s="42"/>
      <c r="M4068" s="42"/>
    </row>
    <row r="4069" spans="1:13" x14ac:dyDescent="0.2">
      <c r="A4069" s="42"/>
      <c r="B4069" s="42"/>
      <c r="C4069" s="42"/>
      <c r="D4069" s="42"/>
      <c r="E4069" s="42"/>
      <c r="F4069" s="42"/>
      <c r="G4069" s="42"/>
      <c r="H4069" s="42"/>
      <c r="I4069" s="42"/>
      <c r="J4069" s="42"/>
      <c r="K4069" s="42"/>
      <c r="L4069" s="42"/>
      <c r="M4069" s="42"/>
    </row>
    <row r="4070" spans="1:13" x14ac:dyDescent="0.2">
      <c r="A4070" s="42"/>
      <c r="B4070" s="42"/>
      <c r="C4070" s="42"/>
      <c r="D4070" s="42"/>
      <c r="E4070" s="42"/>
      <c r="F4070" s="42"/>
      <c r="G4070" s="42"/>
      <c r="H4070" s="42"/>
      <c r="I4070" s="42"/>
      <c r="J4070" s="42"/>
      <c r="K4070" s="42"/>
      <c r="L4070" s="42"/>
      <c r="M4070" s="42"/>
    </row>
    <row r="4071" spans="1:13" x14ac:dyDescent="0.2">
      <c r="A4071" s="42"/>
      <c r="B4071" s="42"/>
      <c r="C4071" s="42"/>
      <c r="D4071" s="42"/>
      <c r="E4071" s="42"/>
      <c r="F4071" s="42"/>
      <c r="G4071" s="42"/>
      <c r="H4071" s="42"/>
      <c r="I4071" s="42"/>
      <c r="J4071" s="42"/>
      <c r="K4071" s="42"/>
      <c r="L4071" s="42"/>
      <c r="M4071" s="42"/>
    </row>
    <row r="4072" spans="1:13" x14ac:dyDescent="0.2">
      <c r="A4072" s="42"/>
      <c r="B4072" s="42"/>
      <c r="C4072" s="42"/>
      <c r="D4072" s="42"/>
      <c r="E4072" s="42"/>
      <c r="F4072" s="42"/>
      <c r="G4072" s="42"/>
      <c r="H4072" s="42"/>
      <c r="I4072" s="42"/>
      <c r="J4072" s="42"/>
      <c r="K4072" s="42"/>
      <c r="L4072" s="42"/>
      <c r="M4072" s="42"/>
    </row>
    <row r="4073" spans="1:13" x14ac:dyDescent="0.2">
      <c r="A4073" s="42"/>
      <c r="B4073" s="42"/>
      <c r="C4073" s="42"/>
      <c r="D4073" s="42"/>
      <c r="E4073" s="42"/>
      <c r="F4073" s="42"/>
      <c r="G4073" s="42"/>
      <c r="H4073" s="42"/>
      <c r="I4073" s="42"/>
      <c r="J4073" s="42"/>
      <c r="K4073" s="42"/>
      <c r="L4073" s="42"/>
      <c r="M4073" s="42"/>
    </row>
    <row r="4074" spans="1:13" x14ac:dyDescent="0.2">
      <c r="A4074" s="42"/>
      <c r="B4074" s="42"/>
      <c r="C4074" s="42"/>
      <c r="D4074" s="42"/>
      <c r="E4074" s="42"/>
      <c r="F4074" s="42"/>
      <c r="G4074" s="42"/>
      <c r="H4074" s="42"/>
      <c r="I4074" s="42"/>
      <c r="J4074" s="42"/>
      <c r="K4074" s="42"/>
      <c r="L4074" s="42"/>
      <c r="M4074" s="42"/>
    </row>
    <row r="4075" spans="1:13" x14ac:dyDescent="0.2">
      <c r="A4075" s="42"/>
      <c r="B4075" s="42"/>
      <c r="C4075" s="42"/>
      <c r="D4075" s="42"/>
      <c r="E4075" s="42"/>
      <c r="F4075" s="42"/>
      <c r="G4075" s="42"/>
      <c r="H4075" s="42"/>
      <c r="I4075" s="42"/>
      <c r="J4075" s="42"/>
      <c r="K4075" s="42"/>
      <c r="L4075" s="42"/>
      <c r="M4075" s="42"/>
    </row>
    <row r="4076" spans="1:13" x14ac:dyDescent="0.2">
      <c r="A4076" s="42"/>
      <c r="B4076" s="42"/>
      <c r="C4076" s="42"/>
      <c r="D4076" s="42"/>
      <c r="E4076" s="42"/>
      <c r="F4076" s="42"/>
      <c r="G4076" s="42"/>
      <c r="H4076" s="42"/>
      <c r="I4076" s="42"/>
      <c r="J4076" s="42"/>
      <c r="K4076" s="42"/>
      <c r="L4076" s="42"/>
      <c r="M4076" s="42"/>
    </row>
    <row r="4077" spans="1:13" x14ac:dyDescent="0.2">
      <c r="A4077" s="42"/>
      <c r="B4077" s="42"/>
      <c r="C4077" s="42"/>
      <c r="D4077" s="42"/>
      <c r="E4077" s="42"/>
      <c r="F4077" s="42"/>
      <c r="G4077" s="42"/>
      <c r="H4077" s="42"/>
      <c r="I4077" s="42"/>
      <c r="J4077" s="42"/>
      <c r="K4077" s="42"/>
      <c r="L4077" s="42"/>
      <c r="M4077" s="42"/>
    </row>
    <row r="4078" spans="1:13" x14ac:dyDescent="0.2">
      <c r="A4078" s="42"/>
      <c r="B4078" s="42"/>
      <c r="C4078" s="42"/>
      <c r="D4078" s="42"/>
      <c r="E4078" s="42"/>
      <c r="F4078" s="42"/>
      <c r="G4078" s="42"/>
      <c r="H4078" s="42"/>
      <c r="I4078" s="42"/>
      <c r="J4078" s="42"/>
      <c r="K4078" s="42"/>
      <c r="L4078" s="42"/>
      <c r="M4078" s="42"/>
    </row>
    <row r="4079" spans="1:13" x14ac:dyDescent="0.2">
      <c r="A4079" s="42"/>
      <c r="B4079" s="42"/>
      <c r="C4079" s="42"/>
      <c r="D4079" s="42"/>
      <c r="E4079" s="42"/>
      <c r="F4079" s="42"/>
      <c r="G4079" s="42"/>
      <c r="H4079" s="42"/>
      <c r="I4079" s="42"/>
      <c r="J4079" s="42"/>
      <c r="K4079" s="42"/>
      <c r="L4079" s="42"/>
      <c r="M4079" s="42"/>
    </row>
    <row r="4080" spans="1:13" x14ac:dyDescent="0.2">
      <c r="A4080" s="42"/>
      <c r="B4080" s="42"/>
      <c r="C4080" s="42"/>
      <c r="D4080" s="42"/>
      <c r="E4080" s="42"/>
      <c r="F4080" s="42"/>
      <c r="G4080" s="42"/>
      <c r="H4080" s="42"/>
      <c r="I4080" s="42"/>
      <c r="J4080" s="42"/>
      <c r="K4080" s="42"/>
      <c r="L4080" s="42"/>
      <c r="M4080" s="42"/>
    </row>
    <row r="4081" spans="1:13" x14ac:dyDescent="0.2">
      <c r="A4081" s="42"/>
      <c r="B4081" s="42"/>
      <c r="C4081" s="42"/>
      <c r="D4081" s="42"/>
      <c r="E4081" s="42"/>
      <c r="F4081" s="42"/>
      <c r="G4081" s="42"/>
      <c r="H4081" s="42"/>
      <c r="I4081" s="42"/>
      <c r="J4081" s="42"/>
      <c r="K4081" s="42"/>
      <c r="L4081" s="42"/>
      <c r="M4081" s="42"/>
    </row>
    <row r="4082" spans="1:13" x14ac:dyDescent="0.2">
      <c r="A4082" s="42"/>
      <c r="B4082" s="42"/>
      <c r="C4082" s="42"/>
      <c r="D4082" s="42"/>
      <c r="E4082" s="42"/>
      <c r="F4082" s="42"/>
      <c r="G4082" s="42"/>
      <c r="H4082" s="42"/>
      <c r="I4082" s="42"/>
      <c r="J4082" s="42"/>
      <c r="K4082" s="42"/>
      <c r="L4082" s="42"/>
      <c r="M4082" s="42"/>
    </row>
    <row r="4083" spans="1:13" x14ac:dyDescent="0.2">
      <c r="A4083" s="42"/>
      <c r="B4083" s="42"/>
      <c r="C4083" s="42"/>
      <c r="D4083" s="42"/>
      <c r="E4083" s="42"/>
      <c r="F4083" s="42"/>
      <c r="G4083" s="42"/>
      <c r="H4083" s="42"/>
      <c r="I4083" s="42"/>
      <c r="J4083" s="42"/>
      <c r="K4083" s="42"/>
      <c r="L4083" s="42"/>
      <c r="M4083" s="42"/>
    </row>
    <row r="4084" spans="1:13" x14ac:dyDescent="0.2">
      <c r="A4084" s="42"/>
      <c r="B4084" s="42"/>
      <c r="C4084" s="42"/>
      <c r="D4084" s="42"/>
      <c r="E4084" s="42"/>
      <c r="F4084" s="42"/>
      <c r="G4084" s="42"/>
      <c r="H4084" s="42"/>
      <c r="I4084" s="42"/>
      <c r="J4084" s="42"/>
      <c r="K4084" s="42"/>
      <c r="L4084" s="42"/>
      <c r="M4084" s="42"/>
    </row>
    <row r="4085" spans="1:13" x14ac:dyDescent="0.2">
      <c r="A4085" s="42"/>
      <c r="B4085" s="42"/>
      <c r="C4085" s="42"/>
      <c r="D4085" s="42"/>
      <c r="E4085" s="42"/>
      <c r="F4085" s="42"/>
      <c r="G4085" s="42"/>
      <c r="H4085" s="42"/>
      <c r="I4085" s="42"/>
      <c r="J4085" s="42"/>
      <c r="K4085" s="42"/>
      <c r="L4085" s="42"/>
      <c r="M4085" s="42"/>
    </row>
    <row r="4086" spans="1:13" x14ac:dyDescent="0.2">
      <c r="A4086" s="42"/>
      <c r="B4086" s="42"/>
      <c r="C4086" s="42"/>
      <c r="D4086" s="42"/>
      <c r="E4086" s="42"/>
      <c r="F4086" s="42"/>
      <c r="G4086" s="42"/>
      <c r="H4086" s="42"/>
      <c r="I4086" s="42"/>
      <c r="J4086" s="42"/>
      <c r="K4086" s="42"/>
      <c r="L4086" s="42"/>
      <c r="M4086" s="42"/>
    </row>
    <row r="4087" spans="1:13" x14ac:dyDescent="0.2">
      <c r="A4087" s="42"/>
      <c r="B4087" s="42"/>
      <c r="C4087" s="42"/>
      <c r="D4087" s="42"/>
      <c r="E4087" s="42"/>
      <c r="F4087" s="42"/>
      <c r="G4087" s="42"/>
      <c r="H4087" s="42"/>
      <c r="I4087" s="42"/>
      <c r="J4087" s="42"/>
      <c r="K4087" s="42"/>
      <c r="L4087" s="42"/>
      <c r="M4087" s="42"/>
    </row>
    <row r="4088" spans="1:13" x14ac:dyDescent="0.2">
      <c r="A4088" s="42"/>
      <c r="B4088" s="42"/>
      <c r="C4088" s="42"/>
      <c r="D4088" s="42"/>
      <c r="E4088" s="42"/>
      <c r="F4088" s="42"/>
      <c r="G4088" s="42"/>
      <c r="H4088" s="42"/>
      <c r="I4088" s="42"/>
      <c r="J4088" s="42"/>
      <c r="K4088" s="42"/>
      <c r="L4088" s="42"/>
      <c r="M4088" s="42"/>
    </row>
    <row r="4089" spans="1:13" x14ac:dyDescent="0.2">
      <c r="A4089" s="42"/>
      <c r="B4089" s="42"/>
      <c r="C4089" s="42"/>
      <c r="D4089" s="42"/>
      <c r="E4089" s="42"/>
      <c r="F4089" s="42"/>
      <c r="G4089" s="42"/>
      <c r="H4089" s="42"/>
      <c r="I4089" s="42"/>
      <c r="J4089" s="42"/>
      <c r="K4089" s="42"/>
      <c r="L4089" s="42"/>
      <c r="M4089" s="42"/>
    </row>
    <row r="4090" spans="1:13" x14ac:dyDescent="0.2">
      <c r="A4090" s="42"/>
      <c r="B4090" s="42"/>
      <c r="C4090" s="42"/>
      <c r="D4090" s="42"/>
      <c r="E4090" s="42"/>
      <c r="F4090" s="42"/>
      <c r="G4090" s="42"/>
      <c r="H4090" s="42"/>
      <c r="I4090" s="42"/>
      <c r="J4090" s="42"/>
      <c r="K4090" s="42"/>
      <c r="L4090" s="42"/>
      <c r="M4090" s="42"/>
    </row>
    <row r="4091" spans="1:13" x14ac:dyDescent="0.2">
      <c r="A4091" s="42"/>
      <c r="B4091" s="42"/>
      <c r="C4091" s="42"/>
      <c r="D4091" s="42"/>
      <c r="E4091" s="42"/>
      <c r="F4091" s="42"/>
      <c r="G4091" s="42"/>
      <c r="H4091" s="42"/>
      <c r="I4091" s="42"/>
      <c r="J4091" s="42"/>
      <c r="K4091" s="42"/>
      <c r="L4091" s="42"/>
      <c r="M4091" s="42"/>
    </row>
    <row r="4092" spans="1:13" x14ac:dyDescent="0.2">
      <c r="A4092" s="42"/>
      <c r="B4092" s="42"/>
      <c r="C4092" s="42"/>
      <c r="D4092" s="42"/>
      <c r="E4092" s="42"/>
      <c r="F4092" s="42"/>
      <c r="G4092" s="42"/>
      <c r="H4092" s="42"/>
      <c r="I4092" s="42"/>
      <c r="J4092" s="42"/>
      <c r="K4092" s="42"/>
      <c r="L4092" s="42"/>
      <c r="M4092" s="42"/>
    </row>
    <row r="4093" spans="1:13" x14ac:dyDescent="0.2">
      <c r="A4093" s="42"/>
      <c r="B4093" s="42"/>
      <c r="C4093" s="42"/>
      <c r="D4093" s="42"/>
      <c r="E4093" s="42"/>
      <c r="F4093" s="42"/>
      <c r="G4093" s="42"/>
      <c r="H4093" s="42"/>
      <c r="I4093" s="42"/>
      <c r="J4093" s="42"/>
      <c r="K4093" s="42"/>
      <c r="L4093" s="42"/>
      <c r="M4093" s="42"/>
    </row>
    <row r="4094" spans="1:13" x14ac:dyDescent="0.2">
      <c r="A4094" s="42"/>
      <c r="B4094" s="42"/>
      <c r="C4094" s="42"/>
      <c r="D4094" s="42"/>
      <c r="E4094" s="42"/>
      <c r="F4094" s="42"/>
      <c r="G4094" s="42"/>
      <c r="H4094" s="42"/>
      <c r="I4094" s="42"/>
      <c r="J4094" s="42"/>
      <c r="K4094" s="42"/>
      <c r="L4094" s="42"/>
      <c r="M4094" s="42"/>
    </row>
    <row r="4095" spans="1:13" x14ac:dyDescent="0.2">
      <c r="A4095" s="42"/>
      <c r="B4095" s="42"/>
      <c r="C4095" s="42"/>
      <c r="D4095" s="42"/>
      <c r="E4095" s="42"/>
      <c r="F4095" s="42"/>
      <c r="G4095" s="42"/>
      <c r="H4095" s="42"/>
      <c r="I4095" s="42"/>
      <c r="J4095" s="42"/>
      <c r="K4095" s="42"/>
      <c r="L4095" s="42"/>
      <c r="M4095" s="42"/>
    </row>
    <row r="4096" spans="1:13" x14ac:dyDescent="0.2">
      <c r="A4096" s="42"/>
      <c r="B4096" s="42"/>
      <c r="C4096" s="42"/>
      <c r="D4096" s="42"/>
      <c r="E4096" s="42"/>
      <c r="F4096" s="42"/>
      <c r="G4096" s="42"/>
      <c r="H4096" s="42"/>
      <c r="I4096" s="42"/>
      <c r="J4096" s="42"/>
      <c r="K4096" s="42"/>
      <c r="L4096" s="42"/>
      <c r="M4096" s="42"/>
    </row>
    <row r="4097" spans="1:13" x14ac:dyDescent="0.2">
      <c r="A4097" s="42"/>
      <c r="B4097" s="42"/>
      <c r="C4097" s="42"/>
      <c r="D4097" s="42"/>
      <c r="E4097" s="42"/>
      <c r="F4097" s="42"/>
      <c r="G4097" s="42"/>
      <c r="H4097" s="42"/>
      <c r="I4097" s="42"/>
      <c r="J4097" s="42"/>
      <c r="K4097" s="42"/>
      <c r="L4097" s="42"/>
      <c r="M4097" s="42"/>
    </row>
    <row r="4098" spans="1:13" x14ac:dyDescent="0.2">
      <c r="A4098" s="42"/>
      <c r="B4098" s="42"/>
      <c r="C4098" s="42"/>
      <c r="D4098" s="42"/>
      <c r="E4098" s="42"/>
      <c r="F4098" s="42"/>
      <c r="G4098" s="42"/>
      <c r="H4098" s="42"/>
      <c r="I4098" s="42"/>
      <c r="J4098" s="42"/>
      <c r="K4098" s="42"/>
      <c r="L4098" s="42"/>
      <c r="M4098" s="42"/>
    </row>
    <row r="4099" spans="1:13" x14ac:dyDescent="0.2">
      <c r="A4099" s="42"/>
      <c r="B4099" s="42"/>
      <c r="C4099" s="42"/>
      <c r="D4099" s="42"/>
      <c r="E4099" s="42"/>
      <c r="F4099" s="42"/>
      <c r="G4099" s="42"/>
      <c r="H4099" s="42"/>
      <c r="I4099" s="42"/>
      <c r="J4099" s="42"/>
      <c r="K4099" s="42"/>
      <c r="L4099" s="42"/>
      <c r="M4099" s="42"/>
    </row>
    <row r="4100" spans="1:13" x14ac:dyDescent="0.2">
      <c r="A4100" s="42"/>
      <c r="B4100" s="42"/>
      <c r="C4100" s="42"/>
      <c r="D4100" s="42"/>
      <c r="E4100" s="42"/>
      <c r="F4100" s="42"/>
      <c r="G4100" s="42"/>
      <c r="H4100" s="42"/>
      <c r="I4100" s="42"/>
      <c r="J4100" s="42"/>
      <c r="K4100" s="42"/>
      <c r="L4100" s="42"/>
      <c r="M4100" s="42"/>
    </row>
    <row r="4101" spans="1:13" x14ac:dyDescent="0.2">
      <c r="A4101" s="42"/>
      <c r="B4101" s="42"/>
      <c r="C4101" s="42"/>
      <c r="D4101" s="42"/>
      <c r="E4101" s="42"/>
      <c r="F4101" s="42"/>
      <c r="G4101" s="42"/>
      <c r="H4101" s="42"/>
      <c r="I4101" s="42"/>
      <c r="J4101" s="42"/>
      <c r="K4101" s="42"/>
      <c r="L4101" s="42"/>
      <c r="M4101" s="42"/>
    </row>
    <row r="4102" spans="1:13" x14ac:dyDescent="0.2">
      <c r="A4102" s="42"/>
      <c r="B4102" s="42"/>
      <c r="C4102" s="42"/>
      <c r="D4102" s="42"/>
      <c r="E4102" s="42"/>
      <c r="F4102" s="42"/>
      <c r="G4102" s="42"/>
      <c r="H4102" s="42"/>
      <c r="I4102" s="42"/>
      <c r="J4102" s="42"/>
      <c r="K4102" s="42"/>
      <c r="L4102" s="42"/>
      <c r="M4102" s="42"/>
    </row>
    <row r="4103" spans="1:13" x14ac:dyDescent="0.2">
      <c r="A4103" s="42"/>
      <c r="B4103" s="42"/>
      <c r="C4103" s="42"/>
      <c r="D4103" s="42"/>
      <c r="E4103" s="42"/>
      <c r="F4103" s="42"/>
      <c r="G4103" s="42"/>
      <c r="H4103" s="42"/>
      <c r="I4103" s="42"/>
      <c r="J4103" s="42"/>
      <c r="K4103" s="42"/>
      <c r="L4103" s="42"/>
      <c r="M4103" s="42"/>
    </row>
    <row r="4104" spans="1:13" x14ac:dyDescent="0.2">
      <c r="A4104" s="42"/>
      <c r="B4104" s="42"/>
      <c r="C4104" s="42"/>
      <c r="D4104" s="42"/>
      <c r="E4104" s="42"/>
      <c r="F4104" s="42"/>
      <c r="G4104" s="42"/>
      <c r="H4104" s="42"/>
      <c r="I4104" s="42"/>
      <c r="J4104" s="42"/>
      <c r="K4104" s="42"/>
      <c r="L4104" s="42"/>
      <c r="M4104" s="42"/>
    </row>
    <row r="4105" spans="1:13" x14ac:dyDescent="0.2">
      <c r="A4105" s="42"/>
      <c r="B4105" s="42"/>
      <c r="C4105" s="42"/>
      <c r="D4105" s="42"/>
      <c r="E4105" s="42"/>
      <c r="F4105" s="42"/>
      <c r="G4105" s="42"/>
      <c r="H4105" s="42"/>
      <c r="I4105" s="42"/>
      <c r="J4105" s="42"/>
      <c r="K4105" s="42"/>
      <c r="L4105" s="42"/>
      <c r="M4105" s="42"/>
    </row>
    <row r="4106" spans="1:13" x14ac:dyDescent="0.2">
      <c r="A4106" s="42"/>
      <c r="B4106" s="42"/>
      <c r="C4106" s="42"/>
      <c r="D4106" s="42"/>
      <c r="E4106" s="42"/>
      <c r="F4106" s="42"/>
      <c r="G4106" s="42"/>
      <c r="H4106" s="42"/>
      <c r="I4106" s="42"/>
      <c r="J4106" s="42"/>
      <c r="K4106" s="42"/>
      <c r="L4106" s="42"/>
      <c r="M4106" s="42"/>
    </row>
    <row r="4107" spans="1:13" x14ac:dyDescent="0.2">
      <c r="A4107" s="42"/>
      <c r="B4107" s="42"/>
      <c r="C4107" s="42"/>
      <c r="D4107" s="42"/>
      <c r="E4107" s="42"/>
      <c r="F4107" s="42"/>
      <c r="G4107" s="42"/>
      <c r="H4107" s="42"/>
      <c r="I4107" s="42"/>
      <c r="J4107" s="42"/>
      <c r="K4107" s="42"/>
      <c r="L4107" s="42"/>
      <c r="M4107" s="42"/>
    </row>
    <row r="4108" spans="1:13" x14ac:dyDescent="0.2">
      <c r="A4108" s="42"/>
      <c r="B4108" s="42"/>
      <c r="C4108" s="42"/>
      <c r="D4108" s="42"/>
      <c r="E4108" s="42"/>
      <c r="F4108" s="42"/>
      <c r="G4108" s="42"/>
      <c r="H4108" s="42"/>
      <c r="I4108" s="42"/>
      <c r="J4108" s="42"/>
      <c r="K4108" s="42"/>
      <c r="L4108" s="42"/>
      <c r="M4108" s="42"/>
    </row>
    <row r="4109" spans="1:13" x14ac:dyDescent="0.2">
      <c r="A4109" s="42"/>
      <c r="B4109" s="42"/>
      <c r="C4109" s="42"/>
      <c r="D4109" s="42"/>
      <c r="E4109" s="42"/>
      <c r="F4109" s="42"/>
      <c r="G4109" s="42"/>
      <c r="H4109" s="42"/>
      <c r="I4109" s="42"/>
      <c r="J4109" s="42"/>
      <c r="K4109" s="42"/>
      <c r="L4109" s="42"/>
      <c r="M4109" s="42"/>
    </row>
    <row r="4110" spans="1:13" x14ac:dyDescent="0.2">
      <c r="A4110" s="42"/>
      <c r="B4110" s="42"/>
      <c r="C4110" s="42"/>
      <c r="D4110" s="42"/>
      <c r="E4110" s="42"/>
      <c r="F4110" s="42"/>
      <c r="G4110" s="42"/>
      <c r="H4110" s="42"/>
      <c r="I4110" s="42"/>
      <c r="J4110" s="42"/>
      <c r="K4110" s="42"/>
      <c r="L4110" s="42"/>
      <c r="M4110" s="42"/>
    </row>
    <row r="4111" spans="1:13" x14ac:dyDescent="0.2">
      <c r="A4111" s="42"/>
      <c r="B4111" s="42"/>
      <c r="C4111" s="42"/>
      <c r="D4111" s="42"/>
      <c r="E4111" s="42"/>
      <c r="F4111" s="42"/>
      <c r="G4111" s="42"/>
      <c r="H4111" s="42"/>
      <c r="I4111" s="42"/>
      <c r="J4111" s="42"/>
      <c r="K4111" s="42"/>
      <c r="L4111" s="42"/>
      <c r="M4111" s="42"/>
    </row>
    <row r="4112" spans="1:13" x14ac:dyDescent="0.2">
      <c r="A4112" s="42"/>
      <c r="B4112" s="42"/>
      <c r="C4112" s="42"/>
      <c r="D4112" s="42"/>
      <c r="E4112" s="42"/>
      <c r="F4112" s="42"/>
      <c r="G4112" s="42"/>
      <c r="H4112" s="42"/>
      <c r="I4112" s="42"/>
      <c r="J4112" s="42"/>
      <c r="K4112" s="42"/>
      <c r="L4112" s="42"/>
      <c r="M4112" s="42"/>
    </row>
    <row r="4113" spans="1:13" x14ac:dyDescent="0.2">
      <c r="A4113" s="42"/>
      <c r="B4113" s="42"/>
      <c r="C4113" s="42"/>
      <c r="D4113" s="42"/>
      <c r="E4113" s="42"/>
      <c r="F4113" s="42"/>
      <c r="G4113" s="42"/>
      <c r="H4113" s="42"/>
      <c r="I4113" s="42"/>
      <c r="J4113" s="42"/>
      <c r="K4113" s="42"/>
      <c r="L4113" s="42"/>
      <c r="M4113" s="42"/>
    </row>
    <row r="4114" spans="1:13" x14ac:dyDescent="0.2">
      <c r="A4114" s="42"/>
      <c r="B4114" s="42"/>
      <c r="C4114" s="42"/>
      <c r="D4114" s="42"/>
      <c r="E4114" s="42"/>
      <c r="F4114" s="42"/>
      <c r="G4114" s="42"/>
      <c r="H4114" s="42"/>
      <c r="I4114" s="42"/>
      <c r="J4114" s="42"/>
      <c r="K4114" s="42"/>
      <c r="L4114" s="42"/>
      <c r="M4114" s="42"/>
    </row>
    <row r="4115" spans="1:13" x14ac:dyDescent="0.2">
      <c r="A4115" s="42"/>
      <c r="B4115" s="42"/>
      <c r="C4115" s="42"/>
      <c r="D4115" s="42"/>
      <c r="E4115" s="42"/>
      <c r="F4115" s="42"/>
      <c r="G4115" s="42"/>
      <c r="H4115" s="42"/>
      <c r="I4115" s="42"/>
      <c r="J4115" s="42"/>
      <c r="K4115" s="42"/>
      <c r="L4115" s="42"/>
      <c r="M4115" s="42"/>
    </row>
    <row r="4116" spans="1:13" x14ac:dyDescent="0.2">
      <c r="A4116" s="42"/>
      <c r="B4116" s="42"/>
      <c r="C4116" s="42"/>
      <c r="D4116" s="42"/>
      <c r="E4116" s="42"/>
      <c r="F4116" s="42"/>
      <c r="G4116" s="42"/>
      <c r="H4116" s="42"/>
      <c r="I4116" s="42"/>
      <c r="J4116" s="42"/>
      <c r="K4116" s="42"/>
      <c r="L4116" s="42"/>
      <c r="M4116" s="42"/>
    </row>
    <row r="4117" spans="1:13" x14ac:dyDescent="0.2">
      <c r="A4117" s="42"/>
      <c r="B4117" s="42"/>
      <c r="C4117" s="42"/>
      <c r="D4117" s="42"/>
      <c r="E4117" s="42"/>
      <c r="F4117" s="42"/>
      <c r="G4117" s="42"/>
      <c r="H4117" s="42"/>
      <c r="I4117" s="42"/>
      <c r="J4117" s="42"/>
      <c r="K4117" s="42"/>
      <c r="L4117" s="42"/>
      <c r="M4117" s="42"/>
    </row>
    <row r="4118" spans="1:13" x14ac:dyDescent="0.2">
      <c r="A4118" s="42"/>
      <c r="B4118" s="42"/>
      <c r="C4118" s="42"/>
      <c r="D4118" s="42"/>
      <c r="E4118" s="42"/>
      <c r="F4118" s="42"/>
      <c r="G4118" s="42"/>
      <c r="H4118" s="42"/>
      <c r="I4118" s="42"/>
      <c r="J4118" s="42"/>
      <c r="K4118" s="42"/>
      <c r="L4118" s="42"/>
      <c r="M4118" s="42"/>
    </row>
    <row r="4119" spans="1:13" x14ac:dyDescent="0.2">
      <c r="A4119" s="42"/>
      <c r="B4119" s="42"/>
      <c r="C4119" s="42"/>
      <c r="D4119" s="42"/>
      <c r="E4119" s="42"/>
      <c r="F4119" s="42"/>
      <c r="G4119" s="42"/>
      <c r="H4119" s="42"/>
      <c r="I4119" s="42"/>
      <c r="J4119" s="42"/>
      <c r="K4119" s="42"/>
      <c r="L4119" s="42"/>
      <c r="M4119" s="42"/>
    </row>
    <row r="4120" spans="1:13" x14ac:dyDescent="0.2">
      <c r="A4120" s="42"/>
      <c r="B4120" s="42"/>
      <c r="C4120" s="42"/>
      <c r="D4120" s="42"/>
      <c r="E4120" s="42"/>
      <c r="F4120" s="42"/>
      <c r="G4120" s="42"/>
      <c r="H4120" s="42"/>
      <c r="I4120" s="42"/>
      <c r="J4120" s="42"/>
      <c r="K4120" s="42"/>
      <c r="L4120" s="42"/>
      <c r="M4120" s="42"/>
    </row>
    <row r="4121" spans="1:13" x14ac:dyDescent="0.2">
      <c r="A4121" s="42"/>
      <c r="B4121" s="42"/>
      <c r="C4121" s="42"/>
      <c r="D4121" s="42"/>
      <c r="E4121" s="42"/>
      <c r="F4121" s="42"/>
      <c r="G4121" s="42"/>
      <c r="H4121" s="42"/>
      <c r="I4121" s="42"/>
      <c r="J4121" s="42"/>
      <c r="K4121" s="42"/>
      <c r="L4121" s="42"/>
      <c r="M4121" s="42"/>
    </row>
    <row r="4122" spans="1:13" x14ac:dyDescent="0.2">
      <c r="A4122" s="42"/>
      <c r="B4122" s="42"/>
      <c r="C4122" s="42"/>
      <c r="D4122" s="42"/>
      <c r="E4122" s="42"/>
      <c r="F4122" s="42"/>
      <c r="G4122" s="42"/>
      <c r="H4122" s="42"/>
      <c r="I4122" s="42"/>
      <c r="J4122" s="42"/>
      <c r="K4122" s="42"/>
      <c r="L4122" s="42"/>
      <c r="M4122" s="42"/>
    </row>
    <row r="4123" spans="1:13" x14ac:dyDescent="0.2">
      <c r="A4123" s="42"/>
      <c r="B4123" s="42"/>
      <c r="C4123" s="42"/>
      <c r="D4123" s="42"/>
      <c r="E4123" s="42"/>
      <c r="F4123" s="42"/>
      <c r="G4123" s="42"/>
      <c r="H4123" s="42"/>
      <c r="I4123" s="42"/>
      <c r="J4123" s="42"/>
      <c r="K4123" s="42"/>
      <c r="L4123" s="42"/>
      <c r="M4123" s="42"/>
    </row>
    <row r="4124" spans="1:13" x14ac:dyDescent="0.2">
      <c r="A4124" s="42"/>
      <c r="B4124" s="42"/>
      <c r="C4124" s="42"/>
      <c r="D4124" s="42"/>
      <c r="E4124" s="42"/>
      <c r="F4124" s="42"/>
      <c r="G4124" s="42"/>
      <c r="H4124" s="42"/>
      <c r="I4124" s="42"/>
      <c r="J4124" s="42"/>
      <c r="K4124" s="42"/>
      <c r="L4124" s="42"/>
      <c r="M4124" s="42"/>
    </row>
    <row r="4125" spans="1:13" x14ac:dyDescent="0.2">
      <c r="A4125" s="42"/>
      <c r="B4125" s="42"/>
      <c r="C4125" s="42"/>
      <c r="D4125" s="42"/>
      <c r="E4125" s="42"/>
      <c r="F4125" s="42"/>
      <c r="G4125" s="42"/>
      <c r="H4125" s="42"/>
      <c r="I4125" s="42"/>
      <c r="J4125" s="42"/>
      <c r="K4125" s="42"/>
      <c r="L4125" s="42"/>
      <c r="M4125" s="42"/>
    </row>
    <row r="4126" spans="1:13" x14ac:dyDescent="0.2">
      <c r="A4126" s="42"/>
      <c r="B4126" s="42"/>
      <c r="C4126" s="42"/>
      <c r="D4126" s="42"/>
      <c r="E4126" s="42"/>
      <c r="F4126" s="42"/>
      <c r="G4126" s="42"/>
      <c r="H4126" s="42"/>
      <c r="I4126" s="42"/>
      <c r="J4126" s="42"/>
      <c r="K4126" s="42"/>
      <c r="L4126" s="42"/>
      <c r="M4126" s="42"/>
    </row>
    <row r="4127" spans="1:13" x14ac:dyDescent="0.2">
      <c r="A4127" s="42"/>
      <c r="B4127" s="42"/>
      <c r="C4127" s="42"/>
      <c r="D4127" s="42"/>
      <c r="E4127" s="42"/>
      <c r="F4127" s="42"/>
      <c r="G4127" s="42"/>
      <c r="H4127" s="42"/>
      <c r="I4127" s="42"/>
      <c r="J4127" s="42"/>
      <c r="K4127" s="42"/>
      <c r="L4127" s="42"/>
      <c r="M4127" s="42"/>
    </row>
    <row r="4128" spans="1:13" x14ac:dyDescent="0.2">
      <c r="A4128" s="42"/>
      <c r="B4128" s="42"/>
      <c r="C4128" s="42"/>
      <c r="D4128" s="42"/>
      <c r="E4128" s="42"/>
      <c r="F4128" s="42"/>
      <c r="G4128" s="42"/>
      <c r="H4128" s="42"/>
      <c r="I4128" s="42"/>
      <c r="J4128" s="42"/>
      <c r="K4128" s="42"/>
      <c r="L4128" s="42"/>
      <c r="M4128" s="42"/>
    </row>
    <row r="4129" spans="1:13" x14ac:dyDescent="0.2">
      <c r="A4129" s="42"/>
      <c r="B4129" s="42"/>
      <c r="C4129" s="42"/>
      <c r="D4129" s="42"/>
      <c r="E4129" s="42"/>
      <c r="F4129" s="42"/>
      <c r="G4129" s="42"/>
      <c r="H4129" s="42"/>
      <c r="I4129" s="42"/>
      <c r="J4129" s="42"/>
      <c r="K4129" s="42"/>
      <c r="L4129" s="42"/>
      <c r="M4129" s="42"/>
    </row>
    <row r="4130" spans="1:13" x14ac:dyDescent="0.2">
      <c r="A4130" s="42"/>
      <c r="B4130" s="42"/>
      <c r="C4130" s="42"/>
      <c r="D4130" s="42"/>
      <c r="E4130" s="42"/>
      <c r="F4130" s="42"/>
      <c r="G4130" s="42"/>
      <c r="H4130" s="42"/>
      <c r="I4130" s="42"/>
      <c r="J4130" s="42"/>
      <c r="K4130" s="42"/>
      <c r="L4130" s="42"/>
      <c r="M4130" s="42"/>
    </row>
    <row r="4131" spans="1:13" x14ac:dyDescent="0.2">
      <c r="A4131" s="42"/>
      <c r="B4131" s="42"/>
      <c r="C4131" s="42"/>
      <c r="D4131" s="42"/>
      <c r="E4131" s="42"/>
      <c r="F4131" s="42"/>
      <c r="G4131" s="42"/>
      <c r="H4131" s="42"/>
      <c r="I4131" s="42"/>
      <c r="J4131" s="42"/>
      <c r="K4131" s="42"/>
      <c r="L4131" s="42"/>
      <c r="M4131" s="42"/>
    </row>
    <row r="4132" spans="1:13" x14ac:dyDescent="0.2">
      <c r="A4132" s="42"/>
      <c r="B4132" s="42"/>
      <c r="C4132" s="42"/>
      <c r="D4132" s="42"/>
      <c r="E4132" s="42"/>
      <c r="F4132" s="42"/>
      <c r="G4132" s="42"/>
      <c r="H4132" s="42"/>
      <c r="I4132" s="42"/>
      <c r="J4132" s="42"/>
      <c r="K4132" s="42"/>
      <c r="L4132" s="42"/>
      <c r="M4132" s="42"/>
    </row>
    <row r="4133" spans="1:13" x14ac:dyDescent="0.2">
      <c r="A4133" s="42"/>
      <c r="B4133" s="42"/>
      <c r="C4133" s="42"/>
      <c r="D4133" s="42"/>
      <c r="E4133" s="42"/>
      <c r="F4133" s="42"/>
      <c r="G4133" s="42"/>
      <c r="H4133" s="42"/>
      <c r="I4133" s="42"/>
      <c r="J4133" s="42"/>
      <c r="K4133" s="42"/>
      <c r="L4133" s="42"/>
      <c r="M4133" s="42"/>
    </row>
    <row r="4134" spans="1:13" x14ac:dyDescent="0.2">
      <c r="A4134" s="42"/>
      <c r="B4134" s="42"/>
      <c r="C4134" s="42"/>
      <c r="D4134" s="42"/>
      <c r="E4134" s="42"/>
      <c r="F4134" s="42"/>
      <c r="G4134" s="42"/>
      <c r="H4134" s="42"/>
      <c r="I4134" s="42"/>
      <c r="J4134" s="42"/>
      <c r="K4134" s="42"/>
      <c r="L4134" s="42"/>
      <c r="M4134" s="42"/>
    </row>
    <row r="4135" spans="1:13" x14ac:dyDescent="0.2">
      <c r="A4135" s="42"/>
      <c r="B4135" s="42"/>
      <c r="C4135" s="42"/>
      <c r="D4135" s="42"/>
      <c r="E4135" s="42"/>
      <c r="F4135" s="42"/>
      <c r="G4135" s="42"/>
      <c r="H4135" s="42"/>
      <c r="I4135" s="42"/>
      <c r="J4135" s="42"/>
      <c r="K4135" s="42"/>
      <c r="L4135" s="42"/>
      <c r="M4135" s="42"/>
    </row>
    <row r="4136" spans="1:13" x14ac:dyDescent="0.2">
      <c r="A4136" s="42"/>
      <c r="B4136" s="42"/>
      <c r="C4136" s="42"/>
      <c r="D4136" s="42"/>
      <c r="E4136" s="42"/>
      <c r="F4136" s="42"/>
      <c r="G4136" s="42"/>
      <c r="H4136" s="42"/>
      <c r="I4136" s="42"/>
      <c r="J4136" s="42"/>
      <c r="K4136" s="42"/>
      <c r="L4136" s="42"/>
      <c r="M4136" s="42"/>
    </row>
    <row r="4137" spans="1:13" x14ac:dyDescent="0.2">
      <c r="A4137" s="42"/>
      <c r="B4137" s="42"/>
      <c r="C4137" s="42"/>
      <c r="D4137" s="42"/>
      <c r="E4137" s="42"/>
      <c r="F4137" s="42"/>
      <c r="G4137" s="42"/>
      <c r="H4137" s="42"/>
      <c r="I4137" s="42"/>
      <c r="J4137" s="42"/>
      <c r="K4137" s="42"/>
      <c r="L4137" s="42"/>
      <c r="M4137" s="42"/>
    </row>
    <row r="4138" spans="1:13" x14ac:dyDescent="0.2">
      <c r="A4138" s="42"/>
      <c r="B4138" s="42"/>
      <c r="C4138" s="42"/>
      <c r="D4138" s="42"/>
      <c r="E4138" s="42"/>
      <c r="F4138" s="42"/>
      <c r="G4138" s="42"/>
      <c r="H4138" s="42"/>
      <c r="I4138" s="42"/>
      <c r="J4138" s="42"/>
      <c r="K4138" s="42"/>
      <c r="L4138" s="42"/>
      <c r="M4138" s="42"/>
    </row>
    <row r="4139" spans="1:13" x14ac:dyDescent="0.2">
      <c r="A4139" s="42"/>
      <c r="B4139" s="42"/>
      <c r="C4139" s="42"/>
      <c r="D4139" s="42"/>
      <c r="E4139" s="42"/>
      <c r="F4139" s="42"/>
      <c r="G4139" s="42"/>
      <c r="H4139" s="42"/>
      <c r="I4139" s="42"/>
      <c r="J4139" s="42"/>
      <c r="K4139" s="42"/>
      <c r="L4139" s="42"/>
      <c r="M4139" s="42"/>
    </row>
    <row r="4140" spans="1:13" x14ac:dyDescent="0.2">
      <c r="A4140" s="42"/>
      <c r="B4140" s="42"/>
      <c r="C4140" s="42"/>
      <c r="D4140" s="42"/>
      <c r="E4140" s="42"/>
      <c r="F4140" s="42"/>
      <c r="G4140" s="42"/>
      <c r="H4140" s="42"/>
      <c r="I4140" s="42"/>
      <c r="J4140" s="42"/>
      <c r="K4140" s="42"/>
      <c r="L4140" s="42"/>
      <c r="M4140" s="42"/>
    </row>
    <row r="4141" spans="1:13" x14ac:dyDescent="0.2">
      <c r="A4141" s="42"/>
      <c r="B4141" s="42"/>
      <c r="C4141" s="42"/>
      <c r="D4141" s="42"/>
      <c r="E4141" s="42"/>
      <c r="F4141" s="42"/>
      <c r="G4141" s="42"/>
      <c r="H4141" s="42"/>
      <c r="I4141" s="42"/>
      <c r="J4141" s="42"/>
      <c r="K4141" s="42"/>
      <c r="L4141" s="42"/>
      <c r="M4141" s="42"/>
    </row>
    <row r="4142" spans="1:13" x14ac:dyDescent="0.2">
      <c r="A4142" s="42"/>
      <c r="B4142" s="42"/>
      <c r="C4142" s="42"/>
      <c r="D4142" s="42"/>
      <c r="E4142" s="42"/>
      <c r="F4142" s="42"/>
      <c r="G4142" s="42"/>
      <c r="H4142" s="42"/>
      <c r="I4142" s="42"/>
      <c r="J4142" s="42"/>
      <c r="K4142" s="42"/>
      <c r="L4142" s="42"/>
      <c r="M4142" s="42"/>
    </row>
    <row r="4143" spans="1:13" x14ac:dyDescent="0.2">
      <c r="A4143" s="42"/>
      <c r="B4143" s="42"/>
      <c r="C4143" s="42"/>
      <c r="D4143" s="42"/>
      <c r="E4143" s="42"/>
      <c r="F4143" s="42"/>
      <c r="G4143" s="42"/>
      <c r="H4143" s="42"/>
      <c r="I4143" s="42"/>
      <c r="J4143" s="42"/>
      <c r="K4143" s="42"/>
      <c r="L4143" s="42"/>
      <c r="M4143" s="42"/>
    </row>
    <row r="4144" spans="1:13" x14ac:dyDescent="0.2">
      <c r="A4144" s="42"/>
      <c r="B4144" s="42"/>
      <c r="C4144" s="42"/>
      <c r="D4144" s="42"/>
      <c r="E4144" s="42"/>
      <c r="F4144" s="42"/>
      <c r="G4144" s="42"/>
      <c r="H4144" s="42"/>
      <c r="I4144" s="42"/>
      <c r="J4144" s="42"/>
      <c r="K4144" s="42"/>
      <c r="L4144" s="42"/>
      <c r="M4144" s="42"/>
    </row>
    <row r="4145" spans="1:13" x14ac:dyDescent="0.2">
      <c r="A4145" s="42"/>
      <c r="B4145" s="42"/>
      <c r="C4145" s="42"/>
      <c r="D4145" s="42"/>
      <c r="E4145" s="42"/>
      <c r="F4145" s="42"/>
      <c r="G4145" s="42"/>
      <c r="H4145" s="42"/>
      <c r="I4145" s="42"/>
      <c r="J4145" s="42"/>
      <c r="K4145" s="42"/>
      <c r="L4145" s="42"/>
      <c r="M4145" s="42"/>
    </row>
    <row r="4146" spans="1:13" x14ac:dyDescent="0.2">
      <c r="A4146" s="42"/>
      <c r="B4146" s="42"/>
      <c r="C4146" s="42"/>
      <c r="D4146" s="42"/>
      <c r="E4146" s="42"/>
      <c r="F4146" s="42"/>
      <c r="G4146" s="42"/>
      <c r="H4146" s="42"/>
      <c r="I4146" s="42"/>
      <c r="J4146" s="42"/>
      <c r="K4146" s="42"/>
      <c r="L4146" s="42"/>
      <c r="M4146" s="42"/>
    </row>
    <row r="4147" spans="1:13" x14ac:dyDescent="0.2">
      <c r="A4147" s="42"/>
      <c r="B4147" s="42"/>
      <c r="C4147" s="42"/>
      <c r="D4147" s="42"/>
      <c r="E4147" s="42"/>
      <c r="F4147" s="42"/>
      <c r="G4147" s="42"/>
      <c r="H4147" s="42"/>
      <c r="I4147" s="42"/>
      <c r="J4147" s="42"/>
      <c r="K4147" s="42"/>
      <c r="L4147" s="42"/>
      <c r="M4147" s="42"/>
    </row>
    <row r="4148" spans="1:13" x14ac:dyDescent="0.2">
      <c r="A4148" s="42"/>
      <c r="B4148" s="42"/>
      <c r="C4148" s="42"/>
      <c r="D4148" s="42"/>
      <c r="E4148" s="42"/>
      <c r="F4148" s="42"/>
      <c r="G4148" s="42"/>
      <c r="H4148" s="42"/>
      <c r="I4148" s="42"/>
      <c r="J4148" s="42"/>
      <c r="K4148" s="42"/>
      <c r="L4148" s="42"/>
      <c r="M4148" s="42"/>
    </row>
    <row r="4149" spans="1:13" x14ac:dyDescent="0.2">
      <c r="A4149" s="42"/>
      <c r="B4149" s="42"/>
      <c r="C4149" s="42"/>
      <c r="D4149" s="42"/>
      <c r="E4149" s="42"/>
      <c r="F4149" s="42"/>
      <c r="G4149" s="42"/>
      <c r="H4149" s="42"/>
      <c r="I4149" s="42"/>
      <c r="J4149" s="42"/>
      <c r="K4149" s="42"/>
      <c r="L4149" s="42"/>
      <c r="M4149" s="42"/>
    </row>
    <row r="4150" spans="1:13" x14ac:dyDescent="0.2">
      <c r="A4150" s="42"/>
      <c r="B4150" s="42"/>
      <c r="C4150" s="42"/>
      <c r="D4150" s="42"/>
      <c r="E4150" s="42"/>
      <c r="F4150" s="42"/>
      <c r="G4150" s="42"/>
      <c r="H4150" s="42"/>
      <c r="I4150" s="42"/>
      <c r="J4150" s="42"/>
      <c r="K4150" s="42"/>
      <c r="L4150" s="42"/>
      <c r="M4150" s="42"/>
    </row>
    <row r="4151" spans="1:13" x14ac:dyDescent="0.2">
      <c r="A4151" s="42"/>
      <c r="B4151" s="42"/>
      <c r="C4151" s="42"/>
      <c r="D4151" s="42"/>
      <c r="E4151" s="42"/>
      <c r="F4151" s="42"/>
      <c r="G4151" s="42"/>
      <c r="H4151" s="42"/>
      <c r="I4151" s="42"/>
      <c r="J4151" s="42"/>
      <c r="K4151" s="42"/>
      <c r="L4151" s="42"/>
      <c r="M4151" s="42"/>
    </row>
    <row r="4152" spans="1:13" x14ac:dyDescent="0.2">
      <c r="A4152" s="42"/>
      <c r="B4152" s="42"/>
      <c r="C4152" s="42"/>
      <c r="D4152" s="42"/>
      <c r="E4152" s="42"/>
      <c r="F4152" s="42"/>
      <c r="G4152" s="42"/>
      <c r="H4152" s="42"/>
      <c r="I4152" s="42"/>
      <c r="J4152" s="42"/>
      <c r="K4152" s="42"/>
      <c r="L4152" s="42"/>
      <c r="M4152" s="42"/>
    </row>
    <row r="4153" spans="1:13" x14ac:dyDescent="0.2">
      <c r="A4153" s="42"/>
      <c r="B4153" s="42"/>
      <c r="C4153" s="42"/>
      <c r="D4153" s="42"/>
      <c r="E4153" s="42"/>
      <c r="F4153" s="42"/>
      <c r="G4153" s="42"/>
      <c r="H4153" s="42"/>
      <c r="I4153" s="42"/>
      <c r="J4153" s="42"/>
      <c r="K4153" s="42"/>
      <c r="L4153" s="42"/>
      <c r="M4153" s="42"/>
    </row>
    <row r="4154" spans="1:13" x14ac:dyDescent="0.2">
      <c r="A4154" s="42"/>
      <c r="B4154" s="42"/>
      <c r="C4154" s="42"/>
      <c r="D4154" s="42"/>
      <c r="E4154" s="42"/>
      <c r="F4154" s="42"/>
      <c r="G4154" s="42"/>
      <c r="H4154" s="42"/>
      <c r="I4154" s="42"/>
      <c r="J4154" s="42"/>
      <c r="K4154" s="42"/>
      <c r="L4154" s="42"/>
      <c r="M4154" s="42"/>
    </row>
    <row r="4155" spans="1:13" x14ac:dyDescent="0.2">
      <c r="A4155" s="42"/>
      <c r="B4155" s="42"/>
      <c r="C4155" s="42"/>
      <c r="D4155" s="42"/>
      <c r="E4155" s="42"/>
      <c r="F4155" s="42"/>
      <c r="G4155" s="42"/>
      <c r="H4155" s="42"/>
      <c r="I4155" s="42"/>
      <c r="J4155" s="42"/>
      <c r="K4155" s="42"/>
      <c r="L4155" s="42"/>
      <c r="M4155" s="42"/>
    </row>
    <row r="4156" spans="1:13" x14ac:dyDescent="0.2">
      <c r="A4156" s="42"/>
      <c r="B4156" s="42"/>
      <c r="C4156" s="42"/>
      <c r="D4156" s="42"/>
      <c r="E4156" s="42"/>
      <c r="F4156" s="42"/>
      <c r="G4156" s="42"/>
      <c r="H4156" s="42"/>
      <c r="I4156" s="42"/>
      <c r="J4156" s="42"/>
      <c r="K4156" s="42"/>
      <c r="L4156" s="42"/>
      <c r="M4156" s="42"/>
    </row>
    <row r="4157" spans="1:13" x14ac:dyDescent="0.2">
      <c r="A4157" s="42"/>
      <c r="B4157" s="42"/>
      <c r="C4157" s="42"/>
      <c r="D4157" s="42"/>
      <c r="E4157" s="42"/>
      <c r="F4157" s="42"/>
      <c r="G4157" s="42"/>
      <c r="H4157" s="42"/>
      <c r="I4157" s="42"/>
      <c r="J4157" s="42"/>
      <c r="K4157" s="42"/>
      <c r="L4157" s="42"/>
      <c r="M4157" s="42"/>
    </row>
    <row r="4158" spans="1:13" x14ac:dyDescent="0.2">
      <c r="A4158" s="42"/>
      <c r="B4158" s="42"/>
      <c r="C4158" s="42"/>
      <c r="D4158" s="42"/>
      <c r="E4158" s="42"/>
      <c r="F4158" s="42"/>
      <c r="G4158" s="42"/>
      <c r="H4158" s="42"/>
      <c r="I4158" s="42"/>
      <c r="J4158" s="42"/>
      <c r="K4158" s="42"/>
      <c r="L4158" s="42"/>
      <c r="M4158" s="42"/>
    </row>
    <row r="4159" spans="1:13" x14ac:dyDescent="0.2">
      <c r="A4159" s="42"/>
      <c r="B4159" s="42"/>
      <c r="C4159" s="42"/>
      <c r="D4159" s="42"/>
      <c r="E4159" s="42"/>
      <c r="F4159" s="42"/>
      <c r="G4159" s="42"/>
      <c r="H4159" s="42"/>
      <c r="I4159" s="42"/>
      <c r="J4159" s="42"/>
      <c r="K4159" s="42"/>
      <c r="L4159" s="42"/>
      <c r="M4159" s="42"/>
    </row>
    <row r="4160" spans="1:13" x14ac:dyDescent="0.2">
      <c r="A4160" s="42"/>
      <c r="B4160" s="42"/>
      <c r="C4160" s="42"/>
      <c r="D4160" s="42"/>
      <c r="E4160" s="42"/>
      <c r="F4160" s="42"/>
      <c r="G4160" s="42"/>
      <c r="H4160" s="42"/>
      <c r="I4160" s="42"/>
      <c r="J4160" s="42"/>
      <c r="K4160" s="42"/>
      <c r="L4160" s="42"/>
      <c r="M4160" s="42"/>
    </row>
    <row r="4161" spans="1:13" x14ac:dyDescent="0.2">
      <c r="A4161" s="42"/>
      <c r="B4161" s="42"/>
      <c r="C4161" s="42"/>
      <c r="D4161" s="42"/>
      <c r="E4161" s="42"/>
      <c r="F4161" s="42"/>
      <c r="G4161" s="42"/>
      <c r="H4161" s="42"/>
      <c r="I4161" s="42"/>
      <c r="J4161" s="42"/>
      <c r="K4161" s="42"/>
      <c r="L4161" s="42"/>
      <c r="M4161" s="42"/>
    </row>
    <row r="4162" spans="1:13" x14ac:dyDescent="0.2">
      <c r="A4162" s="42"/>
      <c r="B4162" s="42"/>
      <c r="C4162" s="42"/>
      <c r="D4162" s="42"/>
      <c r="E4162" s="42"/>
      <c r="F4162" s="42"/>
      <c r="G4162" s="42"/>
      <c r="H4162" s="42"/>
      <c r="I4162" s="42"/>
      <c r="J4162" s="42"/>
      <c r="K4162" s="42"/>
      <c r="L4162" s="42"/>
      <c r="M4162" s="42"/>
    </row>
    <row r="4163" spans="1:13" x14ac:dyDescent="0.2">
      <c r="A4163" s="42"/>
      <c r="B4163" s="42"/>
      <c r="C4163" s="42"/>
      <c r="D4163" s="42"/>
      <c r="E4163" s="42"/>
      <c r="F4163" s="42"/>
      <c r="G4163" s="42"/>
      <c r="H4163" s="42"/>
      <c r="I4163" s="42"/>
      <c r="J4163" s="42"/>
      <c r="K4163" s="42"/>
      <c r="L4163" s="42"/>
      <c r="M4163" s="42"/>
    </row>
    <row r="4164" spans="1:13" x14ac:dyDescent="0.2">
      <c r="A4164" s="42"/>
      <c r="B4164" s="42"/>
      <c r="C4164" s="42"/>
      <c r="D4164" s="42"/>
      <c r="E4164" s="42"/>
      <c r="F4164" s="42"/>
      <c r="G4164" s="42"/>
      <c r="H4164" s="42"/>
      <c r="I4164" s="42"/>
      <c r="J4164" s="42"/>
      <c r="K4164" s="42"/>
      <c r="L4164" s="42"/>
      <c r="M4164" s="42"/>
    </row>
    <row r="4165" spans="1:13" x14ac:dyDescent="0.2">
      <c r="A4165" s="42"/>
      <c r="B4165" s="42"/>
      <c r="C4165" s="42"/>
      <c r="D4165" s="42"/>
      <c r="E4165" s="42"/>
      <c r="F4165" s="42"/>
      <c r="G4165" s="42"/>
      <c r="H4165" s="42"/>
      <c r="I4165" s="42"/>
      <c r="J4165" s="42"/>
      <c r="K4165" s="42"/>
      <c r="L4165" s="42"/>
      <c r="M4165" s="42"/>
    </row>
    <row r="4166" spans="1:13" x14ac:dyDescent="0.2">
      <c r="A4166" s="42"/>
      <c r="B4166" s="42"/>
      <c r="C4166" s="42"/>
      <c r="D4166" s="42"/>
      <c r="E4166" s="42"/>
      <c r="F4166" s="42"/>
      <c r="G4166" s="42"/>
      <c r="H4166" s="42"/>
      <c r="I4166" s="42"/>
      <c r="J4166" s="42"/>
      <c r="K4166" s="42"/>
      <c r="L4166" s="42"/>
      <c r="M4166" s="42"/>
    </row>
    <row r="4167" spans="1:13" x14ac:dyDescent="0.2">
      <c r="A4167" s="42"/>
      <c r="B4167" s="42"/>
      <c r="C4167" s="42"/>
      <c r="D4167" s="42"/>
      <c r="E4167" s="42"/>
      <c r="F4167" s="42"/>
      <c r="G4167" s="42"/>
      <c r="H4167" s="42"/>
      <c r="I4167" s="42"/>
      <c r="J4167" s="42"/>
      <c r="K4167" s="42"/>
      <c r="L4167" s="42"/>
      <c r="M4167" s="42"/>
    </row>
    <row r="4168" spans="1:13" x14ac:dyDescent="0.2">
      <c r="A4168" s="42"/>
      <c r="B4168" s="42"/>
      <c r="C4168" s="42"/>
      <c r="D4168" s="42"/>
      <c r="E4168" s="42"/>
      <c r="F4168" s="42"/>
      <c r="G4168" s="42"/>
      <c r="H4168" s="42"/>
      <c r="I4168" s="42"/>
      <c r="J4168" s="42"/>
      <c r="K4168" s="42"/>
      <c r="L4168" s="42"/>
      <c r="M4168" s="42"/>
    </row>
    <row r="4169" spans="1:13" x14ac:dyDescent="0.2">
      <c r="A4169" s="42"/>
      <c r="B4169" s="42"/>
      <c r="C4169" s="42"/>
      <c r="D4169" s="42"/>
      <c r="E4169" s="42"/>
      <c r="F4169" s="42"/>
      <c r="G4169" s="42"/>
      <c r="H4169" s="42"/>
      <c r="I4169" s="42"/>
      <c r="J4169" s="42"/>
      <c r="K4169" s="42"/>
      <c r="L4169" s="42"/>
      <c r="M4169" s="42"/>
    </row>
    <row r="4170" spans="1:13" x14ac:dyDescent="0.2">
      <c r="A4170" s="42"/>
      <c r="B4170" s="42"/>
      <c r="C4170" s="42"/>
      <c r="D4170" s="42"/>
      <c r="E4170" s="42"/>
      <c r="F4170" s="42"/>
      <c r="G4170" s="42"/>
      <c r="H4170" s="42"/>
      <c r="I4170" s="42"/>
      <c r="J4170" s="42"/>
      <c r="K4170" s="42"/>
      <c r="L4170" s="42"/>
      <c r="M4170" s="42"/>
    </row>
    <row r="4171" spans="1:13" x14ac:dyDescent="0.2">
      <c r="A4171" s="42"/>
      <c r="B4171" s="42"/>
      <c r="C4171" s="42"/>
      <c r="D4171" s="42"/>
      <c r="E4171" s="42"/>
      <c r="F4171" s="42"/>
      <c r="G4171" s="42"/>
      <c r="H4171" s="42"/>
      <c r="I4171" s="42"/>
      <c r="J4171" s="42"/>
      <c r="K4171" s="42"/>
      <c r="L4171" s="42"/>
      <c r="M4171" s="42"/>
    </row>
    <row r="4172" spans="1:13" x14ac:dyDescent="0.2">
      <c r="A4172" s="42"/>
      <c r="B4172" s="42"/>
      <c r="C4172" s="42"/>
      <c r="D4172" s="42"/>
      <c r="E4172" s="42"/>
      <c r="F4172" s="42"/>
      <c r="G4172" s="42"/>
      <c r="H4172" s="42"/>
      <c r="I4172" s="42"/>
      <c r="J4172" s="42"/>
      <c r="K4172" s="42"/>
      <c r="L4172" s="42"/>
      <c r="M4172" s="42"/>
    </row>
    <row r="4173" spans="1:13" x14ac:dyDescent="0.2">
      <c r="A4173" s="42"/>
      <c r="B4173" s="42"/>
      <c r="C4173" s="42"/>
      <c r="D4173" s="42"/>
      <c r="E4173" s="42"/>
      <c r="F4173" s="42"/>
      <c r="G4173" s="42"/>
      <c r="H4173" s="42"/>
      <c r="I4173" s="42"/>
      <c r="J4173" s="42"/>
      <c r="K4173" s="42"/>
      <c r="L4173" s="42"/>
      <c r="M4173" s="42"/>
    </row>
    <row r="4174" spans="1:13" x14ac:dyDescent="0.2">
      <c r="A4174" s="42"/>
      <c r="B4174" s="42"/>
      <c r="C4174" s="42"/>
      <c r="D4174" s="42"/>
      <c r="E4174" s="42"/>
      <c r="F4174" s="42"/>
      <c r="G4174" s="42"/>
      <c r="H4174" s="42"/>
      <c r="I4174" s="42"/>
      <c r="J4174" s="42"/>
      <c r="K4174" s="42"/>
      <c r="L4174" s="42"/>
      <c r="M4174" s="42"/>
    </row>
    <row r="4175" spans="1:13" x14ac:dyDescent="0.2">
      <c r="A4175" s="42"/>
      <c r="B4175" s="42"/>
      <c r="C4175" s="42"/>
      <c r="D4175" s="42"/>
      <c r="E4175" s="42"/>
      <c r="F4175" s="42"/>
      <c r="G4175" s="42"/>
      <c r="H4175" s="42"/>
      <c r="I4175" s="42"/>
      <c r="J4175" s="42"/>
      <c r="K4175" s="42"/>
      <c r="L4175" s="42"/>
      <c r="M4175" s="42"/>
    </row>
    <row r="4176" spans="1:13" x14ac:dyDescent="0.2">
      <c r="A4176" s="42"/>
      <c r="B4176" s="42"/>
      <c r="C4176" s="42"/>
      <c r="D4176" s="42"/>
      <c r="E4176" s="42"/>
      <c r="F4176" s="42"/>
      <c r="G4176" s="42"/>
      <c r="H4176" s="42"/>
      <c r="I4176" s="42"/>
      <c r="J4176" s="42"/>
      <c r="K4176" s="42"/>
      <c r="L4176" s="42"/>
      <c r="M4176" s="42"/>
    </row>
    <row r="4177" spans="1:13" x14ac:dyDescent="0.2">
      <c r="A4177" s="42"/>
      <c r="B4177" s="42"/>
      <c r="C4177" s="42"/>
      <c r="D4177" s="42"/>
      <c r="E4177" s="42"/>
      <c r="F4177" s="42"/>
      <c r="G4177" s="42"/>
      <c r="H4177" s="42"/>
      <c r="I4177" s="42"/>
      <c r="J4177" s="42"/>
      <c r="K4177" s="42"/>
      <c r="L4177" s="42"/>
      <c r="M4177" s="42"/>
    </row>
    <row r="4178" spans="1:13" x14ac:dyDescent="0.2">
      <c r="A4178" s="42"/>
      <c r="B4178" s="42"/>
      <c r="C4178" s="42"/>
      <c r="D4178" s="42"/>
      <c r="E4178" s="42"/>
      <c r="F4178" s="42"/>
      <c r="G4178" s="42"/>
      <c r="H4178" s="42"/>
      <c r="I4178" s="42"/>
      <c r="J4178" s="42"/>
      <c r="K4178" s="42"/>
      <c r="L4178" s="42"/>
      <c r="M4178" s="42"/>
    </row>
    <row r="4179" spans="1:13" x14ac:dyDescent="0.2">
      <c r="A4179" s="42"/>
      <c r="B4179" s="42"/>
      <c r="C4179" s="42"/>
      <c r="D4179" s="42"/>
      <c r="E4179" s="42"/>
      <c r="F4179" s="42"/>
      <c r="G4179" s="42"/>
      <c r="H4179" s="42"/>
      <c r="I4179" s="42"/>
      <c r="J4179" s="42"/>
      <c r="K4179" s="42"/>
      <c r="L4179" s="42"/>
      <c r="M4179" s="42"/>
    </row>
    <row r="4180" spans="1:13" x14ac:dyDescent="0.2">
      <c r="A4180" s="42"/>
      <c r="B4180" s="42"/>
      <c r="C4180" s="42"/>
      <c r="D4180" s="42"/>
      <c r="E4180" s="42"/>
      <c r="F4180" s="42"/>
      <c r="G4180" s="42"/>
      <c r="H4180" s="42"/>
      <c r="I4180" s="42"/>
      <c r="J4180" s="42"/>
      <c r="K4180" s="42"/>
      <c r="L4180" s="42"/>
      <c r="M4180" s="42"/>
    </row>
    <row r="4181" spans="1:13" x14ac:dyDescent="0.2">
      <c r="A4181" s="42"/>
      <c r="B4181" s="42"/>
      <c r="C4181" s="42"/>
      <c r="D4181" s="42"/>
      <c r="E4181" s="42"/>
      <c r="F4181" s="42"/>
      <c r="G4181" s="42"/>
      <c r="H4181" s="42"/>
      <c r="I4181" s="42"/>
      <c r="J4181" s="42"/>
      <c r="K4181" s="42"/>
      <c r="L4181" s="42"/>
      <c r="M4181" s="42"/>
    </row>
    <row r="4182" spans="1:13" x14ac:dyDescent="0.2">
      <c r="A4182" s="42"/>
      <c r="B4182" s="42"/>
      <c r="C4182" s="42"/>
      <c r="D4182" s="42"/>
      <c r="E4182" s="42"/>
      <c r="F4182" s="42"/>
      <c r="G4182" s="42"/>
      <c r="H4182" s="42"/>
      <c r="I4182" s="42"/>
      <c r="J4182" s="42"/>
      <c r="K4182" s="42"/>
      <c r="L4182" s="42"/>
      <c r="M4182" s="42"/>
    </row>
    <row r="4183" spans="1:13" x14ac:dyDescent="0.2">
      <c r="A4183" s="42"/>
      <c r="B4183" s="42"/>
      <c r="C4183" s="42"/>
      <c r="D4183" s="42"/>
      <c r="E4183" s="42"/>
      <c r="F4183" s="42"/>
      <c r="G4183" s="42"/>
      <c r="H4183" s="42"/>
      <c r="I4183" s="42"/>
      <c r="J4183" s="42"/>
      <c r="K4183" s="42"/>
      <c r="L4183" s="42"/>
      <c r="M4183" s="42"/>
    </row>
    <row r="4184" spans="1:13" x14ac:dyDescent="0.2">
      <c r="A4184" s="42"/>
      <c r="B4184" s="42"/>
      <c r="C4184" s="42"/>
      <c r="D4184" s="42"/>
      <c r="E4184" s="42"/>
      <c r="F4184" s="42"/>
      <c r="G4184" s="42"/>
      <c r="H4184" s="42"/>
      <c r="I4184" s="42"/>
      <c r="J4184" s="42"/>
      <c r="K4184" s="42"/>
      <c r="L4184" s="42"/>
      <c r="M4184" s="42"/>
    </row>
    <row r="4185" spans="1:13" x14ac:dyDescent="0.2">
      <c r="A4185" s="42"/>
      <c r="B4185" s="42"/>
      <c r="C4185" s="42"/>
      <c r="D4185" s="42"/>
      <c r="E4185" s="42"/>
      <c r="F4185" s="42"/>
      <c r="G4185" s="42"/>
      <c r="H4185" s="42"/>
      <c r="I4185" s="42"/>
      <c r="J4185" s="42"/>
      <c r="K4185" s="42"/>
      <c r="L4185" s="42"/>
      <c r="M4185" s="42"/>
    </row>
    <row r="4186" spans="1:13" x14ac:dyDescent="0.2">
      <c r="A4186" s="42"/>
      <c r="B4186" s="42"/>
      <c r="C4186" s="42"/>
      <c r="D4186" s="42"/>
      <c r="E4186" s="42"/>
      <c r="F4186" s="42"/>
      <c r="G4186" s="42"/>
      <c r="H4186" s="42"/>
      <c r="I4186" s="42"/>
      <c r="J4186" s="42"/>
      <c r="K4186" s="42"/>
      <c r="L4186" s="42"/>
      <c r="M4186" s="42"/>
    </row>
    <row r="4187" spans="1:13" x14ac:dyDescent="0.2">
      <c r="A4187" s="42"/>
      <c r="B4187" s="42"/>
      <c r="C4187" s="42"/>
      <c r="D4187" s="42"/>
      <c r="E4187" s="42"/>
      <c r="F4187" s="42"/>
      <c r="G4187" s="42"/>
      <c r="H4187" s="42"/>
      <c r="I4187" s="42"/>
      <c r="J4187" s="42"/>
      <c r="K4187" s="42"/>
      <c r="L4187" s="42"/>
      <c r="M4187" s="42"/>
    </row>
    <row r="4188" spans="1:13" x14ac:dyDescent="0.2">
      <c r="A4188" s="42"/>
      <c r="B4188" s="42"/>
      <c r="C4188" s="42"/>
      <c r="D4188" s="42"/>
      <c r="E4188" s="42"/>
      <c r="F4188" s="42"/>
      <c r="G4188" s="42"/>
      <c r="H4188" s="42"/>
      <c r="I4188" s="42"/>
      <c r="J4188" s="42"/>
      <c r="K4188" s="42"/>
      <c r="L4188" s="42"/>
      <c r="M4188" s="42"/>
    </row>
    <row r="4189" spans="1:13" x14ac:dyDescent="0.2">
      <c r="A4189" s="42"/>
      <c r="B4189" s="42"/>
      <c r="C4189" s="42"/>
      <c r="D4189" s="42"/>
      <c r="E4189" s="42"/>
      <c r="F4189" s="42"/>
      <c r="G4189" s="42"/>
      <c r="H4189" s="42"/>
      <c r="I4189" s="42"/>
      <c r="J4189" s="42"/>
      <c r="K4189" s="42"/>
      <c r="L4189" s="42"/>
      <c r="M4189" s="42"/>
    </row>
    <row r="4190" spans="1:13" x14ac:dyDescent="0.2">
      <c r="A4190" s="42"/>
      <c r="B4190" s="42"/>
      <c r="C4190" s="42"/>
      <c r="D4190" s="42"/>
      <c r="E4190" s="42"/>
      <c r="F4190" s="42"/>
      <c r="G4190" s="42"/>
      <c r="H4190" s="42"/>
      <c r="I4190" s="42"/>
      <c r="J4190" s="42"/>
      <c r="K4190" s="42"/>
      <c r="L4190" s="42"/>
      <c r="M4190" s="42"/>
    </row>
    <row r="4191" spans="1:13" x14ac:dyDescent="0.2">
      <c r="A4191" s="42"/>
      <c r="B4191" s="42"/>
      <c r="C4191" s="42"/>
      <c r="D4191" s="42"/>
      <c r="E4191" s="42"/>
      <c r="F4191" s="42"/>
      <c r="G4191" s="42"/>
      <c r="H4191" s="42"/>
      <c r="I4191" s="42"/>
      <c r="J4191" s="42"/>
      <c r="K4191" s="42"/>
      <c r="L4191" s="42"/>
      <c r="M4191" s="42"/>
    </row>
    <row r="4192" spans="1:13" x14ac:dyDescent="0.2">
      <c r="A4192" s="42"/>
      <c r="B4192" s="42"/>
      <c r="C4192" s="42"/>
      <c r="D4192" s="42"/>
      <c r="E4192" s="42"/>
      <c r="F4192" s="42"/>
      <c r="G4192" s="42"/>
      <c r="H4192" s="42"/>
      <c r="I4192" s="42"/>
      <c r="J4192" s="42"/>
      <c r="K4192" s="42"/>
      <c r="L4192" s="42"/>
      <c r="M4192" s="42"/>
    </row>
    <row r="4193" spans="1:13" x14ac:dyDescent="0.2">
      <c r="A4193" s="42"/>
      <c r="B4193" s="42"/>
      <c r="C4193" s="42"/>
      <c r="D4193" s="42"/>
      <c r="E4193" s="42"/>
      <c r="F4193" s="42"/>
      <c r="G4193" s="42"/>
      <c r="H4193" s="42"/>
      <c r="I4193" s="42"/>
      <c r="J4193" s="42"/>
      <c r="K4193" s="42"/>
      <c r="L4193" s="42"/>
      <c r="M4193" s="42"/>
    </row>
    <row r="4194" spans="1:13" x14ac:dyDescent="0.2">
      <c r="A4194" s="42"/>
      <c r="B4194" s="42"/>
      <c r="C4194" s="42"/>
      <c r="D4194" s="42"/>
      <c r="E4194" s="42"/>
      <c r="F4194" s="42"/>
      <c r="G4194" s="42"/>
      <c r="H4194" s="42"/>
      <c r="I4194" s="42"/>
      <c r="J4194" s="42"/>
      <c r="K4194" s="42"/>
      <c r="L4194" s="42"/>
      <c r="M4194" s="42"/>
    </row>
    <row r="4195" spans="1:13" x14ac:dyDescent="0.2">
      <c r="A4195" s="42"/>
      <c r="B4195" s="42"/>
      <c r="C4195" s="42"/>
      <c r="D4195" s="42"/>
      <c r="E4195" s="42"/>
      <c r="F4195" s="42"/>
      <c r="G4195" s="42"/>
      <c r="H4195" s="42"/>
      <c r="I4195" s="42"/>
      <c r="J4195" s="42"/>
      <c r="K4195" s="42"/>
      <c r="L4195" s="42"/>
      <c r="M4195" s="42"/>
    </row>
    <row r="4196" spans="1:13" x14ac:dyDescent="0.2">
      <c r="A4196" s="42"/>
      <c r="B4196" s="42"/>
      <c r="C4196" s="42"/>
      <c r="D4196" s="42"/>
      <c r="E4196" s="42"/>
      <c r="F4196" s="42"/>
      <c r="G4196" s="42"/>
      <c r="H4196" s="42"/>
      <c r="I4196" s="42"/>
      <c r="J4196" s="42"/>
      <c r="K4196" s="42"/>
      <c r="L4196" s="42"/>
      <c r="M4196" s="42"/>
    </row>
    <row r="4197" spans="1:13" x14ac:dyDescent="0.2">
      <c r="A4197" s="42"/>
      <c r="B4197" s="42"/>
      <c r="C4197" s="42"/>
      <c r="D4197" s="42"/>
      <c r="E4197" s="42"/>
      <c r="F4197" s="42"/>
      <c r="G4197" s="42"/>
      <c r="H4197" s="42"/>
      <c r="I4197" s="42"/>
      <c r="J4197" s="42"/>
      <c r="K4197" s="42"/>
      <c r="L4197" s="42"/>
      <c r="M4197" s="42"/>
    </row>
    <row r="4198" spans="1:13" x14ac:dyDescent="0.2">
      <c r="A4198" s="42"/>
      <c r="B4198" s="42"/>
      <c r="C4198" s="42"/>
      <c r="D4198" s="42"/>
      <c r="E4198" s="42"/>
      <c r="F4198" s="42"/>
      <c r="G4198" s="42"/>
      <c r="H4198" s="42"/>
      <c r="I4198" s="42"/>
      <c r="J4198" s="42"/>
      <c r="K4198" s="42"/>
      <c r="L4198" s="42"/>
      <c r="M4198" s="42"/>
    </row>
    <row r="4199" spans="1:13" x14ac:dyDescent="0.2">
      <c r="A4199" s="42"/>
      <c r="B4199" s="42"/>
      <c r="C4199" s="42"/>
      <c r="D4199" s="42"/>
      <c r="E4199" s="42"/>
      <c r="F4199" s="42"/>
      <c r="G4199" s="42"/>
      <c r="H4199" s="42"/>
      <c r="I4199" s="42"/>
      <c r="J4199" s="42"/>
      <c r="K4199" s="42"/>
      <c r="L4199" s="42"/>
      <c r="M4199" s="42"/>
    </row>
    <row r="4200" spans="1:13" x14ac:dyDescent="0.2">
      <c r="A4200" s="42"/>
      <c r="B4200" s="42"/>
      <c r="C4200" s="42"/>
      <c r="D4200" s="42"/>
      <c r="E4200" s="42"/>
      <c r="F4200" s="42"/>
      <c r="G4200" s="42"/>
      <c r="H4200" s="42"/>
      <c r="I4200" s="42"/>
      <c r="J4200" s="42"/>
      <c r="K4200" s="42"/>
      <c r="L4200" s="42"/>
      <c r="M4200" s="42"/>
    </row>
    <row r="4201" spans="1:13" x14ac:dyDescent="0.2">
      <c r="A4201" s="42"/>
      <c r="B4201" s="42"/>
      <c r="C4201" s="42"/>
      <c r="D4201" s="42"/>
      <c r="E4201" s="42"/>
      <c r="F4201" s="42"/>
      <c r="G4201" s="42"/>
      <c r="H4201" s="42"/>
      <c r="I4201" s="42"/>
      <c r="J4201" s="42"/>
      <c r="K4201" s="42"/>
      <c r="L4201" s="42"/>
      <c r="M4201" s="42"/>
    </row>
    <row r="4202" spans="1:13" x14ac:dyDescent="0.2">
      <c r="A4202" s="42"/>
      <c r="B4202" s="42"/>
      <c r="C4202" s="42"/>
      <c r="D4202" s="42"/>
      <c r="E4202" s="42"/>
      <c r="F4202" s="42"/>
      <c r="G4202" s="42"/>
      <c r="H4202" s="42"/>
      <c r="I4202" s="42"/>
      <c r="J4202" s="42"/>
      <c r="K4202" s="42"/>
      <c r="L4202" s="42"/>
      <c r="M4202" s="42"/>
    </row>
    <row r="4203" spans="1:13" x14ac:dyDescent="0.2">
      <c r="A4203" s="42"/>
      <c r="B4203" s="42"/>
      <c r="C4203" s="42"/>
      <c r="D4203" s="42"/>
      <c r="E4203" s="42"/>
      <c r="F4203" s="42"/>
      <c r="G4203" s="42"/>
      <c r="H4203" s="42"/>
      <c r="I4203" s="42"/>
      <c r="J4203" s="42"/>
      <c r="K4203" s="42"/>
      <c r="L4203" s="42"/>
      <c r="M4203" s="42"/>
    </row>
    <row r="4204" spans="1:13" x14ac:dyDescent="0.2">
      <c r="A4204" s="42"/>
      <c r="B4204" s="42"/>
      <c r="C4204" s="42"/>
      <c r="D4204" s="42"/>
      <c r="E4204" s="42"/>
      <c r="F4204" s="42"/>
      <c r="G4204" s="42"/>
      <c r="H4204" s="42"/>
      <c r="I4204" s="42"/>
      <c r="J4204" s="42"/>
      <c r="K4204" s="42"/>
      <c r="L4204" s="42"/>
      <c r="M4204" s="42"/>
    </row>
    <row r="4205" spans="1:13" x14ac:dyDescent="0.2">
      <c r="A4205" s="42"/>
      <c r="B4205" s="42"/>
      <c r="C4205" s="42"/>
      <c r="D4205" s="42"/>
      <c r="E4205" s="42"/>
      <c r="F4205" s="42"/>
      <c r="G4205" s="42"/>
      <c r="H4205" s="42"/>
      <c r="I4205" s="42"/>
      <c r="J4205" s="42"/>
      <c r="K4205" s="42"/>
      <c r="L4205" s="42"/>
      <c r="M4205" s="42"/>
    </row>
    <row r="4206" spans="1:13" x14ac:dyDescent="0.2">
      <c r="A4206" s="42"/>
      <c r="B4206" s="42"/>
      <c r="C4206" s="42"/>
      <c r="D4206" s="42"/>
      <c r="E4206" s="42"/>
      <c r="F4206" s="42"/>
      <c r="G4206" s="42"/>
      <c r="H4206" s="42"/>
      <c r="I4206" s="42"/>
      <c r="J4206" s="42"/>
      <c r="K4206" s="42"/>
      <c r="L4206" s="42"/>
      <c r="M4206" s="42"/>
    </row>
    <row r="4207" spans="1:13" x14ac:dyDescent="0.2">
      <c r="A4207" s="42"/>
      <c r="B4207" s="42"/>
      <c r="C4207" s="42"/>
      <c r="D4207" s="42"/>
      <c r="E4207" s="42"/>
      <c r="F4207" s="42"/>
      <c r="G4207" s="42"/>
      <c r="H4207" s="42"/>
      <c r="I4207" s="42"/>
      <c r="J4207" s="42"/>
      <c r="K4207" s="42"/>
      <c r="L4207" s="42"/>
      <c r="M4207" s="42"/>
    </row>
    <row r="4208" spans="1:13" x14ac:dyDescent="0.2">
      <c r="A4208" s="42"/>
      <c r="B4208" s="42"/>
      <c r="C4208" s="42"/>
      <c r="D4208" s="42"/>
      <c r="E4208" s="42"/>
      <c r="F4208" s="42"/>
      <c r="G4208" s="42"/>
      <c r="H4208" s="42"/>
      <c r="I4208" s="42"/>
      <c r="J4208" s="42"/>
      <c r="K4208" s="42"/>
      <c r="L4208" s="42"/>
      <c r="M4208" s="42"/>
    </row>
    <row r="4209" spans="1:13" x14ac:dyDescent="0.2">
      <c r="A4209" s="42"/>
      <c r="B4209" s="42"/>
      <c r="C4209" s="42"/>
      <c r="D4209" s="42"/>
      <c r="E4209" s="42"/>
      <c r="F4209" s="42"/>
      <c r="G4209" s="42"/>
      <c r="H4209" s="42"/>
      <c r="I4209" s="42"/>
      <c r="J4209" s="42"/>
      <c r="K4209" s="42"/>
      <c r="L4209" s="42"/>
      <c r="M4209" s="42"/>
    </row>
    <row r="4210" spans="1:13" x14ac:dyDescent="0.2">
      <c r="A4210" s="42"/>
      <c r="B4210" s="42"/>
      <c r="C4210" s="42"/>
      <c r="D4210" s="42"/>
      <c r="E4210" s="42"/>
      <c r="F4210" s="42"/>
      <c r="G4210" s="42"/>
      <c r="H4210" s="42"/>
      <c r="I4210" s="42"/>
      <c r="J4210" s="42"/>
      <c r="K4210" s="42"/>
      <c r="L4210" s="42"/>
      <c r="M4210" s="42"/>
    </row>
    <row r="4211" spans="1:13" x14ac:dyDescent="0.2">
      <c r="A4211" s="42"/>
      <c r="B4211" s="42"/>
      <c r="C4211" s="42"/>
      <c r="D4211" s="42"/>
      <c r="E4211" s="42"/>
      <c r="F4211" s="42"/>
      <c r="G4211" s="42"/>
      <c r="H4211" s="42"/>
      <c r="I4211" s="42"/>
      <c r="J4211" s="42"/>
      <c r="K4211" s="42"/>
      <c r="L4211" s="42"/>
      <c r="M4211" s="42"/>
    </row>
    <row r="4212" spans="1:13" x14ac:dyDescent="0.2">
      <c r="A4212" s="42"/>
      <c r="B4212" s="42"/>
      <c r="C4212" s="42"/>
      <c r="D4212" s="42"/>
      <c r="E4212" s="42"/>
      <c r="F4212" s="42"/>
      <c r="G4212" s="42"/>
      <c r="H4212" s="42"/>
      <c r="I4212" s="42"/>
      <c r="J4212" s="42"/>
      <c r="K4212" s="42"/>
      <c r="L4212" s="42"/>
      <c r="M4212" s="42"/>
    </row>
    <row r="4213" spans="1:13" x14ac:dyDescent="0.2">
      <c r="A4213" s="42"/>
      <c r="B4213" s="42"/>
      <c r="C4213" s="42"/>
      <c r="D4213" s="42"/>
      <c r="E4213" s="42"/>
      <c r="F4213" s="42"/>
      <c r="G4213" s="42"/>
      <c r="H4213" s="42"/>
      <c r="I4213" s="42"/>
      <c r="J4213" s="42"/>
      <c r="K4213" s="42"/>
      <c r="L4213" s="42"/>
      <c r="M4213" s="42"/>
    </row>
    <row r="4214" spans="1:13" x14ac:dyDescent="0.2">
      <c r="A4214" s="42"/>
      <c r="B4214" s="42"/>
      <c r="C4214" s="42"/>
      <c r="D4214" s="42"/>
      <c r="E4214" s="42"/>
      <c r="F4214" s="42"/>
      <c r="G4214" s="42"/>
      <c r="H4214" s="42"/>
      <c r="I4214" s="42"/>
      <c r="J4214" s="42"/>
      <c r="K4214" s="42"/>
      <c r="L4214" s="42"/>
      <c r="M4214" s="42"/>
    </row>
    <row r="4215" spans="1:13" x14ac:dyDescent="0.2">
      <c r="A4215" s="42"/>
      <c r="B4215" s="42"/>
      <c r="C4215" s="42"/>
      <c r="D4215" s="42"/>
      <c r="E4215" s="42"/>
      <c r="F4215" s="42"/>
      <c r="G4215" s="42"/>
      <c r="H4215" s="42"/>
      <c r="I4215" s="42"/>
      <c r="J4215" s="42"/>
      <c r="K4215" s="42"/>
      <c r="L4215" s="42"/>
      <c r="M4215" s="42"/>
    </row>
    <row r="4216" spans="1:13" x14ac:dyDescent="0.2">
      <c r="A4216" s="42"/>
      <c r="B4216" s="42"/>
      <c r="C4216" s="42"/>
      <c r="D4216" s="42"/>
      <c r="E4216" s="42"/>
      <c r="F4216" s="42"/>
      <c r="G4216" s="42"/>
      <c r="H4216" s="42"/>
      <c r="I4216" s="42"/>
      <c r="J4216" s="42"/>
      <c r="K4216" s="42"/>
      <c r="L4216" s="42"/>
      <c r="M4216" s="42"/>
    </row>
    <row r="4217" spans="1:13" x14ac:dyDescent="0.2">
      <c r="A4217" s="42"/>
      <c r="B4217" s="42"/>
      <c r="C4217" s="42"/>
      <c r="D4217" s="42"/>
      <c r="E4217" s="42"/>
      <c r="F4217" s="42"/>
      <c r="G4217" s="42"/>
      <c r="H4217" s="42"/>
      <c r="I4217" s="42"/>
      <c r="J4217" s="42"/>
      <c r="K4217" s="42"/>
      <c r="L4217" s="42"/>
      <c r="M4217" s="42"/>
    </row>
    <row r="4218" spans="1:13" x14ac:dyDescent="0.2">
      <c r="A4218" s="42"/>
      <c r="B4218" s="42"/>
      <c r="C4218" s="42"/>
      <c r="D4218" s="42"/>
      <c r="E4218" s="42"/>
      <c r="F4218" s="42"/>
      <c r="G4218" s="42"/>
      <c r="H4218" s="42"/>
      <c r="I4218" s="42"/>
      <c r="J4218" s="42"/>
      <c r="K4218" s="42"/>
      <c r="L4218" s="42"/>
      <c r="M4218" s="42"/>
    </row>
    <row r="4219" spans="1:13" x14ac:dyDescent="0.2">
      <c r="A4219" s="42"/>
      <c r="B4219" s="42"/>
      <c r="C4219" s="42"/>
      <c r="D4219" s="42"/>
      <c r="E4219" s="42"/>
      <c r="F4219" s="42"/>
      <c r="G4219" s="42"/>
      <c r="H4219" s="42"/>
      <c r="I4219" s="42"/>
      <c r="J4219" s="42"/>
      <c r="K4219" s="42"/>
      <c r="L4219" s="42"/>
      <c r="M4219" s="42"/>
    </row>
    <row r="4220" spans="1:13" x14ac:dyDescent="0.2">
      <c r="A4220" s="42"/>
      <c r="B4220" s="42"/>
      <c r="C4220" s="42"/>
      <c r="D4220" s="42"/>
      <c r="E4220" s="42"/>
      <c r="F4220" s="42"/>
      <c r="G4220" s="42"/>
      <c r="H4220" s="42"/>
      <c r="I4220" s="42"/>
      <c r="J4220" s="42"/>
      <c r="K4220" s="42"/>
      <c r="L4220" s="42"/>
      <c r="M4220" s="42"/>
    </row>
    <row r="4221" spans="1:13" x14ac:dyDescent="0.2">
      <c r="A4221" s="42"/>
      <c r="B4221" s="42"/>
      <c r="C4221" s="42"/>
      <c r="D4221" s="42"/>
      <c r="E4221" s="42"/>
      <c r="F4221" s="42"/>
      <c r="G4221" s="42"/>
      <c r="H4221" s="42"/>
      <c r="I4221" s="42"/>
      <c r="J4221" s="42"/>
      <c r="K4221" s="42"/>
      <c r="L4221" s="42"/>
      <c r="M4221" s="42"/>
    </row>
    <row r="4222" spans="1:13" x14ac:dyDescent="0.2">
      <c r="A4222" s="42"/>
      <c r="B4222" s="42"/>
      <c r="C4222" s="42"/>
      <c r="D4222" s="42"/>
      <c r="E4222" s="42"/>
      <c r="F4222" s="42"/>
      <c r="G4222" s="42"/>
      <c r="H4222" s="42"/>
      <c r="I4222" s="42"/>
      <c r="J4222" s="42"/>
      <c r="K4222" s="42"/>
      <c r="L4222" s="42"/>
      <c r="M4222" s="42"/>
    </row>
    <row r="4223" spans="1:13" x14ac:dyDescent="0.2">
      <c r="A4223" s="42"/>
      <c r="B4223" s="42"/>
      <c r="C4223" s="42"/>
      <c r="D4223" s="42"/>
      <c r="E4223" s="42"/>
      <c r="F4223" s="42"/>
      <c r="G4223" s="42"/>
      <c r="H4223" s="42"/>
      <c r="I4223" s="42"/>
      <c r="J4223" s="42"/>
      <c r="K4223" s="42"/>
      <c r="L4223" s="42"/>
      <c r="M4223" s="42"/>
    </row>
    <row r="4224" spans="1:13" x14ac:dyDescent="0.2">
      <c r="A4224" s="42"/>
      <c r="B4224" s="42"/>
      <c r="C4224" s="42"/>
      <c r="D4224" s="42"/>
      <c r="E4224" s="42"/>
      <c r="F4224" s="42"/>
      <c r="G4224" s="42"/>
      <c r="H4224" s="42"/>
      <c r="I4224" s="42"/>
      <c r="J4224" s="42"/>
      <c r="K4224" s="42"/>
      <c r="L4224" s="42"/>
      <c r="M4224" s="42"/>
    </row>
    <row r="4225" spans="1:13" x14ac:dyDescent="0.2">
      <c r="A4225" s="42"/>
      <c r="B4225" s="42"/>
      <c r="C4225" s="42"/>
      <c r="D4225" s="42"/>
      <c r="E4225" s="42"/>
      <c r="F4225" s="42"/>
      <c r="G4225" s="42"/>
      <c r="H4225" s="42"/>
      <c r="I4225" s="42"/>
      <c r="J4225" s="42"/>
      <c r="K4225" s="42"/>
      <c r="L4225" s="42"/>
      <c r="M4225" s="42"/>
    </row>
    <row r="4226" spans="1:13" x14ac:dyDescent="0.2">
      <c r="A4226" s="42"/>
      <c r="B4226" s="42"/>
      <c r="C4226" s="42"/>
      <c r="D4226" s="42"/>
      <c r="E4226" s="42"/>
      <c r="F4226" s="42"/>
      <c r="G4226" s="42"/>
      <c r="H4226" s="42"/>
      <c r="I4226" s="42"/>
      <c r="J4226" s="42"/>
      <c r="K4226" s="42"/>
      <c r="L4226" s="42"/>
      <c r="M4226" s="42"/>
    </row>
    <row r="4227" spans="1:13" x14ac:dyDescent="0.2">
      <c r="A4227" s="42"/>
      <c r="B4227" s="42"/>
      <c r="C4227" s="42"/>
      <c r="D4227" s="42"/>
      <c r="E4227" s="42"/>
      <c r="F4227" s="42"/>
      <c r="G4227" s="42"/>
      <c r="H4227" s="42"/>
      <c r="I4227" s="42"/>
      <c r="J4227" s="42"/>
      <c r="K4227" s="42"/>
      <c r="L4227" s="42"/>
      <c r="M4227" s="42"/>
    </row>
    <row r="4228" spans="1:13" x14ac:dyDescent="0.2">
      <c r="A4228" s="42"/>
      <c r="B4228" s="42"/>
      <c r="C4228" s="42"/>
      <c r="D4228" s="42"/>
      <c r="E4228" s="42"/>
      <c r="F4228" s="42"/>
      <c r="G4228" s="42"/>
      <c r="H4228" s="42"/>
      <c r="I4228" s="42"/>
      <c r="J4228" s="42"/>
      <c r="K4228" s="42"/>
      <c r="L4228" s="42"/>
      <c r="M4228" s="42"/>
    </row>
    <row r="4229" spans="1:13" x14ac:dyDescent="0.2">
      <c r="A4229" s="42"/>
      <c r="B4229" s="42"/>
      <c r="C4229" s="42"/>
      <c r="D4229" s="42"/>
      <c r="E4229" s="42"/>
      <c r="F4229" s="42"/>
      <c r="G4229" s="42"/>
      <c r="H4229" s="42"/>
      <c r="I4229" s="42"/>
      <c r="J4229" s="42"/>
      <c r="K4229" s="42"/>
      <c r="L4229" s="42"/>
      <c r="M4229" s="42"/>
    </row>
    <row r="4230" spans="1:13" x14ac:dyDescent="0.2">
      <c r="A4230" s="42"/>
      <c r="B4230" s="42"/>
      <c r="C4230" s="42"/>
      <c r="D4230" s="42"/>
      <c r="E4230" s="42"/>
      <c r="F4230" s="42"/>
      <c r="G4230" s="42"/>
      <c r="H4230" s="42"/>
      <c r="I4230" s="42"/>
      <c r="J4230" s="42"/>
      <c r="K4230" s="42"/>
      <c r="L4230" s="42"/>
      <c r="M4230" s="42"/>
    </row>
    <row r="4231" spans="1:13" x14ac:dyDescent="0.2">
      <c r="A4231" s="42"/>
      <c r="B4231" s="42"/>
      <c r="C4231" s="42"/>
      <c r="D4231" s="42"/>
      <c r="E4231" s="42"/>
      <c r="F4231" s="42"/>
      <c r="G4231" s="42"/>
      <c r="H4231" s="42"/>
      <c r="I4231" s="42"/>
      <c r="J4231" s="42"/>
      <c r="K4231" s="42"/>
      <c r="L4231" s="42"/>
      <c r="M4231" s="42"/>
    </row>
    <row r="4232" spans="1:13" x14ac:dyDescent="0.2">
      <c r="A4232" s="42"/>
      <c r="B4232" s="42"/>
      <c r="C4232" s="42"/>
      <c r="D4232" s="42"/>
      <c r="E4232" s="42"/>
      <c r="F4232" s="42"/>
      <c r="G4232" s="42"/>
      <c r="H4232" s="42"/>
      <c r="I4232" s="42"/>
      <c r="J4232" s="42"/>
      <c r="K4232" s="42"/>
      <c r="L4232" s="42"/>
      <c r="M4232" s="42"/>
    </row>
    <row r="4233" spans="1:13" x14ac:dyDescent="0.2">
      <c r="A4233" s="42"/>
      <c r="B4233" s="42"/>
      <c r="C4233" s="42"/>
      <c r="D4233" s="42"/>
      <c r="E4233" s="42"/>
      <c r="F4233" s="42"/>
      <c r="G4233" s="42"/>
      <c r="H4233" s="42"/>
      <c r="I4233" s="42"/>
      <c r="J4233" s="42"/>
      <c r="K4233" s="42"/>
      <c r="L4233" s="42"/>
      <c r="M4233" s="42"/>
    </row>
    <row r="4234" spans="1:13" x14ac:dyDescent="0.2">
      <c r="A4234" s="42"/>
      <c r="B4234" s="42"/>
      <c r="C4234" s="42"/>
      <c r="D4234" s="42"/>
      <c r="E4234" s="42"/>
      <c r="F4234" s="42"/>
      <c r="G4234" s="42"/>
      <c r="H4234" s="42"/>
      <c r="I4234" s="42"/>
      <c r="J4234" s="42"/>
      <c r="K4234" s="42"/>
      <c r="L4234" s="42"/>
      <c r="M4234" s="42"/>
    </row>
    <row r="4235" spans="1:13" x14ac:dyDescent="0.2">
      <c r="A4235" s="42"/>
      <c r="B4235" s="42"/>
      <c r="C4235" s="42"/>
      <c r="D4235" s="42"/>
      <c r="E4235" s="42"/>
      <c r="F4235" s="42"/>
      <c r="G4235" s="42"/>
      <c r="H4235" s="42"/>
      <c r="I4235" s="42"/>
      <c r="J4235" s="42"/>
      <c r="K4235" s="42"/>
      <c r="L4235" s="42"/>
      <c r="M4235" s="42"/>
    </row>
    <row r="4236" spans="1:13" x14ac:dyDescent="0.2">
      <c r="A4236" s="42"/>
      <c r="B4236" s="42"/>
      <c r="C4236" s="42"/>
      <c r="D4236" s="42"/>
      <c r="E4236" s="42"/>
      <c r="F4236" s="42"/>
      <c r="G4236" s="42"/>
      <c r="H4236" s="42"/>
      <c r="I4236" s="42"/>
      <c r="J4236" s="42"/>
      <c r="K4236" s="42"/>
      <c r="L4236" s="42"/>
      <c r="M4236" s="42"/>
    </row>
    <row r="4237" spans="1:13" x14ac:dyDescent="0.2">
      <c r="A4237" s="42"/>
      <c r="B4237" s="42"/>
      <c r="C4237" s="42"/>
      <c r="D4237" s="42"/>
      <c r="E4237" s="42"/>
      <c r="F4237" s="42"/>
      <c r="G4237" s="42"/>
      <c r="H4237" s="42"/>
      <c r="I4237" s="42"/>
      <c r="J4237" s="42"/>
      <c r="K4237" s="42"/>
      <c r="L4237" s="42"/>
      <c r="M4237" s="42"/>
    </row>
    <row r="4238" spans="1:13" x14ac:dyDescent="0.2">
      <c r="A4238" s="42"/>
      <c r="B4238" s="42"/>
      <c r="C4238" s="42"/>
      <c r="D4238" s="42"/>
      <c r="E4238" s="42"/>
      <c r="F4238" s="42"/>
      <c r="G4238" s="42"/>
      <c r="H4238" s="42"/>
      <c r="I4238" s="42"/>
      <c r="J4238" s="42"/>
      <c r="K4238" s="42"/>
      <c r="L4238" s="42"/>
      <c r="M4238" s="42"/>
    </row>
    <row r="4239" spans="1:13" x14ac:dyDescent="0.2">
      <c r="A4239" s="42"/>
      <c r="B4239" s="42"/>
      <c r="C4239" s="42"/>
      <c r="D4239" s="42"/>
      <c r="E4239" s="42"/>
      <c r="F4239" s="42"/>
      <c r="G4239" s="42"/>
      <c r="H4239" s="42"/>
      <c r="I4239" s="42"/>
      <c r="J4239" s="42"/>
      <c r="K4239" s="42"/>
      <c r="L4239" s="42"/>
      <c r="M4239" s="42"/>
    </row>
    <row r="4240" spans="1:13" x14ac:dyDescent="0.2">
      <c r="A4240" s="42"/>
      <c r="B4240" s="42"/>
      <c r="C4240" s="42"/>
      <c r="D4240" s="42"/>
      <c r="E4240" s="42"/>
      <c r="F4240" s="42"/>
      <c r="G4240" s="42"/>
      <c r="H4240" s="42"/>
      <c r="I4240" s="42"/>
      <c r="J4240" s="42"/>
      <c r="K4240" s="42"/>
      <c r="L4240" s="42"/>
      <c r="M4240" s="42"/>
    </row>
    <row r="4241" spans="1:13" x14ac:dyDescent="0.2">
      <c r="A4241" s="42"/>
      <c r="B4241" s="42"/>
      <c r="C4241" s="42"/>
      <c r="D4241" s="42"/>
      <c r="E4241" s="42"/>
      <c r="F4241" s="42"/>
      <c r="G4241" s="42"/>
      <c r="H4241" s="42"/>
      <c r="I4241" s="42"/>
      <c r="J4241" s="42"/>
      <c r="K4241" s="42"/>
      <c r="L4241" s="42"/>
      <c r="M4241" s="42"/>
    </row>
    <row r="4242" spans="1:13" x14ac:dyDescent="0.2">
      <c r="A4242" s="42"/>
      <c r="B4242" s="42"/>
      <c r="C4242" s="42"/>
      <c r="D4242" s="42"/>
      <c r="E4242" s="42"/>
      <c r="F4242" s="42"/>
      <c r="G4242" s="42"/>
      <c r="H4242" s="42"/>
      <c r="I4242" s="42"/>
      <c r="J4242" s="42"/>
      <c r="K4242" s="42"/>
      <c r="L4242" s="42"/>
      <c r="M4242" s="42"/>
    </row>
    <row r="4243" spans="1:13" x14ac:dyDescent="0.2">
      <c r="A4243" s="42"/>
      <c r="B4243" s="42"/>
      <c r="C4243" s="42"/>
      <c r="D4243" s="42"/>
      <c r="E4243" s="42"/>
      <c r="F4243" s="42"/>
      <c r="G4243" s="42"/>
      <c r="H4243" s="42"/>
      <c r="I4243" s="42"/>
      <c r="J4243" s="42"/>
      <c r="K4243" s="42"/>
      <c r="L4243" s="42"/>
      <c r="M4243" s="42"/>
    </row>
    <row r="4244" spans="1:13" x14ac:dyDescent="0.2">
      <c r="A4244" s="42"/>
      <c r="B4244" s="42"/>
      <c r="C4244" s="42"/>
      <c r="D4244" s="42"/>
      <c r="E4244" s="42"/>
      <c r="F4244" s="42"/>
      <c r="G4244" s="42"/>
      <c r="H4244" s="42"/>
      <c r="I4244" s="42"/>
      <c r="J4244" s="42"/>
      <c r="K4244" s="42"/>
      <c r="L4244" s="42"/>
      <c r="M4244" s="42"/>
    </row>
    <row r="4245" spans="1:13" x14ac:dyDescent="0.2">
      <c r="A4245" s="42"/>
      <c r="B4245" s="42"/>
      <c r="C4245" s="42"/>
      <c r="D4245" s="42"/>
      <c r="E4245" s="42"/>
      <c r="F4245" s="42"/>
      <c r="G4245" s="42"/>
      <c r="H4245" s="42"/>
      <c r="I4245" s="42"/>
      <c r="J4245" s="42"/>
      <c r="K4245" s="42"/>
      <c r="L4245" s="42"/>
      <c r="M4245" s="42"/>
    </row>
    <row r="4246" spans="1:13" x14ac:dyDescent="0.2">
      <c r="A4246" s="42"/>
      <c r="B4246" s="42"/>
      <c r="C4246" s="42"/>
      <c r="D4246" s="42"/>
      <c r="E4246" s="42"/>
      <c r="F4246" s="42"/>
      <c r="G4246" s="42"/>
      <c r="H4246" s="42"/>
      <c r="I4246" s="42"/>
      <c r="J4246" s="42"/>
      <c r="K4246" s="42"/>
      <c r="L4246" s="42"/>
      <c r="M4246" s="42"/>
    </row>
    <row r="4247" spans="1:13" x14ac:dyDescent="0.2">
      <c r="A4247" s="42"/>
      <c r="B4247" s="42"/>
      <c r="C4247" s="42"/>
      <c r="D4247" s="42"/>
      <c r="E4247" s="42"/>
      <c r="F4247" s="42"/>
      <c r="G4247" s="42"/>
      <c r="H4247" s="42"/>
      <c r="I4247" s="42"/>
      <c r="J4247" s="42"/>
      <c r="K4247" s="42"/>
      <c r="L4247" s="42"/>
      <c r="M4247" s="42"/>
    </row>
    <row r="4248" spans="1:13" x14ac:dyDescent="0.2">
      <c r="A4248" s="42"/>
      <c r="B4248" s="42"/>
      <c r="C4248" s="42"/>
      <c r="D4248" s="42"/>
      <c r="E4248" s="42"/>
      <c r="F4248" s="42"/>
      <c r="G4248" s="42"/>
      <c r="H4248" s="42"/>
      <c r="I4248" s="42"/>
      <c r="J4248" s="42"/>
      <c r="K4248" s="42"/>
      <c r="L4248" s="42"/>
      <c r="M4248" s="42"/>
    </row>
    <row r="4249" spans="1:13" x14ac:dyDescent="0.2">
      <c r="A4249" s="42"/>
      <c r="B4249" s="42"/>
      <c r="C4249" s="42"/>
      <c r="D4249" s="42"/>
      <c r="E4249" s="42"/>
      <c r="F4249" s="42"/>
      <c r="G4249" s="42"/>
      <c r="H4249" s="42"/>
      <c r="I4249" s="42"/>
      <c r="J4249" s="42"/>
      <c r="K4249" s="42"/>
      <c r="L4249" s="42"/>
      <c r="M4249" s="42"/>
    </row>
    <row r="4250" spans="1:13" x14ac:dyDescent="0.2">
      <c r="A4250" s="42"/>
      <c r="B4250" s="42"/>
      <c r="C4250" s="42"/>
      <c r="D4250" s="42"/>
      <c r="E4250" s="42"/>
      <c r="F4250" s="42"/>
      <c r="G4250" s="42"/>
      <c r="H4250" s="42"/>
      <c r="I4250" s="42"/>
      <c r="J4250" s="42"/>
      <c r="K4250" s="42"/>
      <c r="L4250" s="42"/>
      <c r="M4250" s="42"/>
    </row>
    <row r="4251" spans="1:13" x14ac:dyDescent="0.2">
      <c r="A4251" s="42"/>
      <c r="B4251" s="42"/>
      <c r="C4251" s="42"/>
      <c r="D4251" s="42"/>
      <c r="E4251" s="42"/>
      <c r="F4251" s="42"/>
      <c r="G4251" s="42"/>
      <c r="H4251" s="42"/>
      <c r="I4251" s="42"/>
      <c r="J4251" s="42"/>
      <c r="K4251" s="42"/>
      <c r="L4251" s="42"/>
      <c r="M4251" s="42"/>
    </row>
    <row r="4252" spans="1:13" x14ac:dyDescent="0.2">
      <c r="A4252" s="42"/>
      <c r="B4252" s="42"/>
      <c r="C4252" s="42"/>
      <c r="D4252" s="42"/>
      <c r="E4252" s="42"/>
      <c r="F4252" s="42"/>
      <c r="G4252" s="42"/>
      <c r="H4252" s="42"/>
      <c r="I4252" s="42"/>
      <c r="J4252" s="42"/>
      <c r="K4252" s="42"/>
      <c r="L4252" s="42"/>
      <c r="M4252" s="42"/>
    </row>
    <row r="4253" spans="1:13" x14ac:dyDescent="0.2">
      <c r="A4253" s="42"/>
      <c r="B4253" s="42"/>
      <c r="C4253" s="42"/>
      <c r="D4253" s="42"/>
      <c r="E4253" s="42"/>
      <c r="F4253" s="42"/>
      <c r="G4253" s="42"/>
      <c r="H4253" s="42"/>
      <c r="I4253" s="42"/>
      <c r="J4253" s="42"/>
      <c r="K4253" s="42"/>
      <c r="L4253" s="42"/>
      <c r="M4253" s="42"/>
    </row>
    <row r="4254" spans="1:13" x14ac:dyDescent="0.2">
      <c r="A4254" s="42"/>
      <c r="B4254" s="42"/>
      <c r="C4254" s="42"/>
      <c r="D4254" s="42"/>
      <c r="E4254" s="42"/>
      <c r="F4254" s="42"/>
      <c r="G4254" s="42"/>
      <c r="H4254" s="42"/>
      <c r="I4254" s="42"/>
      <c r="J4254" s="42"/>
      <c r="K4254" s="42"/>
      <c r="L4254" s="42"/>
      <c r="M4254" s="42"/>
    </row>
    <row r="4255" spans="1:13" x14ac:dyDescent="0.2">
      <c r="A4255" s="42"/>
      <c r="B4255" s="42"/>
      <c r="C4255" s="42"/>
      <c r="D4255" s="42"/>
      <c r="E4255" s="42"/>
      <c r="F4255" s="42"/>
      <c r="G4255" s="42"/>
      <c r="H4255" s="42"/>
      <c r="I4255" s="42"/>
      <c r="J4255" s="42"/>
      <c r="K4255" s="42"/>
      <c r="L4255" s="42"/>
      <c r="M4255" s="42"/>
    </row>
    <row r="4256" spans="1:13" x14ac:dyDescent="0.2">
      <c r="A4256" s="42"/>
      <c r="B4256" s="42"/>
      <c r="C4256" s="42"/>
      <c r="D4256" s="42"/>
      <c r="E4256" s="42"/>
      <c r="F4256" s="42"/>
      <c r="G4256" s="42"/>
      <c r="H4256" s="42"/>
      <c r="I4256" s="42"/>
      <c r="J4256" s="42"/>
      <c r="K4256" s="42"/>
      <c r="L4256" s="42"/>
      <c r="M4256" s="42"/>
    </row>
    <row r="4257" spans="1:13" x14ac:dyDescent="0.2">
      <c r="A4257" s="42"/>
      <c r="B4257" s="42"/>
      <c r="C4257" s="42"/>
      <c r="D4257" s="42"/>
      <c r="E4257" s="42"/>
      <c r="F4257" s="42"/>
      <c r="G4257" s="42"/>
      <c r="H4257" s="42"/>
      <c r="I4257" s="42"/>
      <c r="J4257" s="42"/>
      <c r="K4257" s="42"/>
      <c r="L4257" s="42"/>
      <c r="M4257" s="42"/>
    </row>
    <row r="4258" spans="1:13" x14ac:dyDescent="0.2">
      <c r="A4258" s="42"/>
      <c r="B4258" s="42"/>
      <c r="C4258" s="42"/>
      <c r="D4258" s="42"/>
      <c r="E4258" s="42"/>
      <c r="F4258" s="42"/>
      <c r="G4258" s="42"/>
      <c r="H4258" s="42"/>
      <c r="I4258" s="42"/>
      <c r="J4258" s="42"/>
      <c r="K4258" s="42"/>
      <c r="L4258" s="42"/>
      <c r="M4258" s="42"/>
    </row>
    <row r="4259" spans="1:13" x14ac:dyDescent="0.2">
      <c r="A4259" s="42"/>
      <c r="B4259" s="42"/>
      <c r="C4259" s="42"/>
      <c r="D4259" s="42"/>
      <c r="E4259" s="42"/>
      <c r="F4259" s="42"/>
      <c r="G4259" s="42"/>
      <c r="H4259" s="42"/>
      <c r="I4259" s="42"/>
      <c r="J4259" s="42"/>
      <c r="K4259" s="42"/>
      <c r="L4259" s="42"/>
      <c r="M4259" s="42"/>
    </row>
    <row r="4260" spans="1:13" x14ac:dyDescent="0.2">
      <c r="A4260" s="42"/>
      <c r="B4260" s="42"/>
      <c r="C4260" s="42"/>
      <c r="D4260" s="42"/>
      <c r="E4260" s="42"/>
      <c r="F4260" s="42"/>
      <c r="G4260" s="42"/>
      <c r="H4260" s="42"/>
      <c r="I4260" s="42"/>
      <c r="J4260" s="42"/>
      <c r="K4260" s="42"/>
      <c r="L4260" s="42"/>
      <c r="M4260" s="42"/>
    </row>
    <row r="4261" spans="1:13" x14ac:dyDescent="0.2">
      <c r="A4261" s="42"/>
      <c r="B4261" s="42"/>
      <c r="C4261" s="42"/>
      <c r="D4261" s="42"/>
      <c r="E4261" s="42"/>
      <c r="F4261" s="42"/>
      <c r="G4261" s="42"/>
      <c r="H4261" s="42"/>
      <c r="I4261" s="42"/>
      <c r="J4261" s="42"/>
      <c r="K4261" s="42"/>
      <c r="L4261" s="42"/>
      <c r="M4261" s="42"/>
    </row>
    <row r="4262" spans="1:13" x14ac:dyDescent="0.2">
      <c r="A4262" s="42"/>
      <c r="B4262" s="42"/>
      <c r="C4262" s="42"/>
      <c r="D4262" s="42"/>
      <c r="E4262" s="42"/>
      <c r="F4262" s="42"/>
      <c r="G4262" s="42"/>
      <c r="H4262" s="42"/>
      <c r="I4262" s="42"/>
      <c r="J4262" s="42"/>
      <c r="K4262" s="42"/>
      <c r="L4262" s="42"/>
      <c r="M4262" s="42"/>
    </row>
    <row r="4263" spans="1:13" x14ac:dyDescent="0.2">
      <c r="A4263" s="42"/>
      <c r="B4263" s="42"/>
      <c r="C4263" s="42"/>
      <c r="D4263" s="42"/>
      <c r="E4263" s="42"/>
      <c r="F4263" s="42"/>
      <c r="G4263" s="42"/>
      <c r="H4263" s="42"/>
      <c r="I4263" s="42"/>
      <c r="J4263" s="42"/>
      <c r="K4263" s="42"/>
      <c r="L4263" s="42"/>
      <c r="M4263" s="42"/>
    </row>
    <row r="4264" spans="1:13" x14ac:dyDescent="0.2">
      <c r="A4264" s="42"/>
      <c r="B4264" s="42"/>
      <c r="C4264" s="42"/>
      <c r="D4264" s="42"/>
      <c r="E4264" s="42"/>
      <c r="F4264" s="42"/>
      <c r="G4264" s="42"/>
      <c r="H4264" s="42"/>
      <c r="I4264" s="42"/>
      <c r="J4264" s="42"/>
      <c r="K4264" s="42"/>
      <c r="L4264" s="42"/>
      <c r="M4264" s="42"/>
    </row>
    <row r="4265" spans="1:13" x14ac:dyDescent="0.2">
      <c r="A4265" s="42"/>
      <c r="B4265" s="42"/>
      <c r="C4265" s="42"/>
      <c r="D4265" s="42"/>
      <c r="E4265" s="42"/>
      <c r="F4265" s="42"/>
      <c r="G4265" s="42"/>
      <c r="H4265" s="42"/>
      <c r="I4265" s="42"/>
      <c r="J4265" s="42"/>
      <c r="K4265" s="42"/>
      <c r="L4265" s="42"/>
      <c r="M4265" s="42"/>
    </row>
    <row r="4266" spans="1:13" x14ac:dyDescent="0.2">
      <c r="A4266" s="42"/>
      <c r="B4266" s="42"/>
      <c r="C4266" s="42"/>
      <c r="D4266" s="42"/>
      <c r="E4266" s="42"/>
      <c r="F4266" s="42"/>
      <c r="G4266" s="42"/>
      <c r="H4266" s="42"/>
      <c r="I4266" s="42"/>
      <c r="J4266" s="42"/>
      <c r="K4266" s="42"/>
      <c r="L4266" s="42"/>
      <c r="M4266" s="42"/>
    </row>
    <row r="4267" spans="1:13" x14ac:dyDescent="0.2">
      <c r="A4267" s="42"/>
      <c r="B4267" s="42"/>
      <c r="C4267" s="42"/>
      <c r="D4267" s="42"/>
      <c r="E4267" s="42"/>
      <c r="F4267" s="42"/>
      <c r="G4267" s="42"/>
      <c r="H4267" s="42"/>
      <c r="I4267" s="42"/>
      <c r="J4267" s="42"/>
      <c r="K4267" s="42"/>
      <c r="L4267" s="42"/>
      <c r="M4267" s="42"/>
    </row>
    <row r="4268" spans="1:13" x14ac:dyDescent="0.2">
      <c r="A4268" s="42"/>
      <c r="B4268" s="42"/>
      <c r="C4268" s="42"/>
      <c r="D4268" s="42"/>
      <c r="E4268" s="42"/>
      <c r="F4268" s="42"/>
      <c r="G4268" s="42"/>
      <c r="H4268" s="42"/>
      <c r="I4268" s="42"/>
      <c r="J4268" s="42"/>
      <c r="K4268" s="42"/>
      <c r="L4268" s="42"/>
      <c r="M4268" s="42"/>
    </row>
    <row r="4269" spans="1:13" x14ac:dyDescent="0.2">
      <c r="A4269" s="42"/>
      <c r="B4269" s="42"/>
      <c r="C4269" s="42"/>
      <c r="D4269" s="42"/>
      <c r="E4269" s="42"/>
      <c r="F4269" s="42"/>
      <c r="G4269" s="42"/>
      <c r="H4269" s="42"/>
      <c r="I4269" s="42"/>
      <c r="J4269" s="42"/>
      <c r="K4269" s="42"/>
      <c r="L4269" s="42"/>
      <c r="M4269" s="42"/>
    </row>
    <row r="4270" spans="1:13" x14ac:dyDescent="0.2">
      <c r="A4270" s="42"/>
      <c r="B4270" s="42"/>
      <c r="C4270" s="42"/>
      <c r="D4270" s="42"/>
      <c r="E4270" s="42"/>
      <c r="F4270" s="42"/>
      <c r="G4270" s="42"/>
      <c r="H4270" s="42"/>
      <c r="I4270" s="42"/>
      <c r="J4270" s="42"/>
      <c r="K4270" s="42"/>
      <c r="L4270" s="42"/>
      <c r="M4270" s="42"/>
    </row>
    <row r="4271" spans="1:13" x14ac:dyDescent="0.2">
      <c r="A4271" s="42"/>
      <c r="B4271" s="42"/>
      <c r="C4271" s="42"/>
      <c r="D4271" s="42"/>
      <c r="E4271" s="42"/>
      <c r="F4271" s="42"/>
      <c r="G4271" s="42"/>
      <c r="H4271" s="42"/>
      <c r="I4271" s="42"/>
      <c r="J4271" s="42"/>
      <c r="K4271" s="42"/>
      <c r="L4271" s="42"/>
      <c r="M4271" s="42"/>
    </row>
    <row r="4272" spans="1:13" x14ac:dyDescent="0.2">
      <c r="A4272" s="42"/>
      <c r="B4272" s="42"/>
      <c r="C4272" s="42"/>
      <c r="D4272" s="42"/>
      <c r="E4272" s="42"/>
      <c r="F4272" s="42"/>
      <c r="G4272" s="42"/>
      <c r="H4272" s="42"/>
      <c r="I4272" s="42"/>
      <c r="J4272" s="42"/>
      <c r="K4272" s="42"/>
      <c r="L4272" s="42"/>
      <c r="M4272" s="42"/>
    </row>
    <row r="4273" spans="1:13" x14ac:dyDescent="0.2">
      <c r="A4273" s="42"/>
      <c r="B4273" s="42"/>
      <c r="C4273" s="42"/>
      <c r="D4273" s="42"/>
      <c r="E4273" s="42"/>
      <c r="F4273" s="42"/>
      <c r="G4273" s="42"/>
      <c r="H4273" s="42"/>
      <c r="I4273" s="42"/>
      <c r="J4273" s="42"/>
      <c r="K4273" s="42"/>
      <c r="L4273" s="42"/>
      <c r="M4273" s="42"/>
    </row>
    <row r="4274" spans="1:13" x14ac:dyDescent="0.2">
      <c r="A4274" s="42"/>
      <c r="B4274" s="42"/>
      <c r="C4274" s="42"/>
      <c r="D4274" s="42"/>
      <c r="E4274" s="42"/>
      <c r="F4274" s="42"/>
      <c r="G4274" s="42"/>
      <c r="H4274" s="42"/>
      <c r="I4274" s="42"/>
      <c r="J4274" s="42"/>
      <c r="K4274" s="42"/>
      <c r="L4274" s="42"/>
      <c r="M4274" s="42"/>
    </row>
    <row r="4275" spans="1:13" x14ac:dyDescent="0.2">
      <c r="A4275" s="42"/>
      <c r="B4275" s="42"/>
      <c r="C4275" s="42"/>
      <c r="D4275" s="42"/>
      <c r="E4275" s="42"/>
      <c r="F4275" s="42"/>
      <c r="G4275" s="42"/>
      <c r="H4275" s="42"/>
      <c r="I4275" s="42"/>
      <c r="J4275" s="42"/>
      <c r="K4275" s="42"/>
      <c r="L4275" s="42"/>
      <c r="M4275" s="42"/>
    </row>
    <row r="4276" spans="1:13" x14ac:dyDescent="0.2">
      <c r="A4276" s="42"/>
      <c r="B4276" s="42"/>
      <c r="C4276" s="42"/>
      <c r="D4276" s="42"/>
      <c r="E4276" s="42"/>
      <c r="F4276" s="42"/>
      <c r="G4276" s="42"/>
      <c r="H4276" s="42"/>
      <c r="I4276" s="42"/>
      <c r="J4276" s="42"/>
      <c r="K4276" s="42"/>
      <c r="L4276" s="42"/>
      <c r="M4276" s="42"/>
    </row>
    <row r="4277" spans="1:13" x14ac:dyDescent="0.2">
      <c r="A4277" s="42"/>
      <c r="B4277" s="42"/>
      <c r="C4277" s="42"/>
      <c r="D4277" s="42"/>
      <c r="E4277" s="42"/>
      <c r="F4277" s="42"/>
      <c r="G4277" s="42"/>
      <c r="H4277" s="42"/>
      <c r="I4277" s="42"/>
      <c r="J4277" s="42"/>
      <c r="K4277" s="42"/>
      <c r="L4277" s="42"/>
      <c r="M4277" s="42"/>
    </row>
    <row r="4278" spans="1:13" x14ac:dyDescent="0.2">
      <c r="A4278" s="42"/>
      <c r="B4278" s="42"/>
      <c r="C4278" s="42"/>
      <c r="D4278" s="42"/>
      <c r="E4278" s="42"/>
      <c r="F4278" s="42"/>
      <c r="G4278" s="42"/>
      <c r="H4278" s="42"/>
      <c r="I4278" s="42"/>
      <c r="J4278" s="42"/>
      <c r="K4278" s="42"/>
      <c r="L4278" s="42"/>
      <c r="M4278" s="42"/>
    </row>
    <row r="4279" spans="1:13" x14ac:dyDescent="0.2">
      <c r="A4279" s="42"/>
      <c r="B4279" s="42"/>
      <c r="C4279" s="42"/>
      <c r="D4279" s="42"/>
      <c r="E4279" s="42"/>
      <c r="F4279" s="42"/>
      <c r="G4279" s="42"/>
      <c r="H4279" s="42"/>
      <c r="I4279" s="42"/>
      <c r="J4279" s="42"/>
      <c r="K4279" s="42"/>
      <c r="L4279" s="42"/>
      <c r="M4279" s="42"/>
    </row>
    <row r="4280" spans="1:13" x14ac:dyDescent="0.2">
      <c r="A4280" s="42"/>
      <c r="B4280" s="42"/>
      <c r="C4280" s="42"/>
      <c r="D4280" s="42"/>
      <c r="E4280" s="42"/>
      <c r="F4280" s="42"/>
      <c r="G4280" s="42"/>
      <c r="H4280" s="42"/>
      <c r="I4280" s="42"/>
      <c r="J4280" s="42"/>
      <c r="K4280" s="42"/>
      <c r="L4280" s="42"/>
      <c r="M4280" s="42"/>
    </row>
    <row r="4281" spans="1:13" x14ac:dyDescent="0.2">
      <c r="A4281" s="42"/>
      <c r="B4281" s="42"/>
      <c r="C4281" s="42"/>
      <c r="D4281" s="42"/>
      <c r="E4281" s="42"/>
      <c r="F4281" s="42"/>
      <c r="G4281" s="42"/>
      <c r="H4281" s="42"/>
      <c r="I4281" s="42"/>
      <c r="J4281" s="42"/>
      <c r="K4281" s="42"/>
      <c r="L4281" s="42"/>
      <c r="M4281" s="42"/>
    </row>
    <row r="4282" spans="1:13" x14ac:dyDescent="0.2">
      <c r="A4282" s="42"/>
      <c r="B4282" s="42"/>
      <c r="C4282" s="42"/>
      <c r="D4282" s="42"/>
      <c r="E4282" s="42"/>
      <c r="F4282" s="42"/>
      <c r="G4282" s="42"/>
      <c r="H4282" s="42"/>
      <c r="I4282" s="42"/>
      <c r="J4282" s="42"/>
      <c r="K4282" s="42"/>
      <c r="L4282" s="42"/>
      <c r="M4282" s="42"/>
    </row>
    <row r="4283" spans="1:13" x14ac:dyDescent="0.2">
      <c r="A4283" s="42"/>
      <c r="B4283" s="42"/>
      <c r="C4283" s="42"/>
      <c r="D4283" s="42"/>
      <c r="E4283" s="42"/>
      <c r="F4283" s="42"/>
      <c r="G4283" s="42"/>
      <c r="H4283" s="42"/>
      <c r="I4283" s="42"/>
      <c r="J4283" s="42"/>
      <c r="K4283" s="42"/>
      <c r="L4283" s="42"/>
      <c r="M4283" s="42"/>
    </row>
    <row r="4284" spans="1:13" x14ac:dyDescent="0.2">
      <c r="A4284" s="42"/>
      <c r="B4284" s="42"/>
      <c r="C4284" s="42"/>
      <c r="D4284" s="42"/>
      <c r="E4284" s="42"/>
      <c r="F4284" s="42"/>
      <c r="G4284" s="42"/>
      <c r="H4284" s="42"/>
      <c r="I4284" s="42"/>
      <c r="J4284" s="42"/>
      <c r="K4284" s="42"/>
      <c r="L4284" s="42"/>
      <c r="M4284" s="42"/>
    </row>
    <row r="4285" spans="1:13" x14ac:dyDescent="0.2">
      <c r="A4285" s="42"/>
      <c r="B4285" s="42"/>
      <c r="C4285" s="42"/>
      <c r="D4285" s="42"/>
      <c r="E4285" s="42"/>
      <c r="F4285" s="42"/>
      <c r="G4285" s="42"/>
      <c r="H4285" s="42"/>
      <c r="I4285" s="42"/>
      <c r="J4285" s="42"/>
      <c r="K4285" s="42"/>
      <c r="L4285" s="42"/>
      <c r="M4285" s="42"/>
    </row>
    <row r="4286" spans="1:13" x14ac:dyDescent="0.2">
      <c r="A4286" s="42"/>
      <c r="B4286" s="42"/>
      <c r="C4286" s="42"/>
      <c r="D4286" s="42"/>
      <c r="E4286" s="42"/>
      <c r="F4286" s="42"/>
      <c r="G4286" s="42"/>
      <c r="H4286" s="42"/>
      <c r="I4286" s="42"/>
      <c r="J4286" s="42"/>
      <c r="K4286" s="42"/>
      <c r="L4286" s="42"/>
      <c r="M4286" s="42"/>
    </row>
    <row r="4287" spans="1:13" x14ac:dyDescent="0.2">
      <c r="A4287" s="42"/>
      <c r="B4287" s="42"/>
      <c r="C4287" s="42"/>
      <c r="D4287" s="42"/>
      <c r="E4287" s="42"/>
      <c r="F4287" s="42"/>
      <c r="G4287" s="42"/>
      <c r="H4287" s="42"/>
      <c r="I4287" s="42"/>
      <c r="J4287" s="42"/>
      <c r="K4287" s="42"/>
      <c r="L4287" s="42"/>
      <c r="M4287" s="42"/>
    </row>
    <row r="4288" spans="1:13" x14ac:dyDescent="0.2">
      <c r="A4288" s="42"/>
      <c r="B4288" s="42"/>
      <c r="C4288" s="42"/>
      <c r="D4288" s="42"/>
      <c r="E4288" s="42"/>
      <c r="F4288" s="42"/>
      <c r="G4288" s="42"/>
      <c r="H4288" s="42"/>
      <c r="I4288" s="42"/>
      <c r="J4288" s="42"/>
      <c r="K4288" s="42"/>
      <c r="L4288" s="42"/>
      <c r="M4288" s="42"/>
    </row>
    <row r="4289" spans="1:13" x14ac:dyDescent="0.2">
      <c r="A4289" s="42"/>
      <c r="B4289" s="42"/>
      <c r="C4289" s="42"/>
      <c r="D4289" s="42"/>
      <c r="E4289" s="42"/>
      <c r="F4289" s="42"/>
      <c r="G4289" s="42"/>
      <c r="H4289" s="42"/>
      <c r="I4289" s="42"/>
      <c r="J4289" s="42"/>
      <c r="K4289" s="42"/>
      <c r="L4289" s="42"/>
      <c r="M4289" s="42"/>
    </row>
    <row r="4290" spans="1:13" x14ac:dyDescent="0.2">
      <c r="A4290" s="42"/>
      <c r="B4290" s="42"/>
      <c r="C4290" s="42"/>
      <c r="D4290" s="42"/>
      <c r="E4290" s="42"/>
      <c r="F4290" s="42"/>
      <c r="G4290" s="42"/>
      <c r="H4290" s="42"/>
      <c r="I4290" s="42"/>
      <c r="J4290" s="42"/>
      <c r="K4290" s="42"/>
      <c r="L4290" s="42"/>
      <c r="M4290" s="42"/>
    </row>
    <row r="4291" spans="1:13" x14ac:dyDescent="0.2">
      <c r="A4291" s="42"/>
      <c r="B4291" s="42"/>
      <c r="C4291" s="42"/>
      <c r="D4291" s="42"/>
      <c r="E4291" s="42"/>
      <c r="F4291" s="42"/>
      <c r="G4291" s="42"/>
      <c r="H4291" s="42"/>
      <c r="I4291" s="42"/>
      <c r="J4291" s="42"/>
      <c r="K4291" s="42"/>
      <c r="L4291" s="42"/>
      <c r="M4291" s="42"/>
    </row>
    <row r="4292" spans="1:13" x14ac:dyDescent="0.2">
      <c r="A4292" s="42"/>
      <c r="B4292" s="42"/>
      <c r="C4292" s="42"/>
      <c r="D4292" s="42"/>
      <c r="E4292" s="42"/>
      <c r="F4292" s="42"/>
      <c r="G4292" s="42"/>
      <c r="H4292" s="42"/>
      <c r="I4292" s="42"/>
      <c r="J4292" s="42"/>
      <c r="K4292" s="42"/>
      <c r="L4292" s="42"/>
      <c r="M4292" s="42"/>
    </row>
    <row r="4293" spans="1:13" x14ac:dyDescent="0.2">
      <c r="A4293" s="42"/>
      <c r="B4293" s="42"/>
      <c r="C4293" s="42"/>
      <c r="D4293" s="42"/>
      <c r="E4293" s="42"/>
      <c r="F4293" s="42"/>
      <c r="G4293" s="42"/>
      <c r="H4293" s="42"/>
      <c r="I4293" s="42"/>
      <c r="J4293" s="42"/>
      <c r="K4293" s="42"/>
      <c r="L4293" s="42"/>
      <c r="M4293" s="42"/>
    </row>
    <row r="4294" spans="1:13" x14ac:dyDescent="0.2">
      <c r="A4294" s="42"/>
      <c r="B4294" s="42"/>
      <c r="C4294" s="42"/>
      <c r="D4294" s="42"/>
      <c r="E4294" s="42"/>
      <c r="F4294" s="42"/>
      <c r="G4294" s="42"/>
      <c r="H4294" s="42"/>
      <c r="I4294" s="42"/>
      <c r="J4294" s="42"/>
      <c r="K4294" s="42"/>
      <c r="L4294" s="42"/>
      <c r="M4294" s="42"/>
    </row>
    <row r="4295" spans="1:13" x14ac:dyDescent="0.2">
      <c r="A4295" s="42"/>
      <c r="B4295" s="42"/>
      <c r="C4295" s="42"/>
      <c r="D4295" s="42"/>
      <c r="E4295" s="42"/>
      <c r="F4295" s="42"/>
      <c r="G4295" s="42"/>
      <c r="H4295" s="42"/>
      <c r="I4295" s="42"/>
      <c r="J4295" s="42"/>
      <c r="K4295" s="42"/>
      <c r="L4295" s="42"/>
      <c r="M4295" s="42"/>
    </row>
    <row r="4296" spans="1:13" x14ac:dyDescent="0.2">
      <c r="A4296" s="42"/>
      <c r="B4296" s="42"/>
      <c r="C4296" s="42"/>
      <c r="D4296" s="42"/>
      <c r="E4296" s="42"/>
      <c r="F4296" s="42"/>
      <c r="G4296" s="42"/>
      <c r="H4296" s="42"/>
      <c r="I4296" s="42"/>
      <c r="J4296" s="42"/>
      <c r="K4296" s="42"/>
      <c r="L4296" s="42"/>
      <c r="M4296" s="42"/>
    </row>
    <row r="4297" spans="1:13" x14ac:dyDescent="0.2">
      <c r="A4297" s="42"/>
      <c r="B4297" s="42"/>
      <c r="C4297" s="42"/>
      <c r="D4297" s="42"/>
      <c r="E4297" s="42"/>
      <c r="F4297" s="42"/>
      <c r="G4297" s="42"/>
      <c r="H4297" s="42"/>
      <c r="I4297" s="42"/>
      <c r="J4297" s="42"/>
      <c r="K4297" s="42"/>
      <c r="L4297" s="42"/>
      <c r="M4297" s="42"/>
    </row>
    <row r="4298" spans="1:13" x14ac:dyDescent="0.2">
      <c r="A4298" s="42"/>
      <c r="B4298" s="42"/>
      <c r="C4298" s="42"/>
      <c r="D4298" s="42"/>
      <c r="E4298" s="42"/>
      <c r="F4298" s="42"/>
      <c r="G4298" s="42"/>
      <c r="H4298" s="42"/>
      <c r="I4298" s="42"/>
      <c r="J4298" s="42"/>
      <c r="K4298" s="42"/>
      <c r="L4298" s="42"/>
      <c r="M4298" s="42"/>
    </row>
    <row r="4299" spans="1:13" x14ac:dyDescent="0.2">
      <c r="A4299" s="42"/>
      <c r="B4299" s="42"/>
      <c r="C4299" s="42"/>
      <c r="D4299" s="42"/>
      <c r="E4299" s="42"/>
      <c r="F4299" s="42"/>
      <c r="G4299" s="42"/>
      <c r="H4299" s="42"/>
      <c r="I4299" s="42"/>
      <c r="J4299" s="42"/>
      <c r="K4299" s="42"/>
      <c r="L4299" s="42"/>
      <c r="M4299" s="42"/>
    </row>
    <row r="4300" spans="1:13" x14ac:dyDescent="0.2">
      <c r="A4300" s="42"/>
      <c r="B4300" s="42"/>
      <c r="C4300" s="42"/>
      <c r="D4300" s="42"/>
      <c r="E4300" s="42"/>
      <c r="F4300" s="42"/>
      <c r="G4300" s="42"/>
      <c r="H4300" s="42"/>
      <c r="I4300" s="42"/>
      <c r="J4300" s="42"/>
      <c r="K4300" s="42"/>
      <c r="L4300" s="42"/>
      <c r="M4300" s="42"/>
    </row>
    <row r="4301" spans="1:13" x14ac:dyDescent="0.2">
      <c r="A4301" s="42"/>
      <c r="B4301" s="42"/>
      <c r="C4301" s="42"/>
      <c r="D4301" s="42"/>
      <c r="E4301" s="42"/>
      <c r="F4301" s="42"/>
      <c r="G4301" s="42"/>
      <c r="H4301" s="42"/>
      <c r="I4301" s="42"/>
      <c r="J4301" s="42"/>
      <c r="K4301" s="42"/>
      <c r="L4301" s="42"/>
      <c r="M4301" s="42"/>
    </row>
    <row r="4302" spans="1:13" x14ac:dyDescent="0.2">
      <c r="A4302" s="42"/>
      <c r="B4302" s="42"/>
      <c r="C4302" s="42"/>
      <c r="D4302" s="42"/>
      <c r="E4302" s="42"/>
      <c r="F4302" s="42"/>
      <c r="G4302" s="42"/>
      <c r="H4302" s="42"/>
      <c r="I4302" s="42"/>
      <c r="J4302" s="42"/>
      <c r="K4302" s="42"/>
      <c r="L4302" s="42"/>
      <c r="M4302" s="42"/>
    </row>
    <row r="4303" spans="1:13" x14ac:dyDescent="0.2">
      <c r="A4303" s="42"/>
      <c r="B4303" s="42"/>
      <c r="C4303" s="42"/>
      <c r="D4303" s="42"/>
      <c r="E4303" s="42"/>
      <c r="F4303" s="42"/>
      <c r="G4303" s="42"/>
      <c r="H4303" s="42"/>
      <c r="I4303" s="42"/>
      <c r="J4303" s="42"/>
      <c r="K4303" s="42"/>
      <c r="L4303" s="42"/>
      <c r="M4303" s="42"/>
    </row>
    <row r="4304" spans="1:13" x14ac:dyDescent="0.2">
      <c r="A4304" s="42"/>
      <c r="B4304" s="42"/>
      <c r="C4304" s="42"/>
      <c r="D4304" s="42"/>
      <c r="E4304" s="42"/>
      <c r="F4304" s="42"/>
      <c r="G4304" s="42"/>
      <c r="H4304" s="42"/>
      <c r="I4304" s="42"/>
      <c r="J4304" s="42"/>
      <c r="K4304" s="42"/>
      <c r="L4304" s="42"/>
      <c r="M4304" s="42"/>
    </row>
    <row r="4305" spans="1:13" x14ac:dyDescent="0.2">
      <c r="A4305" s="42"/>
      <c r="B4305" s="42"/>
      <c r="C4305" s="42"/>
      <c r="D4305" s="42"/>
      <c r="E4305" s="42"/>
      <c r="F4305" s="42"/>
      <c r="G4305" s="42"/>
      <c r="H4305" s="42"/>
      <c r="I4305" s="42"/>
      <c r="J4305" s="42"/>
      <c r="K4305" s="42"/>
      <c r="L4305" s="42"/>
      <c r="M4305" s="42"/>
    </row>
    <row r="4306" spans="1:13" x14ac:dyDescent="0.2">
      <c r="A4306" s="42"/>
      <c r="B4306" s="42"/>
      <c r="C4306" s="42"/>
      <c r="D4306" s="42"/>
      <c r="E4306" s="42"/>
      <c r="F4306" s="42"/>
      <c r="G4306" s="42"/>
      <c r="H4306" s="42"/>
      <c r="I4306" s="42"/>
      <c r="J4306" s="42"/>
      <c r="K4306" s="42"/>
      <c r="L4306" s="42"/>
      <c r="M4306" s="42"/>
    </row>
    <row r="4307" spans="1:13" x14ac:dyDescent="0.2">
      <c r="A4307" s="42"/>
      <c r="B4307" s="42"/>
      <c r="C4307" s="42"/>
      <c r="D4307" s="42"/>
      <c r="E4307" s="42"/>
      <c r="F4307" s="42"/>
      <c r="G4307" s="42"/>
      <c r="H4307" s="42"/>
      <c r="I4307" s="42"/>
      <c r="J4307" s="42"/>
      <c r="K4307" s="42"/>
      <c r="L4307" s="42"/>
      <c r="M4307" s="42"/>
    </row>
    <row r="4308" spans="1:13" x14ac:dyDescent="0.2">
      <c r="A4308" s="42"/>
      <c r="B4308" s="42"/>
      <c r="C4308" s="42"/>
      <c r="D4308" s="42"/>
      <c r="E4308" s="42"/>
      <c r="F4308" s="42"/>
      <c r="G4308" s="42"/>
      <c r="H4308" s="42"/>
      <c r="I4308" s="42"/>
      <c r="J4308" s="42"/>
      <c r="K4308" s="42"/>
      <c r="L4308" s="42"/>
      <c r="M4308" s="42"/>
    </row>
    <row r="4309" spans="1:13" x14ac:dyDescent="0.2">
      <c r="A4309" s="42"/>
      <c r="B4309" s="42"/>
      <c r="C4309" s="42"/>
      <c r="D4309" s="42"/>
      <c r="E4309" s="42"/>
      <c r="F4309" s="42"/>
      <c r="G4309" s="42"/>
      <c r="H4309" s="42"/>
      <c r="I4309" s="42"/>
      <c r="J4309" s="42"/>
      <c r="K4309" s="42"/>
      <c r="L4309" s="42"/>
      <c r="M4309" s="42"/>
    </row>
    <row r="4310" spans="1:13" x14ac:dyDescent="0.2">
      <c r="A4310" s="42"/>
      <c r="B4310" s="42"/>
      <c r="C4310" s="42"/>
      <c r="D4310" s="42"/>
      <c r="E4310" s="42"/>
      <c r="F4310" s="42"/>
      <c r="G4310" s="42"/>
      <c r="H4310" s="42"/>
      <c r="I4310" s="42"/>
      <c r="J4310" s="42"/>
      <c r="K4310" s="42"/>
      <c r="L4310" s="42"/>
      <c r="M4310" s="42"/>
    </row>
    <row r="4311" spans="1:13" x14ac:dyDescent="0.2">
      <c r="A4311" s="42"/>
      <c r="B4311" s="42"/>
      <c r="C4311" s="42"/>
      <c r="D4311" s="42"/>
      <c r="E4311" s="42"/>
      <c r="F4311" s="42"/>
      <c r="G4311" s="42"/>
      <c r="H4311" s="42"/>
      <c r="I4311" s="42"/>
      <c r="J4311" s="42"/>
      <c r="K4311" s="42"/>
      <c r="L4311" s="42"/>
      <c r="M4311" s="42"/>
    </row>
  </sheetData>
  <phoneticPr fontId="44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AI160"/>
  <sheetViews>
    <sheetView topLeftCell="A112" zoomScale="55" workbookViewId="0">
      <selection activeCell="C8" sqref="C8"/>
    </sheetView>
  </sheetViews>
  <sheetFormatPr defaultRowHeight="12.75" x14ac:dyDescent="0.2"/>
  <cols>
    <col min="1" max="1" width="10" customWidth="1"/>
    <col min="2" max="2" width="12.5703125" bestFit="1" customWidth="1"/>
    <col min="3" max="3" width="10" customWidth="1"/>
    <col min="4" max="5" width="10.5703125" bestFit="1" customWidth="1"/>
    <col min="6" max="6" width="9.42578125" customWidth="1"/>
    <col min="7" max="7" width="11" customWidth="1"/>
    <col min="8" max="8" width="10.28515625" bestFit="1" customWidth="1"/>
    <col min="12" max="12" width="9.28515625" bestFit="1" customWidth="1"/>
    <col min="13" max="13" width="9.42578125" customWidth="1"/>
    <col min="14" max="14" width="9.85546875" customWidth="1"/>
    <col min="15" max="15" width="8.85546875" customWidth="1"/>
    <col min="16" max="18" width="8.5703125" customWidth="1"/>
    <col min="19" max="19" width="9.28515625" bestFit="1" customWidth="1"/>
    <col min="21" max="22" width="9.28515625" bestFit="1" customWidth="1"/>
  </cols>
  <sheetData>
    <row r="1" spans="1:35" ht="19.5" customHeight="1" x14ac:dyDescent="0.35">
      <c r="C1" s="409"/>
      <c r="M1" s="18"/>
      <c r="N1" s="18"/>
      <c r="O1" s="18"/>
      <c r="P1" s="18"/>
      <c r="Q1" s="18"/>
      <c r="R1" s="18"/>
    </row>
    <row r="2" spans="1:35" ht="9.75" customHeight="1" x14ac:dyDescent="0.35">
      <c r="C2" s="409"/>
      <c r="M2" s="18"/>
      <c r="N2" s="18"/>
      <c r="O2" s="18"/>
      <c r="P2" s="18"/>
      <c r="Q2" s="18"/>
      <c r="R2" s="18"/>
    </row>
    <row r="3" spans="1:35" ht="19.5" customHeight="1" x14ac:dyDescent="0.3">
      <c r="B3" s="410" t="s">
        <v>592</v>
      </c>
      <c r="C3" s="411"/>
      <c r="H3" s="412" t="s">
        <v>593</v>
      </c>
      <c r="I3" s="413"/>
      <c r="J3" s="413"/>
      <c r="K3" s="412">
        <v>1500</v>
      </c>
      <c r="O3" s="18"/>
      <c r="P3" s="18"/>
      <c r="Q3" s="18"/>
      <c r="R3" s="18"/>
    </row>
    <row r="4" spans="1:35" ht="18.75" x14ac:dyDescent="0.3">
      <c r="B4" s="411" t="s">
        <v>8</v>
      </c>
      <c r="C4" s="420">
        <f>'Расчет при 1400 С (про)'!C4</f>
        <v>36.930450887031938</v>
      </c>
      <c r="I4" s="415" t="s">
        <v>594</v>
      </c>
      <c r="K4" s="416"/>
      <c r="M4" s="18"/>
      <c r="N4" s="18"/>
      <c r="O4" s="18"/>
      <c r="P4" s="18"/>
      <c r="Q4" s="18"/>
      <c r="R4" s="18"/>
      <c r="W4" s="417" t="s">
        <v>595</v>
      </c>
      <c r="X4" s="42"/>
      <c r="Y4" s="42"/>
      <c r="Z4" s="42"/>
    </row>
    <row r="5" spans="1:35" ht="18.75" x14ac:dyDescent="0.3">
      <c r="B5" s="411" t="s">
        <v>6</v>
      </c>
      <c r="C5" s="420">
        <f>'Расчет при 1400 С (про)'!C5</f>
        <v>36.75374827258797</v>
      </c>
      <c r="G5" s="416"/>
      <c r="H5" s="412" t="s">
        <v>596</v>
      </c>
      <c r="I5" s="412"/>
      <c r="J5" s="418"/>
      <c r="K5" s="418">
        <v>12</v>
      </c>
      <c r="L5" s="331"/>
      <c r="M5" s="419"/>
      <c r="N5" s="419"/>
      <c r="O5" s="419"/>
      <c r="P5" s="419"/>
      <c r="Q5" s="419"/>
      <c r="R5" s="419"/>
    </row>
    <row r="6" spans="1:35" ht="18.75" x14ac:dyDescent="0.3">
      <c r="B6" s="411" t="s">
        <v>9</v>
      </c>
      <c r="C6" s="420">
        <f>'Расчет при 1400 С (про)'!C6</f>
        <v>9.1590619531119692</v>
      </c>
      <c r="G6" s="416"/>
      <c r="H6" s="421"/>
      <c r="I6" s="421"/>
      <c r="J6" s="422"/>
      <c r="K6" s="422"/>
      <c r="L6" s="423"/>
      <c r="M6" s="419"/>
      <c r="N6" s="419"/>
      <c r="O6" s="419"/>
      <c r="P6" s="419"/>
      <c r="Q6" s="419"/>
      <c r="R6" s="419"/>
    </row>
    <row r="7" spans="1:35" ht="15.75" x14ac:dyDescent="0.25">
      <c r="B7" s="411" t="s">
        <v>7</v>
      </c>
      <c r="C7" s="420">
        <f>'Расчет при 1400 С (про)'!C7</f>
        <v>12.967515306414976</v>
      </c>
      <c r="M7" s="57"/>
      <c r="N7" s="57"/>
      <c r="O7" s="57"/>
      <c r="P7" s="57"/>
      <c r="Q7" s="57"/>
      <c r="R7" s="57"/>
    </row>
    <row r="8" spans="1:35" ht="15" x14ac:dyDescent="0.2">
      <c r="B8" s="399"/>
      <c r="C8" s="424"/>
      <c r="M8" s="57"/>
      <c r="N8" s="57"/>
      <c r="O8" s="57"/>
      <c r="P8" s="57"/>
      <c r="Q8" s="57"/>
      <c r="R8" s="57"/>
    </row>
    <row r="9" spans="1:35" ht="15.75" x14ac:dyDescent="0.25">
      <c r="B9" s="411" t="s">
        <v>75</v>
      </c>
      <c r="C9" s="414">
        <f>'Расчет при 1400 С (про)'!C9</f>
        <v>1.0048077440464966</v>
      </c>
      <c r="M9" s="57"/>
      <c r="N9" s="57"/>
      <c r="O9" s="57"/>
      <c r="P9" s="57"/>
      <c r="Q9" s="57"/>
      <c r="R9" s="57"/>
    </row>
    <row r="10" spans="1:35" x14ac:dyDescent="0.2">
      <c r="A10" s="425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6"/>
      <c r="N10" s="426"/>
      <c r="O10" s="426"/>
      <c r="P10" s="426"/>
      <c r="Q10" s="426"/>
      <c r="R10" s="426"/>
      <c r="S10" s="425"/>
    </row>
    <row r="11" spans="1:35" x14ac:dyDescent="0.2">
      <c r="A11" s="425"/>
      <c r="B11" s="425"/>
      <c r="C11" s="425"/>
      <c r="D11" s="425"/>
      <c r="E11" s="425"/>
      <c r="F11" s="425"/>
      <c r="G11" s="425"/>
      <c r="H11" s="425"/>
      <c r="I11" s="425"/>
      <c r="J11" s="425"/>
      <c r="K11" s="425"/>
      <c r="L11" s="425"/>
      <c r="M11" s="425"/>
      <c r="N11" s="425"/>
      <c r="O11" s="425"/>
      <c r="P11" s="425"/>
      <c r="Q11" s="425"/>
      <c r="R11" s="425"/>
      <c r="S11" s="425"/>
    </row>
    <row r="12" spans="1:35" x14ac:dyDescent="0.2">
      <c r="A12" s="427" t="s">
        <v>597</v>
      </c>
      <c r="B12" s="425"/>
      <c r="C12" s="428" t="s">
        <v>598</v>
      </c>
      <c r="D12" s="429">
        <v>15</v>
      </c>
      <c r="E12" s="425"/>
      <c r="F12" s="425"/>
      <c r="G12" s="425"/>
      <c r="H12" s="425"/>
      <c r="I12" s="425"/>
      <c r="J12" s="425"/>
      <c r="K12" s="425"/>
      <c r="L12" s="427" t="s">
        <v>597</v>
      </c>
      <c r="M12" s="425"/>
      <c r="N12" s="428" t="s">
        <v>598</v>
      </c>
      <c r="O12" s="429">
        <v>5</v>
      </c>
      <c r="P12" s="425"/>
      <c r="Q12" s="425"/>
      <c r="R12" s="425"/>
      <c r="S12" s="425"/>
      <c r="U12" s="356" t="s">
        <v>597</v>
      </c>
      <c r="V12" s="13"/>
      <c r="W12" s="430" t="s">
        <v>598</v>
      </c>
      <c r="X12" s="431">
        <v>5</v>
      </c>
      <c r="AC12" s="356" t="s">
        <v>597</v>
      </c>
      <c r="AD12" s="13"/>
      <c r="AE12" s="430" t="s">
        <v>598</v>
      </c>
      <c r="AF12" s="431">
        <v>15</v>
      </c>
    </row>
    <row r="13" spans="1:35" x14ac:dyDescent="0.2">
      <c r="A13" s="425"/>
      <c r="B13" s="425" t="s">
        <v>75</v>
      </c>
      <c r="C13" s="425"/>
      <c r="D13" s="425"/>
      <c r="E13" s="425"/>
      <c r="F13" s="425"/>
      <c r="G13" s="443" t="s">
        <v>599</v>
      </c>
      <c r="H13" s="425" t="s">
        <v>64</v>
      </c>
      <c r="I13" s="425"/>
      <c r="J13" s="425"/>
      <c r="K13" s="425"/>
      <c r="L13" s="425"/>
      <c r="M13" s="425" t="s">
        <v>75</v>
      </c>
      <c r="N13" s="425"/>
      <c r="O13" s="425"/>
      <c r="P13" s="425"/>
      <c r="Q13" s="425"/>
      <c r="R13" s="425" t="s">
        <v>599</v>
      </c>
      <c r="S13" s="425" t="s">
        <v>64</v>
      </c>
      <c r="Z13" t="s">
        <v>599</v>
      </c>
      <c r="AA13" t="s">
        <v>64</v>
      </c>
      <c r="AH13" t="s">
        <v>599</v>
      </c>
      <c r="AI13" t="s">
        <v>64</v>
      </c>
    </row>
    <row r="14" spans="1:35" x14ac:dyDescent="0.2">
      <c r="A14" s="425"/>
      <c r="B14" s="432">
        <v>0.8</v>
      </c>
      <c r="C14" s="432">
        <f t="shared" ref="C14:C19" si="0">B14^2</f>
        <v>0.64000000000000012</v>
      </c>
      <c r="D14" s="432">
        <f t="shared" ref="D14:D19" si="1">B14^3</f>
        <v>0.51200000000000012</v>
      </c>
      <c r="E14" s="432">
        <f t="shared" ref="E14:E19" si="2">B14^4</f>
        <v>0.40960000000000019</v>
      </c>
      <c r="F14" s="432">
        <f t="shared" ref="F14:F19" si="3">B14^5</f>
        <v>0.32768000000000019</v>
      </c>
      <c r="G14" s="433">
        <v>2.5</v>
      </c>
      <c r="H14" s="426">
        <f t="shared" ref="H14:H19" si="4">$G$20+$F$20*B14+$E$20*C14+$D$20*D14+$C$20*E14+$B$20*F14</f>
        <v>2.4999999999983089</v>
      </c>
      <c r="I14" s="425"/>
      <c r="J14" s="425"/>
      <c r="K14" s="425"/>
      <c r="L14" s="425"/>
      <c r="M14" s="432">
        <v>0.8</v>
      </c>
      <c r="N14" s="432">
        <f t="shared" ref="N14:N19" si="5">M14^2</f>
        <v>0.64000000000000012</v>
      </c>
      <c r="O14" s="432">
        <f t="shared" ref="O14:O19" si="6">M14^3</f>
        <v>0.51200000000000012</v>
      </c>
      <c r="P14" s="432">
        <f t="shared" ref="P14:P19" si="7">M14^4</f>
        <v>0.40960000000000019</v>
      </c>
      <c r="Q14" s="432">
        <f t="shared" ref="Q14:Q19" si="8">M14^5</f>
        <v>0.32768000000000019</v>
      </c>
      <c r="R14" s="433">
        <v>6</v>
      </c>
      <c r="S14" s="426">
        <f t="shared" ref="S14:S19" si="9">$R$20+$Q$20*M14+$P$20*N14+$O$20*O14+$N$20*P14+$M$20*Q14</f>
        <v>5.9999999999363354</v>
      </c>
      <c r="V14" s="18">
        <v>0.8</v>
      </c>
      <c r="W14" s="18">
        <f>V14^2</f>
        <v>0.64000000000000012</v>
      </c>
      <c r="X14" s="18">
        <f>V14^3</f>
        <v>0.51200000000000012</v>
      </c>
      <c r="Y14" s="18">
        <f>V14^4</f>
        <v>0.40960000000000019</v>
      </c>
      <c r="Z14" s="23">
        <v>6</v>
      </c>
      <c r="AA14" s="23">
        <f>$Z$20+$Y$20*V14+$X$20*W14+$W$20*X14+$V$20*Y14</f>
        <v>5.9999999999936335</v>
      </c>
      <c r="AD14" s="18">
        <v>0.8</v>
      </c>
      <c r="AE14" s="18">
        <f>AD14^2</f>
        <v>0.64000000000000012</v>
      </c>
      <c r="AF14" s="18">
        <f>AD14^3</f>
        <v>0.51200000000000012</v>
      </c>
      <c r="AG14" s="18">
        <f>AD14^4</f>
        <v>0.40960000000000019</v>
      </c>
      <c r="AH14" s="23">
        <v>2.5</v>
      </c>
      <c r="AI14" s="23">
        <f>$AH$20+$AG$20*AD14+$AF$20*AE14+$AE$20*AF14+$AD$20*AG14</f>
        <v>2.5</v>
      </c>
    </row>
    <row r="15" spans="1:35" x14ac:dyDescent="0.2">
      <c r="A15" s="427">
        <v>1500</v>
      </c>
      <c r="B15" s="432">
        <v>0.9</v>
      </c>
      <c r="C15" s="432">
        <f t="shared" si="0"/>
        <v>0.81</v>
      </c>
      <c r="D15" s="432">
        <f t="shared" si="1"/>
        <v>0.72900000000000009</v>
      </c>
      <c r="E15" s="432">
        <f t="shared" si="2"/>
        <v>0.65610000000000013</v>
      </c>
      <c r="F15" s="432">
        <f t="shared" si="3"/>
        <v>0.59049000000000018</v>
      </c>
      <c r="G15" s="433">
        <v>2.5</v>
      </c>
      <c r="H15" s="426">
        <f t="shared" si="4"/>
        <v>2.4999999999990337</v>
      </c>
      <c r="I15" s="425"/>
      <c r="J15" s="425"/>
      <c r="K15" s="425"/>
      <c r="L15" s="427">
        <v>1500</v>
      </c>
      <c r="M15" s="432">
        <v>0.9</v>
      </c>
      <c r="N15" s="432">
        <f t="shared" si="5"/>
        <v>0.81</v>
      </c>
      <c r="O15" s="432">
        <f t="shared" si="6"/>
        <v>0.72900000000000009</v>
      </c>
      <c r="P15" s="432">
        <f t="shared" si="7"/>
        <v>0.65610000000000013</v>
      </c>
      <c r="Q15" s="432">
        <f t="shared" si="8"/>
        <v>0.59049000000000018</v>
      </c>
      <c r="R15" s="433">
        <v>6</v>
      </c>
      <c r="S15" s="426">
        <f t="shared" si="9"/>
        <v>5.9999999999272404</v>
      </c>
      <c r="U15" s="356">
        <v>1500</v>
      </c>
      <c r="V15" s="18">
        <v>0.9</v>
      </c>
      <c r="W15" s="18">
        <f>V15^2</f>
        <v>0.81</v>
      </c>
      <c r="X15" s="18">
        <f>V15^3</f>
        <v>0.72900000000000009</v>
      </c>
      <c r="Y15" s="18">
        <f>V15^4</f>
        <v>0.65610000000000013</v>
      </c>
      <c r="Z15" s="23">
        <v>6</v>
      </c>
      <c r="AA15" s="23">
        <f>$Z$20+$Y$20*V15+$X$20*W15+$W$20*X15+$V$20*Y15</f>
        <v>5.9999999999918145</v>
      </c>
      <c r="AC15" s="356">
        <v>1500</v>
      </c>
      <c r="AD15" s="18">
        <v>0.9</v>
      </c>
      <c r="AE15" s="18">
        <f>AD15^2</f>
        <v>0.81</v>
      </c>
      <c r="AF15" s="18">
        <f>AD15^3</f>
        <v>0.72900000000000009</v>
      </c>
      <c r="AG15" s="18">
        <f>AD15^4</f>
        <v>0.65610000000000013</v>
      </c>
      <c r="AH15" s="23">
        <v>2.5</v>
      </c>
      <c r="AI15" s="23">
        <f>$AH$20+$AG$20*AD15+$AF$20*AE15+$AE$20*AF15+$AD$20*AG15</f>
        <v>2.4999999999997158</v>
      </c>
    </row>
    <row r="16" spans="1:35" x14ac:dyDescent="0.2">
      <c r="A16" s="425"/>
      <c r="B16" s="432">
        <v>1</v>
      </c>
      <c r="C16" s="432">
        <f t="shared" si="0"/>
        <v>1</v>
      </c>
      <c r="D16" s="432">
        <f t="shared" si="1"/>
        <v>1</v>
      </c>
      <c r="E16" s="432">
        <f t="shared" si="2"/>
        <v>1</v>
      </c>
      <c r="F16" s="432">
        <f t="shared" si="3"/>
        <v>1</v>
      </c>
      <c r="G16" s="433">
        <v>2.5</v>
      </c>
      <c r="H16" s="426">
        <f t="shared" si="4"/>
        <v>2.4999999999990337</v>
      </c>
      <c r="I16" s="425"/>
      <c r="J16" s="425"/>
      <c r="K16" s="425"/>
      <c r="L16" s="425"/>
      <c r="M16" s="432">
        <v>1</v>
      </c>
      <c r="N16" s="432">
        <f t="shared" si="5"/>
        <v>1</v>
      </c>
      <c r="O16" s="432">
        <f t="shared" si="6"/>
        <v>1</v>
      </c>
      <c r="P16" s="432">
        <f t="shared" si="7"/>
        <v>1</v>
      </c>
      <c r="Q16" s="432">
        <f t="shared" si="8"/>
        <v>1</v>
      </c>
      <c r="R16" s="433">
        <v>6</v>
      </c>
      <c r="S16" s="426">
        <f t="shared" si="9"/>
        <v>5.9999999999199645</v>
      </c>
      <c r="V16" s="18">
        <v>1</v>
      </c>
      <c r="W16" s="18">
        <f>V16^2</f>
        <v>1</v>
      </c>
      <c r="X16" s="18">
        <f>V16^3</f>
        <v>1</v>
      </c>
      <c r="Y16" s="18">
        <f>V16^4</f>
        <v>1</v>
      </c>
      <c r="Z16" s="23">
        <v>6</v>
      </c>
      <c r="AA16" s="23">
        <f>$Z$20+$Y$20*V16+$X$20*W16+$W$20*X16+$V$20*Y16</f>
        <v>5.999999999992724</v>
      </c>
      <c r="AD16" s="18">
        <v>1</v>
      </c>
      <c r="AE16" s="18">
        <f>AD16^2</f>
        <v>1</v>
      </c>
      <c r="AF16" s="18">
        <f>AD16^3</f>
        <v>1</v>
      </c>
      <c r="AG16" s="18">
        <f>AD16^4</f>
        <v>1</v>
      </c>
      <c r="AH16" s="23">
        <v>2.5</v>
      </c>
      <c r="AI16" s="23">
        <f>$AH$20+$AG$20*AD16+$AF$20*AE16+$AE$20*AF16+$AD$20*AG16</f>
        <v>2.4999999999998295</v>
      </c>
    </row>
    <row r="17" spans="1:35" x14ac:dyDescent="0.2">
      <c r="A17" s="425"/>
      <c r="B17" s="432">
        <v>1.07</v>
      </c>
      <c r="C17" s="432">
        <f t="shared" si="0"/>
        <v>1.1449</v>
      </c>
      <c r="D17" s="432">
        <f t="shared" si="1"/>
        <v>1.2250430000000001</v>
      </c>
      <c r="E17" s="432">
        <f t="shared" si="2"/>
        <v>1.31079601</v>
      </c>
      <c r="F17" s="432">
        <f t="shared" si="3"/>
        <v>1.4025517307000002</v>
      </c>
      <c r="G17" s="433">
        <v>2.2999999999999998</v>
      </c>
      <c r="H17" s="426">
        <f t="shared" si="4"/>
        <v>2.2999999999984766</v>
      </c>
      <c r="I17" s="425"/>
      <c r="J17" s="425"/>
      <c r="K17" s="425"/>
      <c r="L17" s="425"/>
      <c r="M17" s="432">
        <v>1.07</v>
      </c>
      <c r="N17" s="432">
        <f t="shared" si="5"/>
        <v>1.1449</v>
      </c>
      <c r="O17" s="432">
        <f t="shared" si="6"/>
        <v>1.2250430000000001</v>
      </c>
      <c r="P17" s="432">
        <f t="shared" si="7"/>
        <v>1.31079601</v>
      </c>
      <c r="Q17" s="432">
        <f t="shared" si="8"/>
        <v>1.4025517307000002</v>
      </c>
      <c r="R17" s="433">
        <v>4</v>
      </c>
      <c r="S17" s="426">
        <f t="shared" si="9"/>
        <v>3.9999999999199645</v>
      </c>
      <c r="V17" s="18">
        <v>1.07</v>
      </c>
      <c r="W17" s="18">
        <f>V17^2</f>
        <v>1.1449</v>
      </c>
      <c r="X17" s="18">
        <f>V17^3</f>
        <v>1.2250430000000001</v>
      </c>
      <c r="Y17" s="18">
        <f>V17^4</f>
        <v>1.31079601</v>
      </c>
      <c r="Z17" s="23">
        <v>4</v>
      </c>
      <c r="AA17" s="23">
        <f>$Z$20+$Y$20*V17+$X$20*W17+$W$20*X17+$V$20*Y17</f>
        <v>3.999999999992724</v>
      </c>
      <c r="AD17" s="18">
        <v>1.07</v>
      </c>
      <c r="AE17" s="18">
        <f>AD17^2</f>
        <v>1.1449</v>
      </c>
      <c r="AF17" s="18">
        <f>AD17^3</f>
        <v>1.2250430000000001</v>
      </c>
      <c r="AG17" s="18">
        <f>AD17^4</f>
        <v>1.31079601</v>
      </c>
      <c r="AH17" s="23">
        <v>2.2999999999999998</v>
      </c>
      <c r="AI17" s="23">
        <f>$AH$20+$AG$20*AD17+$AF$20*AE17+$AE$20*AF17+$AD$20*AG17</f>
        <v>2.2999999999997272</v>
      </c>
    </row>
    <row r="18" spans="1:35" x14ac:dyDescent="0.2">
      <c r="A18" s="425"/>
      <c r="B18" s="432">
        <v>1.1499999999999999</v>
      </c>
      <c r="C18" s="432">
        <f t="shared" si="0"/>
        <v>1.3224999999999998</v>
      </c>
      <c r="D18" s="432">
        <f t="shared" si="1"/>
        <v>1.5208749999999995</v>
      </c>
      <c r="E18" s="432">
        <f t="shared" si="2"/>
        <v>1.7490062499999994</v>
      </c>
      <c r="F18" s="432">
        <f t="shared" si="3"/>
        <v>2.0113571874999994</v>
      </c>
      <c r="G18" s="433">
        <v>2</v>
      </c>
      <c r="H18" s="426">
        <f t="shared" si="4"/>
        <v>1.9999999999985221</v>
      </c>
      <c r="I18" s="425"/>
      <c r="J18" s="427"/>
      <c r="K18" s="425"/>
      <c r="L18" s="425"/>
      <c r="M18" s="432">
        <v>1.1499999999999999</v>
      </c>
      <c r="N18" s="432">
        <f t="shared" si="5"/>
        <v>1.3224999999999998</v>
      </c>
      <c r="O18" s="432">
        <f t="shared" si="6"/>
        <v>1.5208749999999995</v>
      </c>
      <c r="P18" s="432">
        <f t="shared" si="7"/>
        <v>1.7490062499999994</v>
      </c>
      <c r="Q18" s="432">
        <f t="shared" si="8"/>
        <v>2.0113571874999994</v>
      </c>
      <c r="R18" s="433">
        <v>3.5</v>
      </c>
      <c r="S18" s="426">
        <f t="shared" si="9"/>
        <v>3.4999999998763087</v>
      </c>
      <c r="V18" s="18">
        <v>1.1499999999999999</v>
      </c>
      <c r="W18" s="18">
        <f>V18^2</f>
        <v>1.3224999999999998</v>
      </c>
      <c r="X18" s="18">
        <f>V18^3</f>
        <v>1.5208749999999995</v>
      </c>
      <c r="Y18" s="18">
        <f>V18^4</f>
        <v>1.7490062499999994</v>
      </c>
      <c r="Z18" s="23">
        <v>3.5</v>
      </c>
      <c r="AA18" s="23">
        <f>$Z$20+$Y$20*V18+$X$20*W18+$W$20*X18+$V$20*Y18</f>
        <v>3.499999999996362</v>
      </c>
      <c r="AD18" s="18">
        <v>1.1499999999999999</v>
      </c>
      <c r="AE18" s="18">
        <f>AD18^2</f>
        <v>1.3224999999999998</v>
      </c>
      <c r="AF18" s="18">
        <f>AD18^3</f>
        <v>1.5208749999999995</v>
      </c>
      <c r="AG18" s="18">
        <f>AD18^4</f>
        <v>1.7490062499999994</v>
      </c>
      <c r="AH18" s="23">
        <v>2</v>
      </c>
      <c r="AI18" s="23">
        <f>$AH$20+$AG$20*AD18+$AF$20*AE18+$AE$20*AF18+$AD$20*AG18</f>
        <v>1.9999999999998863</v>
      </c>
    </row>
    <row r="19" spans="1:35" x14ac:dyDescent="0.2">
      <c r="A19" s="425"/>
      <c r="B19" s="432">
        <v>1.2</v>
      </c>
      <c r="C19" s="432">
        <f t="shared" si="0"/>
        <v>1.44</v>
      </c>
      <c r="D19" s="432">
        <f t="shared" si="1"/>
        <v>1.728</v>
      </c>
      <c r="E19" s="432">
        <f t="shared" si="2"/>
        <v>2.0735999999999999</v>
      </c>
      <c r="F19" s="432">
        <f t="shared" si="3"/>
        <v>2.4883199999999999</v>
      </c>
      <c r="G19" s="433">
        <v>1.9</v>
      </c>
      <c r="H19" s="426">
        <f t="shared" si="4"/>
        <v>1.8999999999983856</v>
      </c>
      <c r="I19" s="425"/>
      <c r="J19" s="427"/>
      <c r="K19" s="425"/>
      <c r="L19" s="425"/>
      <c r="M19" s="432">
        <v>1.2</v>
      </c>
      <c r="N19" s="432">
        <f t="shared" si="5"/>
        <v>1.44</v>
      </c>
      <c r="O19" s="432">
        <f t="shared" si="6"/>
        <v>1.728</v>
      </c>
      <c r="P19" s="432">
        <f t="shared" si="7"/>
        <v>2.0735999999999999</v>
      </c>
      <c r="Q19" s="432">
        <f t="shared" si="8"/>
        <v>2.4883199999999999</v>
      </c>
      <c r="R19" s="433">
        <v>3</v>
      </c>
      <c r="S19" s="426">
        <f t="shared" si="9"/>
        <v>2.9999999999126885</v>
      </c>
      <c r="V19" s="18"/>
      <c r="W19" s="18"/>
      <c r="X19" s="18"/>
      <c r="Y19" s="18"/>
      <c r="Z19" s="23"/>
      <c r="AA19" s="23"/>
      <c r="AD19" s="18"/>
      <c r="AE19" s="18"/>
      <c r="AF19" s="18"/>
      <c r="AG19" s="18"/>
      <c r="AH19" s="23"/>
      <c r="AI19" s="23"/>
    </row>
    <row r="20" spans="1:35" x14ac:dyDescent="0.2">
      <c r="A20" s="425"/>
      <c r="B20" s="427">
        <f t="array" ref="B20:H24">LINEST(G14:G19,B14:F19,TRUE,TRUE)</f>
        <v>-307.64442525842338</v>
      </c>
      <c r="C20" s="427">
        <v>1815.5091094602994</v>
      </c>
      <c r="D20" s="427">
        <v>-4167.4812656770555</v>
      </c>
      <c r="E20" s="427">
        <v>4667.241913526871</v>
      </c>
      <c r="F20" s="427">
        <v>-2557.5865472744381</v>
      </c>
      <c r="G20" s="427">
        <v>552.46121522274541</v>
      </c>
      <c r="H20" s="425" t="e">
        <v>#N/A</v>
      </c>
      <c r="I20" s="425"/>
      <c r="J20" s="425"/>
      <c r="K20" s="425"/>
      <c r="L20" s="425"/>
      <c r="M20" s="427">
        <f t="array" ref="M20:R26">LINEST(R14:R19,M14:Q19,TRUE,TRUE)</f>
        <v>-31464.722638585306</v>
      </c>
      <c r="N20" s="427">
        <v>160206.37313441589</v>
      </c>
      <c r="O20" s="427">
        <v>-324441.75402571779</v>
      </c>
      <c r="P20" s="427">
        <v>326581.43925885117</v>
      </c>
      <c r="Q20" s="427">
        <v>-163366.11271410785</v>
      </c>
      <c r="R20" s="427">
        <v>32490.776985143813</v>
      </c>
      <c r="S20" s="425"/>
      <c r="V20" s="427">
        <f t="array" ref="V20:Z24">LINEST(Z14:Z18,V14:Y18,TRUE,TRUE)</f>
        <v>5399.9377528698788</v>
      </c>
      <c r="W20" s="427">
        <v>-20980.2365390259</v>
      </c>
      <c r="X20" s="427">
        <v>30348.9417988938</v>
      </c>
      <c r="Y20" s="427">
        <v>-19376.934329257536</v>
      </c>
      <c r="Z20" s="427">
        <v>4614.2913165197506</v>
      </c>
      <c r="AD20" s="427">
        <f t="array" ref="AD20:AH24">LINEST(AH14:AH18,AD14:AG18,TRUE,TRUE)</f>
        <v>301.89853719212914</v>
      </c>
      <c r="AE20" s="427">
        <v>-1200.4046062849736</v>
      </c>
      <c r="AF20" s="427">
        <v>1770.8465608437702</v>
      </c>
      <c r="AG20" s="427">
        <v>-1149.7410519746163</v>
      </c>
      <c r="AH20" s="427">
        <v>279.90056022369038</v>
      </c>
    </row>
    <row r="21" spans="1:35" x14ac:dyDescent="0.2">
      <c r="A21" s="425"/>
      <c r="B21" s="425">
        <v>0</v>
      </c>
      <c r="C21" s="425">
        <v>0</v>
      </c>
      <c r="D21" s="425">
        <v>0</v>
      </c>
      <c r="E21" s="425">
        <v>0</v>
      </c>
      <c r="F21" s="425">
        <v>0</v>
      </c>
      <c r="G21" s="425">
        <v>0</v>
      </c>
      <c r="H21" s="425" t="e">
        <v>#N/A</v>
      </c>
      <c r="I21" s="425"/>
      <c r="J21" s="425"/>
      <c r="K21" s="425"/>
      <c r="L21" s="425"/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/>
      <c r="V21">
        <v>0</v>
      </c>
      <c r="W21">
        <v>0</v>
      </c>
      <c r="X21">
        <v>0</v>
      </c>
      <c r="Y21">
        <v>0</v>
      </c>
      <c r="Z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5" x14ac:dyDescent="0.2">
      <c r="A22" s="425"/>
      <c r="B22" s="425">
        <v>1</v>
      </c>
      <c r="C22" s="425">
        <v>0</v>
      </c>
      <c r="D22" s="425" t="e">
        <v>#N/A</v>
      </c>
      <c r="E22" s="425" t="e">
        <v>#N/A</v>
      </c>
      <c r="F22" s="425" t="e">
        <v>#N/A</v>
      </c>
      <c r="G22" s="425" t="e">
        <v>#N/A</v>
      </c>
      <c r="H22" s="425" t="e">
        <v>#N/A</v>
      </c>
      <c r="I22" s="425"/>
      <c r="J22" s="425"/>
      <c r="K22" s="425"/>
      <c r="L22" s="425"/>
      <c r="M22" s="425">
        <v>1</v>
      </c>
      <c r="N22" s="425">
        <v>0</v>
      </c>
      <c r="O22" s="425" t="e">
        <v>#N/A</v>
      </c>
      <c r="P22" s="425" t="e">
        <v>#N/A</v>
      </c>
      <c r="Q22" s="425" t="e">
        <v>#N/A</v>
      </c>
      <c r="R22" s="425" t="e">
        <v>#N/A</v>
      </c>
      <c r="S22" s="425"/>
      <c r="V22">
        <v>1</v>
      </c>
      <c r="W22">
        <v>0</v>
      </c>
      <c r="X22" t="e">
        <v>#N/A</v>
      </c>
      <c r="Y22" t="e">
        <v>#N/A</v>
      </c>
      <c r="Z22" t="e">
        <v>#N/A</v>
      </c>
      <c r="AD22">
        <v>1</v>
      </c>
      <c r="AE22">
        <v>0</v>
      </c>
      <c r="AF22" t="e">
        <v>#N/A</v>
      </c>
      <c r="AG22" t="e">
        <v>#N/A</v>
      </c>
      <c r="AH22" t="e">
        <v>#N/A</v>
      </c>
    </row>
    <row r="23" spans="1:35" x14ac:dyDescent="0.2">
      <c r="A23" s="425"/>
      <c r="B23" s="425" t="e">
        <v>#NUM!</v>
      </c>
      <c r="C23" s="425">
        <v>0</v>
      </c>
      <c r="D23" s="425" t="e">
        <v>#N/A</v>
      </c>
      <c r="E23" s="425" t="e">
        <v>#N/A</v>
      </c>
      <c r="F23" s="425" t="e">
        <v>#N/A</v>
      </c>
      <c r="G23" s="425" t="e">
        <v>#N/A</v>
      </c>
      <c r="H23" s="425" t="e">
        <v>#N/A</v>
      </c>
      <c r="I23" s="425"/>
      <c r="J23" s="425"/>
      <c r="K23" s="425"/>
      <c r="L23" s="425"/>
      <c r="M23" s="425" t="e">
        <v>#NUM!</v>
      </c>
      <c r="N23" s="425">
        <v>0</v>
      </c>
      <c r="O23" s="425" t="e">
        <v>#N/A</v>
      </c>
      <c r="P23" s="425" t="e">
        <v>#N/A</v>
      </c>
      <c r="Q23" s="425" t="e">
        <v>#N/A</v>
      </c>
      <c r="R23" s="425" t="e">
        <v>#N/A</v>
      </c>
      <c r="S23" s="425"/>
      <c r="V23" t="e">
        <v>#NUM!</v>
      </c>
      <c r="W23">
        <v>0</v>
      </c>
      <c r="X23" t="e">
        <v>#N/A</v>
      </c>
      <c r="Y23" t="e">
        <v>#N/A</v>
      </c>
      <c r="Z23" t="e">
        <v>#N/A</v>
      </c>
      <c r="AD23" t="e">
        <v>#NUM!</v>
      </c>
      <c r="AE23">
        <v>0</v>
      </c>
      <c r="AF23" t="e">
        <v>#N/A</v>
      </c>
      <c r="AG23" t="e">
        <v>#N/A</v>
      </c>
      <c r="AH23" t="e">
        <v>#N/A</v>
      </c>
    </row>
    <row r="24" spans="1:35" x14ac:dyDescent="0.2">
      <c r="A24" s="425"/>
      <c r="B24" s="425">
        <v>0.3683333333333334</v>
      </c>
      <c r="C24" s="425">
        <v>0</v>
      </c>
      <c r="D24" s="425" t="e">
        <v>#N/A</v>
      </c>
      <c r="E24" s="425" t="e">
        <v>#N/A</v>
      </c>
      <c r="F24" s="425" t="e">
        <v>#N/A</v>
      </c>
      <c r="G24" s="425" t="e">
        <v>#N/A</v>
      </c>
      <c r="H24" s="425" t="e">
        <v>#N/A</v>
      </c>
      <c r="I24" s="425"/>
      <c r="J24" s="427"/>
      <c r="K24" s="425"/>
      <c r="L24" s="425"/>
      <c r="M24" s="425">
        <v>9.875</v>
      </c>
      <c r="N24" s="425">
        <v>0</v>
      </c>
      <c r="O24" s="425" t="e">
        <v>#N/A</v>
      </c>
      <c r="P24" s="425" t="e">
        <v>#N/A</v>
      </c>
      <c r="Q24" s="425" t="e">
        <v>#N/A</v>
      </c>
      <c r="R24" s="425" t="e">
        <v>#N/A</v>
      </c>
      <c r="S24" s="425"/>
      <c r="V24">
        <v>6.2</v>
      </c>
      <c r="W24">
        <v>0</v>
      </c>
      <c r="X24" t="e">
        <v>#N/A</v>
      </c>
      <c r="Y24" t="e">
        <v>#N/A</v>
      </c>
      <c r="Z24" t="e">
        <v>#N/A</v>
      </c>
      <c r="AD24">
        <v>0.19200000000000003</v>
      </c>
      <c r="AE24">
        <v>0</v>
      </c>
      <c r="AF24" t="e">
        <v>#N/A</v>
      </c>
      <c r="AG24" t="e">
        <v>#N/A</v>
      </c>
      <c r="AH24" t="e">
        <v>#N/A</v>
      </c>
    </row>
    <row r="25" spans="1:35" x14ac:dyDescent="0.2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 t="e">
        <v>#N/A</v>
      </c>
      <c r="N25" s="425" t="e">
        <v>#N/A</v>
      </c>
      <c r="O25" s="425" t="e">
        <v>#N/A</v>
      </c>
      <c r="P25" s="425" t="e">
        <v>#N/A</v>
      </c>
      <c r="Q25" s="425" t="e">
        <v>#N/A</v>
      </c>
      <c r="R25" s="425" t="e">
        <v>#N/A</v>
      </c>
      <c r="S25" s="425"/>
      <c r="V25" t="s">
        <v>611</v>
      </c>
      <c r="W25" t="s">
        <v>612</v>
      </c>
      <c r="X25" t="s">
        <v>613</v>
      </c>
      <c r="Y25" t="s">
        <v>614</v>
      </c>
      <c r="Z25" t="s">
        <v>615</v>
      </c>
      <c r="AD25" t="s">
        <v>611</v>
      </c>
      <c r="AE25" t="s">
        <v>612</v>
      </c>
      <c r="AF25" t="s">
        <v>613</v>
      </c>
      <c r="AG25" t="s">
        <v>614</v>
      </c>
      <c r="AH25" t="s">
        <v>615</v>
      </c>
    </row>
    <row r="26" spans="1:35" x14ac:dyDescent="0.2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 t="e">
        <v>#N/A</v>
      </c>
      <c r="N26" s="425" t="e">
        <v>#N/A</v>
      </c>
      <c r="O26" s="425" t="e">
        <v>#N/A</v>
      </c>
      <c r="P26" s="425" t="e">
        <v>#N/A</v>
      </c>
      <c r="Q26" s="425" t="e">
        <v>#N/A</v>
      </c>
      <c r="R26" s="425" t="e">
        <v>#N/A</v>
      </c>
      <c r="S26" s="425"/>
    </row>
    <row r="27" spans="1:35" x14ac:dyDescent="0.2">
      <c r="A27" s="427" t="s">
        <v>597</v>
      </c>
      <c r="B27" s="425"/>
      <c r="C27" s="428" t="s">
        <v>598</v>
      </c>
      <c r="D27" s="429">
        <v>20</v>
      </c>
      <c r="E27" s="425"/>
      <c r="F27" s="425"/>
      <c r="G27" s="425"/>
      <c r="H27" s="425"/>
      <c r="I27" s="425"/>
      <c r="J27" s="425"/>
      <c r="K27" s="425"/>
      <c r="L27" s="427" t="s">
        <v>597</v>
      </c>
      <c r="M27" s="425"/>
      <c r="N27" s="428" t="s">
        <v>598</v>
      </c>
      <c r="O27" s="429">
        <v>10</v>
      </c>
      <c r="P27" s="425"/>
      <c r="Q27" s="425"/>
      <c r="R27" s="425"/>
      <c r="S27" s="425"/>
      <c r="U27" s="356" t="s">
        <v>597</v>
      </c>
      <c r="V27" s="13"/>
      <c r="W27" s="430" t="s">
        <v>598</v>
      </c>
      <c r="X27" s="431">
        <v>10</v>
      </c>
      <c r="AC27" s="356" t="s">
        <v>597</v>
      </c>
      <c r="AD27" s="13"/>
      <c r="AE27" s="430" t="s">
        <v>598</v>
      </c>
      <c r="AF27" s="431">
        <v>20</v>
      </c>
    </row>
    <row r="28" spans="1:35" x14ac:dyDescent="0.2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  <c r="Q28" s="425"/>
      <c r="R28" s="425"/>
      <c r="S28" s="425"/>
    </row>
    <row r="29" spans="1:35" x14ac:dyDescent="0.2">
      <c r="A29" s="425"/>
      <c r="B29" s="425"/>
      <c r="C29" s="425"/>
      <c r="D29" s="425"/>
      <c r="E29" s="425"/>
      <c r="F29" s="425"/>
      <c r="G29" s="425" t="s">
        <v>599</v>
      </c>
      <c r="H29" s="425" t="s">
        <v>64</v>
      </c>
      <c r="I29" s="425"/>
      <c r="J29" s="427"/>
      <c r="K29" s="425"/>
      <c r="L29" s="425"/>
      <c r="M29" s="425"/>
      <c r="N29" s="425"/>
      <c r="O29" s="425"/>
      <c r="P29" s="425"/>
      <c r="Q29" s="425"/>
      <c r="R29" s="425" t="s">
        <v>599</v>
      </c>
      <c r="S29" s="425" t="s">
        <v>64</v>
      </c>
      <c r="Z29" t="s">
        <v>599</v>
      </c>
      <c r="AA29" t="s">
        <v>64</v>
      </c>
      <c r="AH29" t="s">
        <v>599</v>
      </c>
      <c r="AI29" t="s">
        <v>64</v>
      </c>
    </row>
    <row r="30" spans="1:35" x14ac:dyDescent="0.2">
      <c r="A30" s="425"/>
      <c r="B30" s="432">
        <v>0.8</v>
      </c>
      <c r="C30" s="432">
        <f t="shared" ref="C30:C35" si="10">B30^2</f>
        <v>0.64000000000000012</v>
      </c>
      <c r="D30" s="432">
        <f t="shared" ref="D30:D35" si="11">B30^3</f>
        <v>0.51200000000000012</v>
      </c>
      <c r="E30" s="432">
        <f t="shared" ref="E30:E35" si="12">B30^4</f>
        <v>0.40960000000000019</v>
      </c>
      <c r="F30" s="432">
        <f t="shared" ref="F30:F35" si="13">B30^5</f>
        <v>0.32768000000000019</v>
      </c>
      <c r="G30" s="433">
        <v>2.5</v>
      </c>
      <c r="H30" s="426">
        <f t="shared" ref="H30:H35" si="14">$G$36+$F$36*B30+$E$36*C30+$D$36*D30+$C$36*E30+$B$36*F30</f>
        <v>2.4999999999834017</v>
      </c>
      <c r="I30" s="425"/>
      <c r="J30" s="425"/>
      <c r="K30" s="425"/>
      <c r="L30" s="425"/>
      <c r="M30" s="432">
        <v>0.8</v>
      </c>
      <c r="N30" s="432">
        <f t="shared" ref="N30:N35" si="15">M30^2</f>
        <v>0.64000000000000012</v>
      </c>
      <c r="O30" s="432">
        <f t="shared" ref="O30:O35" si="16">M30^3</f>
        <v>0.51200000000000012</v>
      </c>
      <c r="P30" s="432">
        <f t="shared" ref="P30:P35" si="17">M30^4</f>
        <v>0.40960000000000019</v>
      </c>
      <c r="Q30" s="432">
        <f t="shared" ref="Q30:Q35" si="18">M30^5</f>
        <v>0.32768000000000019</v>
      </c>
      <c r="R30" s="433">
        <v>3.2</v>
      </c>
      <c r="S30" s="426">
        <f t="shared" ref="S30:S35" si="19">$R$36+$Q$36*M30+$P$36*N30+$O$36*O30+$N$36*P30+$M$36*Q30</f>
        <v>3.1999999999911779</v>
      </c>
      <c r="V30" s="18">
        <v>0.8</v>
      </c>
      <c r="W30" s="18">
        <f>V30^2</f>
        <v>0.64000000000000012</v>
      </c>
      <c r="X30" s="18">
        <f>V30^3</f>
        <v>0.51200000000000012</v>
      </c>
      <c r="Y30" s="18">
        <f>V30^4</f>
        <v>0.40960000000000019</v>
      </c>
      <c r="Z30" s="23">
        <v>3.5</v>
      </c>
      <c r="AA30" s="23">
        <f>$Z$36+$Y$36*V30+$X$36*W30+$W$36*X30+$V$36*Y30</f>
        <v>3.5</v>
      </c>
      <c r="AD30" s="18">
        <v>0.8</v>
      </c>
      <c r="AE30" s="18">
        <f>AD30^2</f>
        <v>0.64000000000000012</v>
      </c>
      <c r="AF30" s="18">
        <f>AD30^3</f>
        <v>0.51200000000000012</v>
      </c>
      <c r="AG30" s="18">
        <f>AD30^4</f>
        <v>0.40960000000000019</v>
      </c>
      <c r="AH30" s="23">
        <v>2.5</v>
      </c>
      <c r="AI30" s="23">
        <f>$AH$36+$AG$36*AD30+$AF$36*AE30+$AE$36*AF30+$AD$36*AG30</f>
        <v>2.5000000000014211</v>
      </c>
    </row>
    <row r="31" spans="1:35" x14ac:dyDescent="0.2">
      <c r="A31" s="427">
        <v>1500</v>
      </c>
      <c r="B31" s="432">
        <v>0.9</v>
      </c>
      <c r="C31" s="432">
        <f t="shared" si="10"/>
        <v>0.81</v>
      </c>
      <c r="D31" s="432">
        <f t="shared" si="11"/>
        <v>0.72900000000000009</v>
      </c>
      <c r="E31" s="432">
        <f t="shared" si="12"/>
        <v>0.65610000000000013</v>
      </c>
      <c r="F31" s="432">
        <f t="shared" si="13"/>
        <v>0.59049000000000018</v>
      </c>
      <c r="G31" s="433">
        <v>2.5</v>
      </c>
      <c r="H31" s="426">
        <f t="shared" si="14"/>
        <v>2.4999999999895408</v>
      </c>
      <c r="I31" s="425"/>
      <c r="J31" s="425"/>
      <c r="K31" s="425"/>
      <c r="L31" s="427">
        <v>1500</v>
      </c>
      <c r="M31" s="432">
        <v>0.9</v>
      </c>
      <c r="N31" s="432">
        <f t="shared" si="15"/>
        <v>0.81</v>
      </c>
      <c r="O31" s="432">
        <f t="shared" si="16"/>
        <v>0.72900000000000009</v>
      </c>
      <c r="P31" s="432">
        <f t="shared" si="17"/>
        <v>0.65610000000000013</v>
      </c>
      <c r="Q31" s="432">
        <f t="shared" si="18"/>
        <v>0.59049000000000018</v>
      </c>
      <c r="R31" s="433">
        <v>3.5</v>
      </c>
      <c r="S31" s="426">
        <f t="shared" si="19"/>
        <v>3.5000000000045475</v>
      </c>
      <c r="U31" s="356">
        <v>1500</v>
      </c>
      <c r="V31" s="18">
        <v>0.9</v>
      </c>
      <c r="W31" s="18">
        <f>V31^2</f>
        <v>0.81</v>
      </c>
      <c r="X31" s="18">
        <f>V31^3</f>
        <v>0.72900000000000009</v>
      </c>
      <c r="Y31" s="18">
        <f>V31^4</f>
        <v>0.65610000000000013</v>
      </c>
      <c r="Z31" s="23">
        <v>3.5</v>
      </c>
      <c r="AA31" s="23">
        <f>$Z$36+$Y$36*V31+$X$36*W31+$W$36*X31+$V$36*Y31</f>
        <v>3.4999999999996021</v>
      </c>
      <c r="AC31" s="356">
        <v>1500</v>
      </c>
      <c r="AD31" s="18">
        <v>0.9</v>
      </c>
      <c r="AE31" s="18">
        <f>AD31^2</f>
        <v>0.81</v>
      </c>
      <c r="AF31" s="18">
        <f>AD31^3</f>
        <v>0.72900000000000009</v>
      </c>
      <c r="AG31" s="18">
        <f>AD31^4</f>
        <v>0.65610000000000013</v>
      </c>
      <c r="AH31" s="23">
        <v>2.5</v>
      </c>
      <c r="AI31" s="23">
        <f>$AH$36+$AG$36*AD31+$AF$36*AE31+$AE$36*AF31+$AD$36*AG31</f>
        <v>2.5000000000010232</v>
      </c>
    </row>
    <row r="32" spans="1:35" x14ac:dyDescent="0.2">
      <c r="A32" s="425"/>
      <c r="B32" s="432">
        <v>1</v>
      </c>
      <c r="C32" s="432">
        <f t="shared" si="10"/>
        <v>1</v>
      </c>
      <c r="D32" s="432">
        <f t="shared" si="11"/>
        <v>1</v>
      </c>
      <c r="E32" s="432">
        <f t="shared" si="12"/>
        <v>1</v>
      </c>
      <c r="F32" s="432">
        <f t="shared" si="13"/>
        <v>1</v>
      </c>
      <c r="G32" s="433">
        <v>2.2999999999999998</v>
      </c>
      <c r="H32" s="426">
        <f t="shared" si="14"/>
        <v>2.2999999999879037</v>
      </c>
      <c r="I32" s="425"/>
      <c r="J32" s="425"/>
      <c r="K32" s="425"/>
      <c r="L32" s="425"/>
      <c r="M32" s="432">
        <v>1</v>
      </c>
      <c r="N32" s="432">
        <f t="shared" si="15"/>
        <v>1</v>
      </c>
      <c r="O32" s="432">
        <f t="shared" si="16"/>
        <v>1</v>
      </c>
      <c r="P32" s="432">
        <f t="shared" si="17"/>
        <v>1</v>
      </c>
      <c r="Q32" s="432">
        <f t="shared" si="18"/>
        <v>1</v>
      </c>
      <c r="R32" s="433">
        <v>3</v>
      </c>
      <c r="S32" s="426">
        <f t="shared" si="19"/>
        <v>2.999999999994543</v>
      </c>
      <c r="V32" s="18">
        <v>1</v>
      </c>
      <c r="W32" s="18">
        <f>V32^2</f>
        <v>1</v>
      </c>
      <c r="X32" s="18">
        <f>V32^3</f>
        <v>1</v>
      </c>
      <c r="Y32" s="18">
        <f>V32^4</f>
        <v>1</v>
      </c>
      <c r="Z32" s="23">
        <v>3</v>
      </c>
      <c r="AA32" s="23">
        <f>$Z$36+$Y$36*V32+$X$36*W32+$W$36*X32+$V$36*Y32</f>
        <v>2.9999999999998863</v>
      </c>
      <c r="AD32" s="18">
        <v>1</v>
      </c>
      <c r="AE32" s="18">
        <f>AD32^2</f>
        <v>1</v>
      </c>
      <c r="AF32" s="18">
        <f>AD32^3</f>
        <v>1</v>
      </c>
      <c r="AG32" s="18">
        <f>AD32^4</f>
        <v>1</v>
      </c>
      <c r="AH32" s="23">
        <v>2.2999999999999998</v>
      </c>
      <c r="AI32" s="23">
        <f>$AH$36+$AG$36*AD32+$AF$36*AE32+$AE$36*AF32+$AD$36*AG32</f>
        <v>2.3000000000006366</v>
      </c>
    </row>
    <row r="33" spans="1:35" x14ac:dyDescent="0.2">
      <c r="A33" s="425"/>
      <c r="B33" s="432">
        <v>1.07</v>
      </c>
      <c r="C33" s="432">
        <f t="shared" si="10"/>
        <v>1.1449</v>
      </c>
      <c r="D33" s="432">
        <f t="shared" si="11"/>
        <v>1.2250430000000001</v>
      </c>
      <c r="E33" s="432">
        <f t="shared" si="12"/>
        <v>1.31079601</v>
      </c>
      <c r="F33" s="432">
        <f t="shared" si="13"/>
        <v>1.4025517307000002</v>
      </c>
      <c r="G33" s="433">
        <v>2</v>
      </c>
      <c r="H33" s="426">
        <f t="shared" si="14"/>
        <v>1.9999999999809006</v>
      </c>
      <c r="I33" s="425"/>
      <c r="J33" s="425"/>
      <c r="K33" s="425"/>
      <c r="L33" s="425"/>
      <c r="M33" s="432">
        <v>1.07</v>
      </c>
      <c r="N33" s="432">
        <f t="shared" si="15"/>
        <v>1.1449</v>
      </c>
      <c r="O33" s="432">
        <f t="shared" si="16"/>
        <v>1.2250430000000001</v>
      </c>
      <c r="P33" s="432">
        <f t="shared" si="17"/>
        <v>1.31079601</v>
      </c>
      <c r="Q33" s="432">
        <f t="shared" si="18"/>
        <v>1.4025517307000002</v>
      </c>
      <c r="R33" s="433">
        <v>2.5</v>
      </c>
      <c r="S33" s="426">
        <f t="shared" si="19"/>
        <v>2.499999999998181</v>
      </c>
      <c r="V33" s="18">
        <v>1.07</v>
      </c>
      <c r="W33" s="18">
        <f>V33^2</f>
        <v>1.1449</v>
      </c>
      <c r="X33" s="18">
        <f>V33^3</f>
        <v>1.2250430000000001</v>
      </c>
      <c r="Y33" s="18">
        <f>V33^4</f>
        <v>1.31079601</v>
      </c>
      <c r="Z33" s="23">
        <v>2.5</v>
      </c>
      <c r="AA33" s="23">
        <f>$Z$36+$Y$36*V33+$X$36*W33+$W$36*X33+$V$36*Y33</f>
        <v>2.5000000000002274</v>
      </c>
      <c r="AD33" s="18">
        <v>1.07</v>
      </c>
      <c r="AE33" s="18">
        <f>AD33^2</f>
        <v>1.1449</v>
      </c>
      <c r="AF33" s="18">
        <f>AD33^3</f>
        <v>1.2250430000000001</v>
      </c>
      <c r="AG33" s="18">
        <f>AD33^4</f>
        <v>1.31079601</v>
      </c>
      <c r="AH33" s="23">
        <v>2</v>
      </c>
      <c r="AI33" s="23">
        <f>$AH$36+$AG$36*AD33+$AF$36*AE33+$AE$36*AF33+$AD$36*AG33</f>
        <v>2.0000000000006821</v>
      </c>
    </row>
    <row r="34" spans="1:35" x14ac:dyDescent="0.2">
      <c r="A34" s="425"/>
      <c r="B34" s="432">
        <v>1.1499999999999999</v>
      </c>
      <c r="C34" s="432">
        <f t="shared" si="10"/>
        <v>1.3224999999999998</v>
      </c>
      <c r="D34" s="432">
        <f t="shared" si="11"/>
        <v>1.5208749999999995</v>
      </c>
      <c r="E34" s="432">
        <f t="shared" si="12"/>
        <v>1.7490062499999994</v>
      </c>
      <c r="F34" s="432">
        <f t="shared" si="13"/>
        <v>2.0113571874999994</v>
      </c>
      <c r="G34" s="433">
        <v>2</v>
      </c>
      <c r="H34" s="426">
        <f t="shared" si="14"/>
        <v>1.9999999999836291</v>
      </c>
      <c r="I34" s="425"/>
      <c r="J34" s="425"/>
      <c r="K34" s="425"/>
      <c r="L34" s="425"/>
      <c r="M34" s="432">
        <v>1.1499999999999999</v>
      </c>
      <c r="N34" s="432">
        <f t="shared" si="15"/>
        <v>1.3224999999999998</v>
      </c>
      <c r="O34" s="432">
        <f t="shared" si="16"/>
        <v>1.5208749999999995</v>
      </c>
      <c r="P34" s="432">
        <f t="shared" si="17"/>
        <v>1.7490062499999994</v>
      </c>
      <c r="Q34" s="432">
        <f t="shared" si="18"/>
        <v>2.0113571874999994</v>
      </c>
      <c r="R34" s="433">
        <v>2.5</v>
      </c>
      <c r="S34" s="426">
        <f t="shared" si="19"/>
        <v>2.4999999999890861</v>
      </c>
      <c r="V34" s="18">
        <v>1.1499999999999999</v>
      </c>
      <c r="W34" s="18">
        <f>V34^2</f>
        <v>1.3224999999999998</v>
      </c>
      <c r="X34" s="18">
        <f>V34^3</f>
        <v>1.5208749999999995</v>
      </c>
      <c r="Y34" s="18">
        <f>V34^4</f>
        <v>1.7490062499999994</v>
      </c>
      <c r="Z34" s="23">
        <v>2.5</v>
      </c>
      <c r="AA34" s="23">
        <f>$Z$36+$Y$36*V34+$X$36*W34+$W$36*X34+$V$36*Y34</f>
        <v>2.4999999999996589</v>
      </c>
      <c r="AD34" s="18">
        <v>1.1499999999999999</v>
      </c>
      <c r="AE34" s="18">
        <f>AD34^2</f>
        <v>1.3224999999999998</v>
      </c>
      <c r="AF34" s="18">
        <f>AD34^3</f>
        <v>1.5208749999999995</v>
      </c>
      <c r="AG34" s="18">
        <f>AD34^4</f>
        <v>1.7490062499999994</v>
      </c>
      <c r="AH34" s="23">
        <v>2.5</v>
      </c>
      <c r="AI34" s="23">
        <f>$AH$36+$AG$36*AD34+$AF$36*AE34+$AE$36*AF34+$AD$36*AG34</f>
        <v>2.5000000000009095</v>
      </c>
    </row>
    <row r="35" spans="1:35" x14ac:dyDescent="0.2">
      <c r="A35" s="425"/>
      <c r="B35" s="432">
        <v>1.2</v>
      </c>
      <c r="C35" s="432">
        <f t="shared" si="10"/>
        <v>1.44</v>
      </c>
      <c r="D35" s="432">
        <f t="shared" si="11"/>
        <v>1.728</v>
      </c>
      <c r="E35" s="432">
        <f t="shared" si="12"/>
        <v>2.0735999999999999</v>
      </c>
      <c r="F35" s="432">
        <f t="shared" si="13"/>
        <v>2.4883199999999999</v>
      </c>
      <c r="G35" s="433">
        <v>2</v>
      </c>
      <c r="H35" s="426">
        <f t="shared" si="14"/>
        <v>1.9999999999854481</v>
      </c>
      <c r="I35" s="425"/>
      <c r="J35" s="425"/>
      <c r="K35" s="425"/>
      <c r="L35" s="425"/>
      <c r="M35" s="432">
        <v>1.2</v>
      </c>
      <c r="N35" s="432">
        <f t="shared" si="15"/>
        <v>1.44</v>
      </c>
      <c r="O35" s="432">
        <f t="shared" si="16"/>
        <v>1.728</v>
      </c>
      <c r="P35" s="432">
        <f t="shared" si="17"/>
        <v>2.0735999999999999</v>
      </c>
      <c r="Q35" s="432">
        <f t="shared" si="18"/>
        <v>2.4883199999999999</v>
      </c>
      <c r="R35" s="433">
        <v>2</v>
      </c>
      <c r="S35" s="426">
        <f t="shared" si="19"/>
        <v>1.9999999999890861</v>
      </c>
      <c r="V35" s="18"/>
      <c r="W35" s="18"/>
      <c r="X35" s="18"/>
      <c r="Y35" s="18"/>
      <c r="Z35" s="23"/>
      <c r="AA35" s="23"/>
      <c r="AD35" s="18"/>
      <c r="AE35" s="18"/>
      <c r="AF35" s="18"/>
      <c r="AG35" s="18"/>
      <c r="AH35" s="23"/>
      <c r="AI35" s="23"/>
    </row>
    <row r="36" spans="1:35" x14ac:dyDescent="0.2">
      <c r="A36" s="425"/>
      <c r="B36" s="436">
        <f t="array" ref="B36:H41">LINEST(G30:G35,B30:F35,TRUE,TRUE)</f>
        <v>-3882.6641764648016</v>
      </c>
      <c r="C36" s="427">
        <v>19619.358853056397</v>
      </c>
      <c r="D36" s="427">
        <v>-39406.889975012637</v>
      </c>
      <c r="E36" s="427">
        <v>39321.667052518227</v>
      </c>
      <c r="F36" s="427">
        <v>-19491.572594120353</v>
      </c>
      <c r="G36" s="427">
        <v>3842.4008400231542</v>
      </c>
      <c r="H36" s="425" t="e">
        <v>#N/A</v>
      </c>
      <c r="I36" s="425"/>
      <c r="J36" s="425"/>
      <c r="K36" s="425"/>
      <c r="L36" s="425"/>
      <c r="M36" s="436">
        <f t="array" ref="M36:R40">LINEST(R30:R35,M30:Q35,TRUE,TRUE)</f>
        <v>-8192.678780265951</v>
      </c>
      <c r="N36" s="427">
        <v>40706.361173685218</v>
      </c>
      <c r="O36" s="427">
        <v>-80414.726225828868</v>
      </c>
      <c r="P36" s="427">
        <v>78933.080747140499</v>
      </c>
      <c r="Q36" s="427">
        <v>-38493.282550807147</v>
      </c>
      <c r="R36" s="427">
        <v>7464.2456360762462</v>
      </c>
      <c r="S36" s="425"/>
      <c r="V36" s="436">
        <f t="array" ref="V36:Z39">LINEST(Z30:Z34,V30:Y34,TRUE,TRUE)</f>
        <v>557.11173358147437</v>
      </c>
      <c r="W36" s="427">
        <v>-2054.4039838125527</v>
      </c>
      <c r="X36" s="427">
        <v>2808.7566137521303</v>
      </c>
      <c r="Y36" s="427">
        <v>-1690.1100217837193</v>
      </c>
      <c r="Z36" s="427">
        <v>381.64565826266721</v>
      </c>
      <c r="AD36" s="436">
        <f t="array" ref="AD36:AH39">LINEST(AH30:AH34,AD30:AG34,TRUE,TRUE)</f>
        <v>992.84158107528629</v>
      </c>
      <c r="AE36" s="427">
        <v>-3755.7734204733092</v>
      </c>
      <c r="AF36" s="427">
        <v>5295.4497354413215</v>
      </c>
      <c r="AG36" s="427">
        <v>-3299.5907251737513</v>
      </c>
      <c r="AH36" s="427">
        <v>769.37282913045317</v>
      </c>
    </row>
    <row r="37" spans="1:35" x14ac:dyDescent="0.2">
      <c r="A37" s="425"/>
      <c r="B37" s="425">
        <v>0</v>
      </c>
      <c r="C37" s="425">
        <v>0</v>
      </c>
      <c r="D37" s="425">
        <v>0</v>
      </c>
      <c r="E37" s="425">
        <v>0</v>
      </c>
      <c r="F37" s="425">
        <v>0</v>
      </c>
      <c r="G37" s="425">
        <v>0</v>
      </c>
      <c r="H37" s="425" t="e">
        <v>#N/A</v>
      </c>
      <c r="I37" s="425"/>
      <c r="J37" s="425"/>
      <c r="K37" s="425"/>
      <c r="L37" s="425"/>
      <c r="M37" s="425">
        <v>0</v>
      </c>
      <c r="N37" s="425">
        <v>0</v>
      </c>
      <c r="O37" s="425">
        <v>0</v>
      </c>
      <c r="P37" s="425">
        <v>0</v>
      </c>
      <c r="Q37" s="425">
        <v>0</v>
      </c>
      <c r="R37" s="425">
        <v>0</v>
      </c>
      <c r="S37" s="425"/>
      <c r="V37">
        <v>0</v>
      </c>
      <c r="W37">
        <v>0</v>
      </c>
      <c r="X37">
        <v>0</v>
      </c>
      <c r="Y37">
        <v>0</v>
      </c>
      <c r="Z37">
        <v>0</v>
      </c>
      <c r="AD37">
        <v>0</v>
      </c>
      <c r="AE37">
        <v>0</v>
      </c>
      <c r="AF37">
        <v>0</v>
      </c>
      <c r="AG37">
        <v>0</v>
      </c>
      <c r="AH37">
        <v>0</v>
      </c>
    </row>
    <row r="38" spans="1:35" x14ac:dyDescent="0.2">
      <c r="A38" s="425"/>
      <c r="B38" s="425">
        <v>1</v>
      </c>
      <c r="C38" s="425">
        <v>0</v>
      </c>
      <c r="D38" s="425" t="e">
        <v>#N/A</v>
      </c>
      <c r="E38" s="425" t="e">
        <v>#N/A</v>
      </c>
      <c r="F38" s="425" t="e">
        <v>#N/A</v>
      </c>
      <c r="G38" s="425" t="e">
        <v>#N/A</v>
      </c>
      <c r="H38" s="425" t="e">
        <v>#N/A</v>
      </c>
      <c r="I38" s="425"/>
      <c r="J38" s="425"/>
      <c r="K38" s="425"/>
      <c r="L38" s="425"/>
      <c r="M38" s="425">
        <v>1</v>
      </c>
      <c r="N38" s="425">
        <v>0</v>
      </c>
      <c r="O38" s="425" t="e">
        <v>#N/A</v>
      </c>
      <c r="P38" s="425" t="e">
        <v>#N/A</v>
      </c>
      <c r="Q38" s="425" t="e">
        <v>#N/A</v>
      </c>
      <c r="R38" s="425" t="e">
        <v>#N/A</v>
      </c>
      <c r="S38" s="425"/>
      <c r="V38">
        <v>1</v>
      </c>
      <c r="W38">
        <v>0</v>
      </c>
      <c r="X38" t="e">
        <v>#N/A</v>
      </c>
      <c r="Y38" t="e">
        <v>#N/A</v>
      </c>
      <c r="Z38" t="e">
        <v>#N/A</v>
      </c>
      <c r="AD38">
        <v>1</v>
      </c>
      <c r="AE38">
        <v>0</v>
      </c>
      <c r="AF38" t="e">
        <v>#N/A</v>
      </c>
      <c r="AG38" t="e">
        <v>#N/A</v>
      </c>
      <c r="AH38" t="e">
        <v>#N/A</v>
      </c>
    </row>
    <row r="39" spans="1:35" x14ac:dyDescent="0.2">
      <c r="A39" s="425"/>
      <c r="B39" s="425" t="e">
        <v>#NUM!</v>
      </c>
      <c r="C39" s="425">
        <v>0</v>
      </c>
      <c r="D39" s="425" t="e">
        <v>#N/A</v>
      </c>
      <c r="E39" s="425" t="e">
        <v>#N/A</v>
      </c>
      <c r="F39" s="425" t="e">
        <v>#N/A</v>
      </c>
      <c r="G39" s="425" t="e">
        <v>#N/A</v>
      </c>
      <c r="H39" s="425" t="e">
        <v>#N/A</v>
      </c>
      <c r="I39" s="425"/>
      <c r="J39" s="425"/>
      <c r="K39" s="425"/>
      <c r="L39" s="425"/>
      <c r="M39" s="425" t="e">
        <v>#NUM!</v>
      </c>
      <c r="N39" s="425">
        <v>0</v>
      </c>
      <c r="O39" s="425" t="e">
        <v>#N/A</v>
      </c>
      <c r="P39" s="425" t="e">
        <v>#N/A</v>
      </c>
      <c r="Q39" s="425" t="e">
        <v>#N/A</v>
      </c>
      <c r="R39" s="425" t="e">
        <v>#N/A</v>
      </c>
      <c r="S39" s="425"/>
      <c r="V39" t="e">
        <v>#NUM!</v>
      </c>
      <c r="W39">
        <v>0</v>
      </c>
      <c r="X39" t="e">
        <v>#N/A</v>
      </c>
      <c r="Y39" t="e">
        <v>#N/A</v>
      </c>
      <c r="Z39" t="e">
        <v>#N/A</v>
      </c>
      <c r="AD39" t="e">
        <v>#NUM!</v>
      </c>
      <c r="AE39">
        <v>0</v>
      </c>
      <c r="AF39" t="e">
        <v>#N/A</v>
      </c>
      <c r="AG39" t="e">
        <v>#N/A</v>
      </c>
      <c r="AH39" t="e">
        <v>#N/A</v>
      </c>
    </row>
    <row r="40" spans="1:35" x14ac:dyDescent="0.2">
      <c r="A40" s="425"/>
      <c r="B40" s="425">
        <v>0.30833333333333335</v>
      </c>
      <c r="C40" s="425">
        <v>0</v>
      </c>
      <c r="D40" s="425" t="e">
        <v>#N/A</v>
      </c>
      <c r="E40" s="425" t="e">
        <v>#N/A</v>
      </c>
      <c r="F40" s="425" t="e">
        <v>#N/A</v>
      </c>
      <c r="G40" s="425" t="e">
        <v>#N/A</v>
      </c>
      <c r="H40" s="425" t="e">
        <v>#N/A</v>
      </c>
      <c r="I40" s="425"/>
      <c r="J40" s="425"/>
      <c r="K40" s="425"/>
      <c r="L40" s="425"/>
      <c r="M40" s="425">
        <v>1.5083333333333333</v>
      </c>
      <c r="N40" s="425">
        <v>0</v>
      </c>
      <c r="O40" s="425" t="e">
        <v>#N/A</v>
      </c>
      <c r="P40" s="425" t="e">
        <v>#N/A</v>
      </c>
      <c r="Q40" s="425" t="e">
        <v>#N/A</v>
      </c>
      <c r="R40" s="425" t="e">
        <v>#N/A</v>
      </c>
      <c r="S40" s="425"/>
      <c r="V40" t="s">
        <v>611</v>
      </c>
      <c r="W40" t="s">
        <v>612</v>
      </c>
      <c r="X40" t="s">
        <v>613</v>
      </c>
      <c r="Y40" t="s">
        <v>614</v>
      </c>
      <c r="Z40" t="s">
        <v>615</v>
      </c>
      <c r="AD40" t="s">
        <v>611</v>
      </c>
      <c r="AE40" t="s">
        <v>612</v>
      </c>
      <c r="AF40" t="s">
        <v>613</v>
      </c>
      <c r="AG40" t="s">
        <v>614</v>
      </c>
      <c r="AH40" t="s">
        <v>615</v>
      </c>
    </row>
    <row r="41" spans="1:35" ht="18" x14ac:dyDescent="0.25">
      <c r="A41" s="425"/>
      <c r="B41" s="425" t="e">
        <v>#N/A</v>
      </c>
      <c r="C41" s="425" t="e">
        <v>#N/A</v>
      </c>
      <c r="D41" s="437" t="e">
        <v>#N/A</v>
      </c>
      <c r="E41" s="437" t="e">
        <v>#N/A</v>
      </c>
      <c r="F41" s="437" t="e">
        <v>#N/A</v>
      </c>
      <c r="G41" s="437" t="e">
        <v>#N/A</v>
      </c>
      <c r="H41" s="425" t="e">
        <v>#N/A</v>
      </c>
      <c r="I41" s="425"/>
      <c r="J41" s="425"/>
      <c r="K41" s="425"/>
      <c r="L41" s="425"/>
      <c r="M41" s="425"/>
      <c r="N41" s="425"/>
      <c r="O41" s="425"/>
      <c r="P41" s="425"/>
      <c r="Q41" s="425"/>
      <c r="R41" s="425"/>
      <c r="S41" s="425"/>
    </row>
    <row r="42" spans="1:35" x14ac:dyDescent="0.2">
      <c r="M42" s="18"/>
      <c r="N42" s="18"/>
      <c r="O42" s="18"/>
      <c r="P42" s="18"/>
      <c r="Q42" s="18"/>
      <c r="R42" s="23"/>
    </row>
    <row r="43" spans="1:35" x14ac:dyDescent="0.2">
      <c r="B43" s="18"/>
      <c r="C43" s="18"/>
      <c r="D43" s="18"/>
      <c r="E43" s="18" t="s">
        <v>186</v>
      </c>
      <c r="F43" s="18" t="s">
        <v>187</v>
      </c>
      <c r="L43" s="18"/>
      <c r="M43" s="18"/>
      <c r="N43" s="18"/>
      <c r="O43" s="18"/>
      <c r="P43" s="18"/>
      <c r="Q43" s="23"/>
    </row>
    <row r="44" spans="1:35" x14ac:dyDescent="0.2">
      <c r="A44" s="356" t="s">
        <v>600</v>
      </c>
      <c r="B44" s="438">
        <v>5</v>
      </c>
      <c r="C44" s="18">
        <f>B44^2</f>
        <v>25</v>
      </c>
      <c r="D44" s="18">
        <f>B44^3</f>
        <v>125</v>
      </c>
      <c r="E44" s="57">
        <f>R20+Q20*C9+P20*C9^2+O20*C9^3+N20*C9^4+M20*C9^5</f>
        <v>5.8686949325056048</v>
      </c>
      <c r="F44" s="57">
        <f>$E$48+$D$48*B44+$C$48*C44+$B$48*D44</f>
        <v>5.8686949325056057</v>
      </c>
      <c r="L44" s="18"/>
      <c r="M44" s="18"/>
      <c r="N44" s="18"/>
      <c r="O44" s="18"/>
      <c r="P44" s="18"/>
      <c r="Q44" s="23"/>
    </row>
    <row r="45" spans="1:35" x14ac:dyDescent="0.2">
      <c r="A45" t="s">
        <v>601</v>
      </c>
      <c r="B45" s="18">
        <v>10</v>
      </c>
      <c r="C45" s="18">
        <f>B45^2</f>
        <v>100</v>
      </c>
      <c r="D45" s="18">
        <f>B45^3</f>
        <v>1000</v>
      </c>
      <c r="E45" s="57">
        <f>R36+Q36*$C$9+P36*$C$9^2+O36*$C$9^3+N36*$C$9^4+M36*$C$9^5</f>
        <v>2.9555935831049283</v>
      </c>
      <c r="F45" s="57">
        <f>$E$48+$D$48*B45+$C$48*C45+$B$48*D45</f>
        <v>2.9555935831049238</v>
      </c>
      <c r="L45" s="18"/>
      <c r="M45" s="18"/>
      <c r="N45" s="18"/>
      <c r="O45" s="18"/>
      <c r="P45" s="18"/>
      <c r="Q45" s="23"/>
    </row>
    <row r="46" spans="1:35" x14ac:dyDescent="0.2">
      <c r="A46" t="s">
        <v>602</v>
      </c>
      <c r="B46" s="18">
        <v>15</v>
      </c>
      <c r="C46" s="18">
        <f>B46^2</f>
        <v>225</v>
      </c>
      <c r="D46" s="18">
        <f>B46^3</f>
        <v>3375</v>
      </c>
      <c r="E46" s="57">
        <f>G20+F20*$C$9+E20*$C$9^2+D20*$C$9^3+C20*$C$9^4+B20*$C$9^5</f>
        <v>2.4912444273920187</v>
      </c>
      <c r="F46" s="57">
        <f>$E$48+$D$48*B46+$C$48*C46+$B$48*D46</f>
        <v>2.491244427392024</v>
      </c>
      <c r="L46" s="18"/>
      <c r="M46" s="18"/>
      <c r="N46" s="18"/>
      <c r="O46" s="18"/>
      <c r="P46" s="18"/>
      <c r="Q46" s="23"/>
    </row>
    <row r="47" spans="1:35" x14ac:dyDescent="0.2">
      <c r="A47" t="s">
        <v>603</v>
      </c>
      <c r="B47" s="18">
        <v>20</v>
      </c>
      <c r="C47" s="18">
        <f>B47^2</f>
        <v>400</v>
      </c>
      <c r="D47" s="18">
        <f>B47^3</f>
        <v>8000</v>
      </c>
      <c r="E47" s="57">
        <f>G36+F36*$C$9+E36*$C$9^2+D36*$C$9^3+C36*$C$9^4+B36*$C$9^5</f>
        <v>2.2767600455495085</v>
      </c>
      <c r="F47" s="57">
        <f>$E$48+$D$48*B47+$C$48*C47+$B$48*D47</f>
        <v>2.2767600455495014</v>
      </c>
    </row>
    <row r="48" spans="1:35" x14ac:dyDescent="0.2">
      <c r="B48">
        <f t="array" ref="B48:E53">LINEST(E44:E47,B44:D47,TRUE,TRUE)</f>
        <v>-2.9318498930898567E-3</v>
      </c>
      <c r="C48" s="18">
        <v>0.13693054066645127</v>
      </c>
      <c r="D48">
        <v>-2.1235046485861804</v>
      </c>
      <c r="E48">
        <v>13.429435895411459</v>
      </c>
    </row>
    <row r="49" spans="1:19" x14ac:dyDescent="0.2">
      <c r="B49">
        <v>0</v>
      </c>
      <c r="C49">
        <v>0</v>
      </c>
      <c r="D49">
        <v>0</v>
      </c>
      <c r="E49">
        <v>0</v>
      </c>
      <c r="L49" s="430"/>
    </row>
    <row r="50" spans="1:19" x14ac:dyDescent="0.2">
      <c r="A50" s="356"/>
      <c r="B50" s="331">
        <v>1</v>
      </c>
      <c r="C50" s="356">
        <v>0</v>
      </c>
      <c r="D50" t="e">
        <v>#N/A</v>
      </c>
      <c r="E50" t="e">
        <v>#N/A</v>
      </c>
      <c r="G50" s="331"/>
      <c r="H50" s="356"/>
      <c r="J50" s="356"/>
      <c r="K50" s="331"/>
      <c r="L50" s="356"/>
      <c r="O50" s="331"/>
      <c r="P50" s="356"/>
      <c r="Q50" s="356"/>
    </row>
    <row r="51" spans="1:19" x14ac:dyDescent="0.2">
      <c r="B51" s="56" t="e">
        <v>#NUM!</v>
      </c>
      <c r="C51" s="49">
        <v>0</v>
      </c>
      <c r="D51" t="e">
        <v>#N/A</v>
      </c>
      <c r="E51" t="e">
        <v>#N/A</v>
      </c>
      <c r="G51" s="56"/>
      <c r="L51" s="49"/>
      <c r="O51" s="18"/>
      <c r="P51" s="18"/>
      <c r="Q51" s="18"/>
    </row>
    <row r="52" spans="1:19" x14ac:dyDescent="0.2">
      <c r="B52" s="56">
        <v>8.3794415696700071</v>
      </c>
      <c r="C52" s="49">
        <v>0</v>
      </c>
      <c r="D52" t="e">
        <v>#N/A</v>
      </c>
      <c r="E52" t="e">
        <v>#N/A</v>
      </c>
      <c r="G52" s="56"/>
      <c r="L52" s="49"/>
      <c r="O52" s="18"/>
      <c r="P52" s="18"/>
      <c r="Q52" s="18"/>
    </row>
    <row r="53" spans="1:19" x14ac:dyDescent="0.2">
      <c r="B53" s="56" t="e">
        <v>#N/A</v>
      </c>
      <c r="C53" s="49" t="e">
        <v>#N/A</v>
      </c>
      <c r="D53" t="e">
        <v>#N/A</v>
      </c>
      <c r="E53" t="e">
        <v>#N/A</v>
      </c>
      <c r="G53" s="56"/>
      <c r="L53" s="49"/>
      <c r="O53" s="18"/>
      <c r="P53" s="18"/>
      <c r="Q53" s="18"/>
    </row>
    <row r="54" spans="1:19" x14ac:dyDescent="0.2">
      <c r="B54" s="56"/>
      <c r="C54" s="49"/>
      <c r="G54" s="18"/>
      <c r="L54" s="49"/>
      <c r="O54" s="18"/>
      <c r="P54" s="18"/>
      <c r="Q54" s="18"/>
      <c r="R54" s="117"/>
    </row>
    <row r="55" spans="1:19" ht="18.75" x14ac:dyDescent="0.3">
      <c r="E55" s="412" t="s">
        <v>596</v>
      </c>
      <c r="F55" s="412"/>
      <c r="G55" s="418"/>
      <c r="H55" s="418">
        <v>5</v>
      </c>
      <c r="P55" s="18"/>
      <c r="Q55" s="18"/>
    </row>
    <row r="57" spans="1:19" x14ac:dyDescent="0.2">
      <c r="A57" s="425"/>
      <c r="B57" s="425"/>
      <c r="C57" s="425"/>
      <c r="D57" s="425"/>
      <c r="E57" s="425"/>
      <c r="F57" s="425"/>
      <c r="G57" s="425"/>
      <c r="H57" s="425"/>
      <c r="I57" s="425"/>
      <c r="J57" s="425"/>
      <c r="K57" s="425"/>
      <c r="L57" s="425"/>
      <c r="M57" s="426"/>
      <c r="N57" s="426"/>
      <c r="O57" s="426"/>
      <c r="P57" s="426"/>
      <c r="Q57" s="426"/>
      <c r="R57" s="426"/>
      <c r="S57" s="425"/>
    </row>
    <row r="58" spans="1:19" x14ac:dyDescent="0.2">
      <c r="A58" s="425"/>
      <c r="B58" s="425"/>
      <c r="C58" s="425"/>
      <c r="D58" s="425"/>
      <c r="E58" s="425"/>
      <c r="F58" s="425"/>
      <c r="G58" s="425"/>
      <c r="H58" s="425"/>
      <c r="I58" s="425"/>
      <c r="J58" s="425"/>
      <c r="K58" s="425"/>
      <c r="L58" s="425"/>
      <c r="M58" s="425"/>
      <c r="N58" s="425"/>
      <c r="O58" s="425"/>
      <c r="P58" s="425"/>
      <c r="Q58" s="425"/>
      <c r="R58" s="425"/>
      <c r="S58" s="425"/>
    </row>
    <row r="59" spans="1:19" x14ac:dyDescent="0.2">
      <c r="A59" s="427" t="s">
        <v>597</v>
      </c>
      <c r="B59" s="425"/>
      <c r="C59" s="428" t="s">
        <v>598</v>
      </c>
      <c r="D59" s="429">
        <v>15</v>
      </c>
      <c r="E59" s="425"/>
      <c r="F59" s="425"/>
      <c r="G59" s="425"/>
      <c r="H59" s="425"/>
      <c r="I59" s="425"/>
      <c r="J59" s="425"/>
      <c r="K59" s="425"/>
      <c r="L59" s="427" t="s">
        <v>597</v>
      </c>
      <c r="M59" s="425"/>
      <c r="N59" s="428" t="s">
        <v>598</v>
      </c>
      <c r="O59" s="429">
        <v>5</v>
      </c>
      <c r="P59" s="425"/>
      <c r="Q59" s="425"/>
      <c r="R59" s="425"/>
      <c r="S59" s="425"/>
    </row>
    <row r="60" spans="1:19" x14ac:dyDescent="0.2">
      <c r="A60" s="425"/>
      <c r="B60" s="425" t="s">
        <v>75</v>
      </c>
      <c r="C60" s="425"/>
      <c r="D60" s="425"/>
      <c r="E60" s="425"/>
      <c r="F60" s="425"/>
      <c r="G60" s="425" t="s">
        <v>599</v>
      </c>
      <c r="H60" s="425" t="s">
        <v>64</v>
      </c>
      <c r="I60" s="425"/>
      <c r="J60" s="425"/>
      <c r="K60" s="425"/>
      <c r="L60" s="425"/>
      <c r="M60" s="425" t="s">
        <v>75</v>
      </c>
      <c r="N60" s="425"/>
      <c r="O60" s="425"/>
      <c r="P60" s="425"/>
      <c r="Q60" s="425"/>
      <c r="R60" s="425" t="s">
        <v>599</v>
      </c>
      <c r="S60" s="425" t="s">
        <v>64</v>
      </c>
    </row>
    <row r="61" spans="1:19" x14ac:dyDescent="0.2">
      <c r="A61" s="425"/>
      <c r="B61" s="432">
        <v>0.8</v>
      </c>
      <c r="C61" s="432">
        <f t="shared" ref="C61:C66" si="20">B61^2</f>
        <v>0.64000000000000012</v>
      </c>
      <c r="D61" s="432">
        <f t="shared" ref="D61:D66" si="21">B61^3</f>
        <v>0.51200000000000012</v>
      </c>
      <c r="E61" s="432">
        <f t="shared" ref="E61:E66" si="22">B61^4</f>
        <v>0.40960000000000019</v>
      </c>
      <c r="F61" s="432">
        <f t="shared" ref="F61:F66" si="23">B61^5</f>
        <v>0.32768000000000019</v>
      </c>
      <c r="G61" s="433">
        <v>3.3</v>
      </c>
      <c r="H61" s="426">
        <f t="shared" ref="H61:H66" si="24">$G$67+$F$67*B61+$E$67*C61+$D$67*D61+$C$67*E61+$B$67*F61</f>
        <v>3.300000000006662</v>
      </c>
      <c r="I61" s="425"/>
      <c r="J61" s="425"/>
      <c r="K61" s="425"/>
      <c r="L61" s="425"/>
      <c r="M61" s="432">
        <v>0.8</v>
      </c>
      <c r="N61" s="432">
        <f t="shared" ref="N61:N66" si="25">M61^2</f>
        <v>0.64000000000000012</v>
      </c>
      <c r="O61" s="432">
        <f t="shared" ref="O61:O66" si="26">M61^3</f>
        <v>0.51200000000000012</v>
      </c>
      <c r="P61" s="432">
        <f t="shared" ref="P61:P66" si="27">M61^4</f>
        <v>0.40960000000000019</v>
      </c>
      <c r="Q61" s="432">
        <f t="shared" ref="Q61:Q66" si="28">M61^5</f>
        <v>0.32768000000000019</v>
      </c>
      <c r="R61" s="433">
        <v>4.8</v>
      </c>
      <c r="S61" s="426">
        <f t="shared" ref="S61:S66" si="29">$R$67+$Q$67*M61+$P$67*N61+$O$67*O61+$N$67*P61+$M$67*Q61</f>
        <v>4.8000000000674845</v>
      </c>
    </row>
    <row r="62" spans="1:19" x14ac:dyDescent="0.2">
      <c r="A62" s="427">
        <v>1500</v>
      </c>
      <c r="B62" s="432">
        <v>0.9</v>
      </c>
      <c r="C62" s="432">
        <f t="shared" si="20"/>
        <v>0.81</v>
      </c>
      <c r="D62" s="432">
        <f t="shared" si="21"/>
        <v>0.72900000000000009</v>
      </c>
      <c r="E62" s="432">
        <f t="shared" si="22"/>
        <v>0.65610000000000013</v>
      </c>
      <c r="F62" s="432">
        <f t="shared" si="23"/>
        <v>0.59049000000000018</v>
      </c>
      <c r="G62" s="433">
        <v>2.5</v>
      </c>
      <c r="H62" s="426">
        <f t="shared" si="24"/>
        <v>2.5000000000045475</v>
      </c>
      <c r="I62" s="425"/>
      <c r="J62" s="425"/>
      <c r="K62" s="425"/>
      <c r="L62" s="427">
        <v>1500</v>
      </c>
      <c r="M62" s="432">
        <v>0.9</v>
      </c>
      <c r="N62" s="432">
        <f t="shared" si="25"/>
        <v>0.81</v>
      </c>
      <c r="O62" s="432">
        <f t="shared" si="26"/>
        <v>0.72900000000000009</v>
      </c>
      <c r="P62" s="432">
        <f t="shared" si="27"/>
        <v>0.65610000000000013</v>
      </c>
      <c r="Q62" s="432">
        <f t="shared" si="28"/>
        <v>0.59049000000000018</v>
      </c>
      <c r="R62" s="433">
        <v>4.5</v>
      </c>
      <c r="S62" s="426">
        <f t="shared" si="29"/>
        <v>4.5000000000418368</v>
      </c>
    </row>
    <row r="63" spans="1:19" x14ac:dyDescent="0.2">
      <c r="A63" s="425"/>
      <c r="B63" s="432">
        <v>1</v>
      </c>
      <c r="C63" s="432">
        <f t="shared" si="20"/>
        <v>1</v>
      </c>
      <c r="D63" s="432">
        <f t="shared" si="21"/>
        <v>1</v>
      </c>
      <c r="E63" s="432">
        <f t="shared" si="22"/>
        <v>1</v>
      </c>
      <c r="F63" s="432">
        <f t="shared" si="23"/>
        <v>1</v>
      </c>
      <c r="G63" s="433">
        <v>2.2999999999999998</v>
      </c>
      <c r="H63" s="426">
        <f t="shared" si="24"/>
        <v>2.3000000000070031</v>
      </c>
      <c r="I63" s="425"/>
      <c r="J63" s="425"/>
      <c r="K63" s="425"/>
      <c r="L63" s="425"/>
      <c r="M63" s="432">
        <v>1</v>
      </c>
      <c r="N63" s="432">
        <f t="shared" si="25"/>
        <v>1</v>
      </c>
      <c r="O63" s="432">
        <f t="shared" si="26"/>
        <v>1</v>
      </c>
      <c r="P63" s="432">
        <f t="shared" si="27"/>
        <v>1</v>
      </c>
      <c r="Q63" s="432">
        <f t="shared" si="28"/>
        <v>1</v>
      </c>
      <c r="R63" s="433">
        <v>3</v>
      </c>
      <c r="S63" s="426">
        <f t="shared" si="29"/>
        <v>3.0000000000418368</v>
      </c>
    </row>
    <row r="64" spans="1:19" x14ac:dyDescent="0.2">
      <c r="A64" s="425"/>
      <c r="B64" s="432">
        <v>1.07</v>
      </c>
      <c r="C64" s="432">
        <f t="shared" si="20"/>
        <v>1.1449</v>
      </c>
      <c r="D64" s="432">
        <f t="shared" si="21"/>
        <v>1.2250430000000001</v>
      </c>
      <c r="E64" s="432">
        <f t="shared" si="22"/>
        <v>1.31079601</v>
      </c>
      <c r="F64" s="432">
        <f t="shared" si="23"/>
        <v>1.4025517307000002</v>
      </c>
      <c r="G64" s="433">
        <v>2.2000000000000002</v>
      </c>
      <c r="H64" s="426">
        <f t="shared" si="24"/>
        <v>2.200000000012551</v>
      </c>
      <c r="I64" s="425"/>
      <c r="J64" s="425"/>
      <c r="K64" s="425"/>
      <c r="L64" s="425"/>
      <c r="M64" s="432">
        <v>1.07</v>
      </c>
      <c r="N64" s="432">
        <f t="shared" si="25"/>
        <v>1.1449</v>
      </c>
      <c r="O64" s="432">
        <f t="shared" si="26"/>
        <v>1.2250430000000001</v>
      </c>
      <c r="P64" s="432">
        <f t="shared" si="27"/>
        <v>1.31079601</v>
      </c>
      <c r="Q64" s="432">
        <f t="shared" si="28"/>
        <v>1.4025517307000002</v>
      </c>
      <c r="R64" s="433">
        <v>2.7</v>
      </c>
      <c r="S64" s="426">
        <f t="shared" si="29"/>
        <v>2.7000000000189175</v>
      </c>
    </row>
    <row r="65" spans="1:19" x14ac:dyDescent="0.2">
      <c r="A65" s="425"/>
      <c r="B65" s="432">
        <v>1.1499999999999999</v>
      </c>
      <c r="C65" s="432">
        <f t="shared" si="20"/>
        <v>1.3224999999999998</v>
      </c>
      <c r="D65" s="432">
        <f t="shared" si="21"/>
        <v>1.5208749999999995</v>
      </c>
      <c r="E65" s="432">
        <f t="shared" si="22"/>
        <v>1.7490062499999994</v>
      </c>
      <c r="F65" s="432">
        <f t="shared" si="23"/>
        <v>2.0113571874999994</v>
      </c>
      <c r="G65" s="433">
        <v>2.1</v>
      </c>
      <c r="H65" s="426">
        <f t="shared" si="24"/>
        <v>2.1000000000121872</v>
      </c>
      <c r="I65" s="425"/>
      <c r="J65" s="427"/>
      <c r="K65" s="425"/>
      <c r="L65" s="425"/>
      <c r="M65" s="432">
        <v>1.1499999999999999</v>
      </c>
      <c r="N65" s="432">
        <f t="shared" si="25"/>
        <v>1.3224999999999998</v>
      </c>
      <c r="O65" s="432">
        <f t="shared" si="26"/>
        <v>1.5208749999999995</v>
      </c>
      <c r="P65" s="432">
        <f t="shared" si="27"/>
        <v>1.7490062499999994</v>
      </c>
      <c r="Q65" s="432">
        <f t="shared" si="28"/>
        <v>2.0113571874999994</v>
      </c>
      <c r="R65" s="433">
        <v>2.2999999999999998</v>
      </c>
      <c r="S65" s="426">
        <f t="shared" si="29"/>
        <v>2.3000000000465661</v>
      </c>
    </row>
    <row r="66" spans="1:19" x14ac:dyDescent="0.2">
      <c r="A66" s="425"/>
      <c r="B66" s="432">
        <v>1.2</v>
      </c>
      <c r="C66" s="432">
        <f t="shared" si="20"/>
        <v>1.44</v>
      </c>
      <c r="D66" s="432">
        <f t="shared" si="21"/>
        <v>1.728</v>
      </c>
      <c r="E66" s="432">
        <f t="shared" si="22"/>
        <v>2.0735999999999999</v>
      </c>
      <c r="F66" s="432">
        <f t="shared" si="23"/>
        <v>2.4883199999999999</v>
      </c>
      <c r="G66" s="433">
        <v>2.6</v>
      </c>
      <c r="H66" s="426">
        <f t="shared" si="24"/>
        <v>2.6000000000176442</v>
      </c>
      <c r="I66" s="425"/>
      <c r="J66" s="427"/>
      <c r="K66" s="425"/>
      <c r="L66" s="425"/>
      <c r="M66" s="432">
        <v>1.2</v>
      </c>
      <c r="N66" s="432">
        <f t="shared" si="25"/>
        <v>1.44</v>
      </c>
      <c r="O66" s="432">
        <f t="shared" si="26"/>
        <v>1.728</v>
      </c>
      <c r="P66" s="432">
        <f t="shared" si="27"/>
        <v>2.0735999999999999</v>
      </c>
      <c r="Q66" s="432">
        <f t="shared" si="28"/>
        <v>2.4883199999999999</v>
      </c>
      <c r="R66" s="433">
        <v>2.8</v>
      </c>
      <c r="S66" s="426">
        <f t="shared" si="29"/>
        <v>2.8000000000502041</v>
      </c>
    </row>
    <row r="67" spans="1:19" x14ac:dyDescent="0.2">
      <c r="A67" s="425"/>
      <c r="B67" s="427">
        <f t="array" ref="B67:H71">LINEST(G61:G66,B61:F66,TRUE,TRUE)</f>
        <v>2985.8268091320265</v>
      </c>
      <c r="C67" s="427">
        <v>-14433.18729088162</v>
      </c>
      <c r="D67" s="427">
        <v>27728.951073892858</v>
      </c>
      <c r="E67" s="427">
        <v>-26449.585437900212</v>
      </c>
      <c r="F67" s="427">
        <v>12515.226649026126</v>
      </c>
      <c r="G67" s="427">
        <v>-2344.9318032691708</v>
      </c>
      <c r="H67" s="425" t="e">
        <v>#N/A</v>
      </c>
      <c r="I67" s="425"/>
      <c r="J67" s="425"/>
      <c r="K67" s="425"/>
      <c r="L67" s="425"/>
      <c r="M67" s="427">
        <f t="array" ref="M67:R73">LINEST(R61:R66,M61:Q66,TRUE,TRUE)</f>
        <v>12457.085397229441</v>
      </c>
      <c r="N67" s="427">
        <v>-63365.424113165922</v>
      </c>
      <c r="O67" s="427">
        <v>128426.65516446682</v>
      </c>
      <c r="P67" s="427">
        <v>-129595.07490161849</v>
      </c>
      <c r="Q67" s="427">
        <v>65080.089932353498</v>
      </c>
      <c r="R67" s="427">
        <v>-13000.331479265305</v>
      </c>
      <c r="S67" s="425"/>
    </row>
    <row r="68" spans="1:19" x14ac:dyDescent="0.2">
      <c r="A68" s="425"/>
      <c r="B68" s="425">
        <v>0</v>
      </c>
      <c r="C68" s="425">
        <v>0</v>
      </c>
      <c r="D68" s="425">
        <v>0</v>
      </c>
      <c r="E68" s="425">
        <v>0</v>
      </c>
      <c r="F68" s="425">
        <v>0</v>
      </c>
      <c r="G68" s="425">
        <v>0</v>
      </c>
      <c r="H68" s="425" t="e">
        <v>#N/A</v>
      </c>
      <c r="I68" s="425"/>
      <c r="J68" s="425"/>
      <c r="K68" s="425"/>
      <c r="L68" s="425"/>
      <c r="M68" s="425">
        <v>0</v>
      </c>
      <c r="N68" s="425">
        <v>0</v>
      </c>
      <c r="O68" s="425">
        <v>0</v>
      </c>
      <c r="P68" s="425">
        <v>0</v>
      </c>
      <c r="Q68" s="425">
        <v>0</v>
      </c>
      <c r="R68" s="425">
        <v>0</v>
      </c>
      <c r="S68" s="425"/>
    </row>
    <row r="69" spans="1:19" x14ac:dyDescent="0.2">
      <c r="A69" s="425"/>
      <c r="B69" s="425">
        <v>1</v>
      </c>
      <c r="C69" s="425">
        <v>0</v>
      </c>
      <c r="D69" s="425" t="e">
        <v>#N/A</v>
      </c>
      <c r="E69" s="425" t="e">
        <v>#N/A</v>
      </c>
      <c r="F69" s="425" t="e">
        <v>#N/A</v>
      </c>
      <c r="G69" s="425" t="e">
        <v>#N/A</v>
      </c>
      <c r="H69" s="425" t="e">
        <v>#N/A</v>
      </c>
      <c r="I69" s="425"/>
      <c r="J69" s="425"/>
      <c r="K69" s="425"/>
      <c r="L69" s="425"/>
      <c r="M69" s="425">
        <v>1</v>
      </c>
      <c r="N69" s="425">
        <v>0</v>
      </c>
      <c r="O69" s="425" t="e">
        <v>#N/A</v>
      </c>
      <c r="P69" s="425" t="e">
        <v>#N/A</v>
      </c>
      <c r="Q69" s="425" t="e">
        <v>#N/A</v>
      </c>
      <c r="R69" s="425" t="e">
        <v>#N/A</v>
      </c>
      <c r="S69" s="425"/>
    </row>
    <row r="70" spans="1:19" x14ac:dyDescent="0.2">
      <c r="A70" s="425"/>
      <c r="B70" s="425" t="e">
        <v>#NUM!</v>
      </c>
      <c r="C70" s="425">
        <v>0</v>
      </c>
      <c r="D70" s="425" t="e">
        <v>#N/A</v>
      </c>
      <c r="E70" s="425" t="e">
        <v>#N/A</v>
      </c>
      <c r="F70" s="425" t="e">
        <v>#N/A</v>
      </c>
      <c r="G70" s="425" t="e">
        <v>#N/A</v>
      </c>
      <c r="H70" s="425" t="e">
        <v>#N/A</v>
      </c>
      <c r="I70" s="425"/>
      <c r="J70" s="425"/>
      <c r="K70" s="425"/>
      <c r="L70" s="425"/>
      <c r="M70" s="425" t="e">
        <v>#NUM!</v>
      </c>
      <c r="N70" s="425">
        <v>0</v>
      </c>
      <c r="O70" s="425" t="e">
        <v>#N/A</v>
      </c>
      <c r="P70" s="425" t="e">
        <v>#N/A</v>
      </c>
      <c r="Q70" s="425" t="e">
        <v>#N/A</v>
      </c>
      <c r="R70" s="425" t="e">
        <v>#N/A</v>
      </c>
      <c r="S70" s="425"/>
    </row>
    <row r="71" spans="1:19" x14ac:dyDescent="0.2">
      <c r="A71" s="425"/>
      <c r="B71" s="425">
        <v>0.9399999999999995</v>
      </c>
      <c r="C71" s="425">
        <v>0</v>
      </c>
      <c r="D71" s="425" t="e">
        <v>#N/A</v>
      </c>
      <c r="E71" s="425" t="e">
        <v>#N/A</v>
      </c>
      <c r="F71" s="425" t="e">
        <v>#N/A</v>
      </c>
      <c r="G71" s="425" t="e">
        <v>#N/A</v>
      </c>
      <c r="H71" s="425" t="e">
        <v>#N/A</v>
      </c>
      <c r="I71" s="425"/>
      <c r="J71" s="427"/>
      <c r="K71" s="425"/>
      <c r="L71" s="425"/>
      <c r="M71" s="425">
        <v>5.375</v>
      </c>
      <c r="N71" s="425">
        <v>0</v>
      </c>
      <c r="O71" s="425" t="e">
        <v>#N/A</v>
      </c>
      <c r="P71" s="425" t="e">
        <v>#N/A</v>
      </c>
      <c r="Q71" s="425" t="e">
        <v>#N/A</v>
      </c>
      <c r="R71" s="425" t="e">
        <v>#N/A</v>
      </c>
      <c r="S71" s="425"/>
    </row>
    <row r="72" spans="1:19" x14ac:dyDescent="0.2">
      <c r="A72" s="425"/>
      <c r="B72" s="425"/>
      <c r="C72" s="425"/>
      <c r="D72" s="425"/>
      <c r="E72" s="425"/>
      <c r="F72" s="425"/>
      <c r="G72" s="425"/>
      <c r="H72" s="425"/>
      <c r="I72" s="425"/>
      <c r="J72" s="425"/>
      <c r="K72" s="425"/>
      <c r="L72" s="425"/>
      <c r="M72" s="425" t="e">
        <v>#N/A</v>
      </c>
      <c r="N72" s="425" t="e">
        <v>#N/A</v>
      </c>
      <c r="O72" s="425" t="e">
        <v>#N/A</v>
      </c>
      <c r="P72" s="425" t="e">
        <v>#N/A</v>
      </c>
      <c r="Q72" s="425" t="e">
        <v>#N/A</v>
      </c>
      <c r="R72" s="425" t="e">
        <v>#N/A</v>
      </c>
      <c r="S72" s="425"/>
    </row>
    <row r="73" spans="1:19" x14ac:dyDescent="0.2">
      <c r="A73" s="425"/>
      <c r="B73" s="425"/>
      <c r="C73" s="425"/>
      <c r="D73" s="425"/>
      <c r="E73" s="425"/>
      <c r="F73" s="425"/>
      <c r="G73" s="425"/>
      <c r="H73" s="425"/>
      <c r="I73" s="425"/>
      <c r="J73" s="425"/>
      <c r="K73" s="425"/>
      <c r="L73" s="425"/>
      <c r="M73" s="425" t="e">
        <v>#N/A</v>
      </c>
      <c r="N73" s="425" t="e">
        <v>#N/A</v>
      </c>
      <c r="O73" s="425" t="e">
        <v>#N/A</v>
      </c>
      <c r="P73" s="425" t="e">
        <v>#N/A</v>
      </c>
      <c r="Q73" s="425" t="e">
        <v>#N/A</v>
      </c>
      <c r="R73" s="425" t="e">
        <v>#N/A</v>
      </c>
      <c r="S73" s="425"/>
    </row>
    <row r="74" spans="1:19" x14ac:dyDescent="0.2">
      <c r="A74" s="427" t="s">
        <v>597</v>
      </c>
      <c r="B74" s="425"/>
      <c r="C74" s="428" t="s">
        <v>598</v>
      </c>
      <c r="D74" s="429">
        <v>20</v>
      </c>
      <c r="E74" s="425"/>
      <c r="F74" s="425"/>
      <c r="G74" s="425"/>
      <c r="H74" s="425"/>
      <c r="I74" s="425"/>
      <c r="J74" s="425"/>
      <c r="K74" s="425"/>
      <c r="L74" s="427" t="s">
        <v>597</v>
      </c>
      <c r="M74" s="425"/>
      <c r="N74" s="428" t="s">
        <v>598</v>
      </c>
      <c r="O74" s="429">
        <v>10</v>
      </c>
      <c r="P74" s="425"/>
      <c r="Q74" s="425"/>
      <c r="R74" s="425"/>
      <c r="S74" s="425"/>
    </row>
    <row r="75" spans="1:19" x14ac:dyDescent="0.2">
      <c r="A75" s="425"/>
      <c r="B75" s="425"/>
      <c r="C75" s="425"/>
      <c r="D75" s="425"/>
      <c r="E75" s="425"/>
      <c r="F75" s="425"/>
      <c r="G75" s="425"/>
      <c r="H75" s="425"/>
      <c r="I75" s="425"/>
      <c r="J75" s="425"/>
      <c r="K75" s="425"/>
      <c r="L75" s="425"/>
      <c r="M75" s="425"/>
      <c r="N75" s="425"/>
      <c r="O75" s="425"/>
      <c r="P75" s="425"/>
      <c r="Q75" s="425"/>
      <c r="R75" s="425"/>
      <c r="S75" s="425"/>
    </row>
    <row r="76" spans="1:19" x14ac:dyDescent="0.2">
      <c r="A76" s="425"/>
      <c r="B76" s="425"/>
      <c r="C76" s="425"/>
      <c r="D76" s="425"/>
      <c r="E76" s="425"/>
      <c r="F76" s="425"/>
      <c r="G76" s="425" t="s">
        <v>599</v>
      </c>
      <c r="H76" s="425" t="s">
        <v>64</v>
      </c>
      <c r="I76" s="425"/>
      <c r="J76" s="427"/>
      <c r="K76" s="425"/>
      <c r="L76" s="425"/>
      <c r="M76" s="425"/>
      <c r="N76" s="425"/>
      <c r="O76" s="425"/>
      <c r="P76" s="425"/>
      <c r="Q76" s="425"/>
      <c r="R76" s="425" t="s">
        <v>599</v>
      </c>
      <c r="S76" s="425" t="s">
        <v>64</v>
      </c>
    </row>
    <row r="77" spans="1:19" x14ac:dyDescent="0.2">
      <c r="A77" s="425"/>
      <c r="B77" s="432">
        <v>0.8</v>
      </c>
      <c r="C77" s="432">
        <f t="shared" ref="C77:C82" si="30">B77^2</f>
        <v>0.64000000000000012</v>
      </c>
      <c r="D77" s="432">
        <f t="shared" ref="D77:D82" si="31">B77^3</f>
        <v>0.51200000000000012</v>
      </c>
      <c r="E77" s="432">
        <f t="shared" ref="E77:E82" si="32">B77^4</f>
        <v>0.40960000000000019</v>
      </c>
      <c r="F77" s="432">
        <f t="shared" ref="F77:F82" si="33">B77^5</f>
        <v>0.32768000000000019</v>
      </c>
      <c r="G77" s="433">
        <v>3</v>
      </c>
      <c r="H77" s="426">
        <f t="shared" ref="H77:H82" si="34">$G$83+$F$83*B77+$E$83*C77+$D$83*D77+$C$83*E77+$B$83*F77</f>
        <v>2.9999999999924967</v>
      </c>
      <c r="I77" s="425"/>
      <c r="J77" s="425"/>
      <c r="K77" s="425"/>
      <c r="L77" s="425"/>
      <c r="M77" s="432">
        <v>0.8</v>
      </c>
      <c r="N77" s="432">
        <f t="shared" ref="N77:N82" si="35">M77^2</f>
        <v>0.64000000000000012</v>
      </c>
      <c r="O77" s="432">
        <f t="shared" ref="O77:O82" si="36">M77^3</f>
        <v>0.51200000000000012</v>
      </c>
      <c r="P77" s="432">
        <f t="shared" ref="P77:P82" si="37">M77^4</f>
        <v>0.40960000000000019</v>
      </c>
      <c r="Q77" s="432">
        <f t="shared" ref="Q77:Q82" si="38">M77^5</f>
        <v>0.32768000000000019</v>
      </c>
      <c r="R77" s="433">
        <v>3.8</v>
      </c>
      <c r="S77" s="426">
        <f t="shared" ref="S77:S82" si="39">$R$83+$Q$83*M77+$P$83*N77+$O$83*O77+$N$83*P77+$M$83*Q77</f>
        <v>3.8000000000113232</v>
      </c>
    </row>
    <row r="78" spans="1:19" x14ac:dyDescent="0.2">
      <c r="A78" s="427">
        <v>1500</v>
      </c>
      <c r="B78" s="432">
        <v>0.9</v>
      </c>
      <c r="C78" s="432">
        <f t="shared" si="30"/>
        <v>0.81</v>
      </c>
      <c r="D78" s="432">
        <f t="shared" si="31"/>
        <v>0.72900000000000009</v>
      </c>
      <c r="E78" s="432">
        <f t="shared" si="32"/>
        <v>0.65610000000000013</v>
      </c>
      <c r="F78" s="432">
        <f t="shared" si="33"/>
        <v>0.59049000000000018</v>
      </c>
      <c r="G78" s="433">
        <v>2.2999999999999998</v>
      </c>
      <c r="H78" s="426">
        <f t="shared" si="34"/>
        <v>2.3000000000029104</v>
      </c>
      <c r="I78" s="425"/>
      <c r="J78" s="425"/>
      <c r="K78" s="425"/>
      <c r="L78" s="427">
        <v>1500</v>
      </c>
      <c r="M78" s="432">
        <v>0.9</v>
      </c>
      <c r="N78" s="432">
        <f t="shared" si="35"/>
        <v>0.81</v>
      </c>
      <c r="O78" s="432">
        <f t="shared" si="36"/>
        <v>0.72900000000000009</v>
      </c>
      <c r="P78" s="432">
        <f t="shared" si="37"/>
        <v>0.65610000000000013</v>
      </c>
      <c r="Q78" s="432">
        <f t="shared" si="38"/>
        <v>0.59049000000000018</v>
      </c>
      <c r="R78" s="433">
        <v>3</v>
      </c>
      <c r="S78" s="426">
        <f t="shared" si="39"/>
        <v>3.0000000000027285</v>
      </c>
    </row>
    <row r="79" spans="1:19" x14ac:dyDescent="0.2">
      <c r="A79" s="425"/>
      <c r="B79" s="432">
        <v>1</v>
      </c>
      <c r="C79" s="432">
        <f t="shared" si="30"/>
        <v>1</v>
      </c>
      <c r="D79" s="432">
        <f t="shared" si="31"/>
        <v>1</v>
      </c>
      <c r="E79" s="432">
        <f t="shared" si="32"/>
        <v>1</v>
      </c>
      <c r="F79" s="432">
        <f t="shared" si="33"/>
        <v>1</v>
      </c>
      <c r="G79" s="433">
        <v>2.2000000000000002</v>
      </c>
      <c r="H79" s="426">
        <f t="shared" si="34"/>
        <v>2.1999999999979991</v>
      </c>
      <c r="I79" s="425"/>
      <c r="J79" s="425"/>
      <c r="K79" s="425"/>
      <c r="L79" s="425"/>
      <c r="M79" s="432">
        <v>1</v>
      </c>
      <c r="N79" s="432">
        <f t="shared" si="35"/>
        <v>1</v>
      </c>
      <c r="O79" s="432">
        <f t="shared" si="36"/>
        <v>1</v>
      </c>
      <c r="P79" s="432">
        <f t="shared" si="37"/>
        <v>1</v>
      </c>
      <c r="Q79" s="432">
        <f t="shared" si="38"/>
        <v>1</v>
      </c>
      <c r="R79" s="433">
        <v>2.8</v>
      </c>
      <c r="S79" s="426">
        <f t="shared" si="39"/>
        <v>2.8000000000101863</v>
      </c>
    </row>
    <row r="80" spans="1:19" x14ac:dyDescent="0.2">
      <c r="A80" s="425"/>
      <c r="B80" s="432">
        <v>1.07</v>
      </c>
      <c r="C80" s="432">
        <f t="shared" si="30"/>
        <v>1.1449</v>
      </c>
      <c r="D80" s="432">
        <f t="shared" si="31"/>
        <v>1.2250430000000001</v>
      </c>
      <c r="E80" s="432">
        <f t="shared" si="32"/>
        <v>1.31079601</v>
      </c>
      <c r="F80" s="432">
        <f t="shared" si="33"/>
        <v>1.4025517307000002</v>
      </c>
      <c r="G80" s="433">
        <v>2</v>
      </c>
      <c r="H80" s="426">
        <f t="shared" si="34"/>
        <v>2.0000000000045475</v>
      </c>
      <c r="I80" s="425"/>
      <c r="J80" s="425"/>
      <c r="K80" s="425"/>
      <c r="L80" s="425"/>
      <c r="M80" s="432">
        <v>1.07</v>
      </c>
      <c r="N80" s="432">
        <f t="shared" si="35"/>
        <v>1.1449</v>
      </c>
      <c r="O80" s="432">
        <f t="shared" si="36"/>
        <v>1.2250430000000001</v>
      </c>
      <c r="P80" s="432">
        <f t="shared" si="37"/>
        <v>1.31079601</v>
      </c>
      <c r="Q80" s="432">
        <f t="shared" si="38"/>
        <v>1.4025517307000002</v>
      </c>
      <c r="R80" s="433">
        <v>2.5</v>
      </c>
      <c r="S80" s="426">
        <f t="shared" si="39"/>
        <v>2.500000000007276</v>
      </c>
    </row>
    <row r="81" spans="1:19" x14ac:dyDescent="0.2">
      <c r="A81" s="425"/>
      <c r="B81" s="432">
        <v>1.1499999999999999</v>
      </c>
      <c r="C81" s="432">
        <f t="shared" si="30"/>
        <v>1.3224999999999998</v>
      </c>
      <c r="D81" s="432">
        <f t="shared" si="31"/>
        <v>1.5208749999999995</v>
      </c>
      <c r="E81" s="432">
        <f t="shared" si="32"/>
        <v>1.7490062499999994</v>
      </c>
      <c r="F81" s="432">
        <f t="shared" si="33"/>
        <v>2.0113571874999994</v>
      </c>
      <c r="G81" s="433">
        <v>2.2000000000000002</v>
      </c>
      <c r="H81" s="426">
        <f t="shared" si="34"/>
        <v>2.1999999999861757</v>
      </c>
      <c r="I81" s="425"/>
      <c r="J81" s="425"/>
      <c r="K81" s="425"/>
      <c r="L81" s="425"/>
      <c r="M81" s="432">
        <v>1.1499999999999999</v>
      </c>
      <c r="N81" s="432">
        <f t="shared" si="35"/>
        <v>1.3224999999999998</v>
      </c>
      <c r="O81" s="432">
        <f t="shared" si="36"/>
        <v>1.5208749999999995</v>
      </c>
      <c r="P81" s="432">
        <f t="shared" si="37"/>
        <v>1.7490062499999994</v>
      </c>
      <c r="Q81" s="432">
        <f t="shared" si="38"/>
        <v>2.0113571874999994</v>
      </c>
      <c r="R81" s="433">
        <v>2</v>
      </c>
      <c r="S81" s="426">
        <f t="shared" si="39"/>
        <v>2.0000000000181899</v>
      </c>
    </row>
    <row r="82" spans="1:19" x14ac:dyDescent="0.2">
      <c r="A82" s="425"/>
      <c r="B82" s="432">
        <v>1.2</v>
      </c>
      <c r="C82" s="432">
        <f t="shared" si="30"/>
        <v>1.44</v>
      </c>
      <c r="D82" s="432">
        <f t="shared" si="31"/>
        <v>1.728</v>
      </c>
      <c r="E82" s="432">
        <f t="shared" si="32"/>
        <v>2.0735999999999999</v>
      </c>
      <c r="F82" s="432">
        <f t="shared" si="33"/>
        <v>2.4883199999999999</v>
      </c>
      <c r="G82" s="433">
        <v>2.5</v>
      </c>
      <c r="H82" s="426">
        <f t="shared" si="34"/>
        <v>2.500000000001819</v>
      </c>
      <c r="I82" s="425"/>
      <c r="J82" s="425"/>
      <c r="K82" s="425"/>
      <c r="L82" s="425"/>
      <c r="M82" s="432">
        <v>1.2</v>
      </c>
      <c r="N82" s="432">
        <f t="shared" si="35"/>
        <v>1.44</v>
      </c>
      <c r="O82" s="432">
        <f t="shared" si="36"/>
        <v>1.728</v>
      </c>
      <c r="P82" s="432">
        <f t="shared" si="37"/>
        <v>2.0735999999999999</v>
      </c>
      <c r="Q82" s="432">
        <f t="shared" si="38"/>
        <v>2.4883199999999999</v>
      </c>
      <c r="R82" s="433">
        <v>2.7</v>
      </c>
      <c r="S82" s="426">
        <f t="shared" si="39"/>
        <v>2.7000000000061846</v>
      </c>
    </row>
    <row r="83" spans="1:19" x14ac:dyDescent="0.2">
      <c r="A83" s="425"/>
      <c r="B83" s="436">
        <f t="array" ref="B83:H88">LINEST(G77:G82,B77:F82,TRUE,TRUE)</f>
        <v>-4336.1105122148283</v>
      </c>
      <c r="C83" s="427">
        <v>22299.739039070959</v>
      </c>
      <c r="D83" s="427">
        <v>-45613.293527389782</v>
      </c>
      <c r="E83" s="427">
        <v>46391.534010771953</v>
      </c>
      <c r="F83" s="427">
        <v>-23464.885558034523</v>
      </c>
      <c r="G83" s="427">
        <v>4725.216547796218</v>
      </c>
      <c r="H83" s="425" t="e">
        <v>#N/A</v>
      </c>
      <c r="I83" s="425"/>
      <c r="J83" s="425"/>
      <c r="K83" s="425"/>
      <c r="L83" s="425"/>
      <c r="M83" s="436">
        <f t="array" ref="M83:R87">LINEST(R77:R82,M77:Q82,TRUE,TRUE)</f>
        <v>5864.9955704360655</v>
      </c>
      <c r="N83" s="427">
        <v>-28392.037154517562</v>
      </c>
      <c r="O83" s="427">
        <v>54655.737204951525</v>
      </c>
      <c r="P83" s="427">
        <v>-52291.012020016315</v>
      </c>
      <c r="Q83" s="427">
        <v>24856.347426505588</v>
      </c>
      <c r="R83" s="427">
        <v>-4691.2310273592939</v>
      </c>
      <c r="S83" s="425"/>
    </row>
    <row r="84" spans="1:19" x14ac:dyDescent="0.2">
      <c r="A84" s="425"/>
      <c r="B84" s="425">
        <v>0</v>
      </c>
      <c r="C84" s="425">
        <v>0</v>
      </c>
      <c r="D84" s="425">
        <v>0</v>
      </c>
      <c r="E84" s="425">
        <v>0</v>
      </c>
      <c r="F84" s="425">
        <v>0</v>
      </c>
      <c r="G84" s="425">
        <v>0</v>
      </c>
      <c r="H84" s="425" t="e">
        <v>#N/A</v>
      </c>
      <c r="I84" s="425"/>
      <c r="J84" s="425"/>
      <c r="K84" s="425"/>
      <c r="L84" s="425"/>
      <c r="M84" s="425">
        <v>0</v>
      </c>
      <c r="N84" s="425">
        <v>0</v>
      </c>
      <c r="O84" s="425">
        <v>0</v>
      </c>
      <c r="P84" s="425">
        <v>0</v>
      </c>
      <c r="Q84" s="425">
        <v>0</v>
      </c>
      <c r="R84" s="425">
        <v>0</v>
      </c>
      <c r="S84" s="425"/>
    </row>
    <row r="85" spans="1:19" x14ac:dyDescent="0.2">
      <c r="A85" s="425"/>
      <c r="B85" s="425">
        <v>1</v>
      </c>
      <c r="C85" s="425">
        <v>0</v>
      </c>
      <c r="D85" s="425" t="e">
        <v>#N/A</v>
      </c>
      <c r="E85" s="425" t="e">
        <v>#N/A</v>
      </c>
      <c r="F85" s="425" t="e">
        <v>#N/A</v>
      </c>
      <c r="G85" s="425" t="e">
        <v>#N/A</v>
      </c>
      <c r="H85" s="425" t="e">
        <v>#N/A</v>
      </c>
      <c r="I85" s="425"/>
      <c r="J85" s="425"/>
      <c r="K85" s="425"/>
      <c r="L85" s="425"/>
      <c r="M85" s="425">
        <v>1</v>
      </c>
      <c r="N85" s="425">
        <v>0</v>
      </c>
      <c r="O85" s="425" t="e">
        <v>#N/A</v>
      </c>
      <c r="P85" s="425" t="e">
        <v>#N/A</v>
      </c>
      <c r="Q85" s="425" t="e">
        <v>#N/A</v>
      </c>
      <c r="R85" s="425" t="e">
        <v>#N/A</v>
      </c>
      <c r="S85" s="425"/>
    </row>
    <row r="86" spans="1:19" x14ac:dyDescent="0.2">
      <c r="A86" s="425"/>
      <c r="B86" s="425" t="e">
        <v>#NUM!</v>
      </c>
      <c r="C86" s="425">
        <v>0</v>
      </c>
      <c r="D86" s="425" t="e">
        <v>#N/A</v>
      </c>
      <c r="E86" s="425" t="e">
        <v>#N/A</v>
      </c>
      <c r="F86" s="425" t="e">
        <v>#N/A</v>
      </c>
      <c r="G86" s="425" t="e">
        <v>#N/A</v>
      </c>
      <c r="H86" s="425" t="e">
        <v>#N/A</v>
      </c>
      <c r="I86" s="425"/>
      <c r="J86" s="425"/>
      <c r="K86" s="425"/>
      <c r="L86" s="425"/>
      <c r="M86" s="425" t="e">
        <v>#NUM!</v>
      </c>
      <c r="N86" s="425">
        <v>0</v>
      </c>
      <c r="O86" s="425" t="e">
        <v>#N/A</v>
      </c>
      <c r="P86" s="425" t="e">
        <v>#N/A</v>
      </c>
      <c r="Q86" s="425" t="e">
        <v>#N/A</v>
      </c>
      <c r="R86" s="425" t="e">
        <v>#N/A</v>
      </c>
      <c r="S86" s="425"/>
    </row>
    <row r="87" spans="1:19" x14ac:dyDescent="0.2">
      <c r="A87" s="425"/>
      <c r="B87" s="425">
        <v>0.61333333333333317</v>
      </c>
      <c r="C87" s="425">
        <v>0</v>
      </c>
      <c r="D87" s="425" t="e">
        <v>#N/A</v>
      </c>
      <c r="E87" s="425" t="e">
        <v>#N/A</v>
      </c>
      <c r="F87" s="425" t="e">
        <v>#N/A</v>
      </c>
      <c r="G87" s="425" t="e">
        <v>#N/A</v>
      </c>
      <c r="H87" s="425" t="e">
        <v>#N/A</v>
      </c>
      <c r="I87" s="425"/>
      <c r="J87" s="425"/>
      <c r="K87" s="425"/>
      <c r="L87" s="425"/>
      <c r="M87" s="425">
        <v>1.7799999999999996</v>
      </c>
      <c r="N87" s="425">
        <v>0</v>
      </c>
      <c r="O87" s="425" t="e">
        <v>#N/A</v>
      </c>
      <c r="P87" s="425" t="e">
        <v>#N/A</v>
      </c>
      <c r="Q87" s="425" t="e">
        <v>#N/A</v>
      </c>
      <c r="R87" s="425" t="e">
        <v>#N/A</v>
      </c>
      <c r="S87" s="425"/>
    </row>
    <row r="88" spans="1:19" ht="18" x14ac:dyDescent="0.25">
      <c r="A88" s="425"/>
      <c r="B88" s="425" t="e">
        <v>#N/A</v>
      </c>
      <c r="C88" s="425" t="e">
        <v>#N/A</v>
      </c>
      <c r="D88" s="437" t="e">
        <v>#N/A</v>
      </c>
      <c r="E88" s="437" t="e">
        <v>#N/A</v>
      </c>
      <c r="F88" s="437" t="e">
        <v>#N/A</v>
      </c>
      <c r="G88" s="437" t="e">
        <v>#N/A</v>
      </c>
      <c r="H88" s="425" t="e">
        <v>#N/A</v>
      </c>
      <c r="I88" s="425"/>
      <c r="J88" s="425"/>
      <c r="K88" s="425"/>
      <c r="L88" s="425"/>
      <c r="M88" s="425"/>
      <c r="N88" s="425"/>
      <c r="O88" s="425"/>
      <c r="P88" s="425"/>
      <c r="Q88" s="425"/>
      <c r="R88" s="425"/>
      <c r="S88" s="425"/>
    </row>
    <row r="89" spans="1:19" x14ac:dyDescent="0.2">
      <c r="A89" s="402"/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2"/>
      <c r="M89" s="438"/>
      <c r="N89" s="438"/>
      <c r="O89" s="438"/>
      <c r="P89" s="438"/>
      <c r="Q89" s="438"/>
      <c r="R89" s="444"/>
      <c r="S89" s="402"/>
    </row>
    <row r="90" spans="1:19" x14ac:dyDescent="0.2">
      <c r="B90" s="18"/>
      <c r="C90" s="18"/>
      <c r="D90" s="18"/>
      <c r="E90" s="18" t="s">
        <v>186</v>
      </c>
      <c r="F90" s="18" t="s">
        <v>187</v>
      </c>
      <c r="L90" s="18"/>
      <c r="M90" s="18"/>
      <c r="N90" s="18"/>
      <c r="O90" s="18"/>
      <c r="P90" s="18"/>
      <c r="Q90" s="23"/>
    </row>
    <row r="91" spans="1:19" x14ac:dyDescent="0.2">
      <c r="A91" s="356" t="s">
        <v>600</v>
      </c>
      <c r="B91" s="438">
        <v>5</v>
      </c>
      <c r="C91" s="18">
        <f>B91^2</f>
        <v>25</v>
      </c>
      <c r="D91" s="18">
        <f>B91^3</f>
        <v>125</v>
      </c>
      <c r="E91" s="57">
        <f>R67+Q67*$C$9+P67*$C$9^2+O67*$C$9^3+N67*$C$9^4+M67*$C$9^5</f>
        <v>2.9708129652626667</v>
      </c>
      <c r="F91" s="57">
        <f>$E$95+$D$95*B91+$C$95*C91+$B$95*D91</f>
        <v>2.9708129652626662</v>
      </c>
      <c r="L91" s="18"/>
      <c r="M91" s="18"/>
      <c r="N91" s="18"/>
      <c r="O91" s="18"/>
      <c r="P91" s="18"/>
      <c r="Q91" s="23"/>
    </row>
    <row r="92" spans="1:19" x14ac:dyDescent="0.2">
      <c r="A92" t="s">
        <v>601</v>
      </c>
      <c r="B92" s="18">
        <v>10</v>
      </c>
      <c r="C92" s="18">
        <f>B92^2</f>
        <v>100</v>
      </c>
      <c r="D92" s="18">
        <f>B92^3</f>
        <v>1000</v>
      </c>
      <c r="E92" s="57">
        <f>R83+Q83*$C$9+P83*$C$9^2+O83*$C$9^3+N83*$C$9^4+M83*$C$9^5</f>
        <v>2.7915044723267783</v>
      </c>
      <c r="F92" s="57">
        <f>$E$95+$D$95*B92+$C$95*C92+$B$95*D92</f>
        <v>2.7915044723267788</v>
      </c>
      <c r="L92" s="18"/>
      <c r="M92" s="18"/>
      <c r="N92" s="18"/>
      <c r="O92" s="18"/>
      <c r="P92" s="18"/>
      <c r="Q92" s="23"/>
    </row>
    <row r="93" spans="1:19" x14ac:dyDescent="0.2">
      <c r="A93" t="s">
        <v>602</v>
      </c>
      <c r="B93" s="18">
        <v>15</v>
      </c>
      <c r="C93" s="18">
        <f>B93^2</f>
        <v>225</v>
      </c>
      <c r="D93" s="18">
        <f>B93^3</f>
        <v>3375</v>
      </c>
      <c r="E93" s="57">
        <f>G67+F67*$C$9+E67*$C$9^2+D67*$C$9^3+C67*$C$9^4+B67*$C$9^5</f>
        <v>2.2965063102324166</v>
      </c>
      <c r="F93" s="57">
        <f>$E$95+$D$95*B93+$C$95*C93+$B$95*D93</f>
        <v>2.2965063102324157</v>
      </c>
      <c r="L93" s="18"/>
      <c r="M93" s="18"/>
      <c r="N93" s="18"/>
      <c r="O93" s="18"/>
      <c r="P93" s="18"/>
      <c r="Q93" s="23"/>
    </row>
    <row r="94" spans="1:19" x14ac:dyDescent="0.2">
      <c r="A94" t="s">
        <v>603</v>
      </c>
      <c r="B94" s="18">
        <v>20</v>
      </c>
      <c r="C94" s="18">
        <f>B94^2</f>
        <v>400</v>
      </c>
      <c r="D94" s="18">
        <f>B94^3</f>
        <v>8000</v>
      </c>
      <c r="E94" s="57">
        <f>G83+F83*$C$9+E83*$C$9^2+D83*$C$9^3+C83*$C$9^4+B83*$C$9^5</f>
        <v>2.1839313868431418</v>
      </c>
      <c r="F94" s="57">
        <f>$E$95+$D$95*B94+$C$95*C94+$B$95*D94</f>
        <v>2.1839313868431427</v>
      </c>
    </row>
    <row r="95" spans="1:19" x14ac:dyDescent="0.2">
      <c r="B95">
        <f t="array" ref="B95:E100">LINEST(E91:E94,B91:D94,TRUE,TRUE)</f>
        <v>9.3081721048475399E-4</v>
      </c>
      <c r="C95" s="18">
        <v>-3.4238309697712133E-2</v>
      </c>
      <c r="D95">
        <v>0.31481993504367256</v>
      </c>
      <c r="E95">
        <v>2.1363188811765124</v>
      </c>
    </row>
    <row r="96" spans="1:19" x14ac:dyDescent="0.2">
      <c r="B96">
        <v>0</v>
      </c>
      <c r="C96">
        <v>0</v>
      </c>
      <c r="D96">
        <v>0</v>
      </c>
      <c r="E96">
        <v>0</v>
      </c>
      <c r="L96" s="430"/>
    </row>
    <row r="97" spans="1:19" x14ac:dyDescent="0.2">
      <c r="A97" s="356"/>
      <c r="B97" s="331">
        <v>1</v>
      </c>
      <c r="C97" s="356">
        <v>0</v>
      </c>
      <c r="D97" t="e">
        <v>#N/A</v>
      </c>
      <c r="E97" t="e">
        <v>#N/A</v>
      </c>
      <c r="G97" s="331"/>
      <c r="H97" s="356"/>
      <c r="J97" s="356"/>
      <c r="K97" s="331"/>
      <c r="L97" s="356"/>
      <c r="O97" s="331"/>
      <c r="P97" s="356"/>
      <c r="Q97" s="356"/>
    </row>
    <row r="98" spans="1:19" x14ac:dyDescent="0.2">
      <c r="B98" s="56" t="e">
        <v>#NUM!</v>
      </c>
      <c r="C98" s="49">
        <v>0</v>
      </c>
      <c r="D98" t="e">
        <v>#N/A</v>
      </c>
      <c r="E98" t="e">
        <v>#N/A</v>
      </c>
      <c r="G98" s="56"/>
      <c r="L98" s="49"/>
      <c r="O98" s="18"/>
      <c r="P98" s="18"/>
      <c r="Q98" s="18"/>
    </row>
    <row r="99" spans="1:19" x14ac:dyDescent="0.2">
      <c r="B99" s="56">
        <v>0.43321624179250767</v>
      </c>
      <c r="C99" s="49">
        <v>0</v>
      </c>
      <c r="D99" t="e">
        <v>#N/A</v>
      </c>
      <c r="E99" t="e">
        <v>#N/A</v>
      </c>
      <c r="G99" s="56"/>
      <c r="L99" s="49"/>
      <c r="O99" s="18"/>
      <c r="P99" s="18"/>
      <c r="Q99" s="18"/>
    </row>
    <row r="100" spans="1:19" x14ac:dyDescent="0.2">
      <c r="B100" s="56" t="e">
        <v>#N/A</v>
      </c>
      <c r="C100" s="49" t="e">
        <v>#N/A</v>
      </c>
      <c r="D100" t="e">
        <v>#N/A</v>
      </c>
      <c r="E100" t="e">
        <v>#N/A</v>
      </c>
      <c r="G100" s="56"/>
      <c r="L100" s="49"/>
      <c r="O100" s="18"/>
      <c r="P100" s="18"/>
      <c r="Q100" s="18"/>
    </row>
    <row r="101" spans="1:19" x14ac:dyDescent="0.2">
      <c r="B101" s="56"/>
      <c r="C101" s="49"/>
      <c r="G101" s="18"/>
      <c r="L101" s="49"/>
      <c r="O101" s="18"/>
      <c r="P101" s="18"/>
      <c r="Q101" s="18"/>
    </row>
    <row r="102" spans="1:19" x14ac:dyDescent="0.2">
      <c r="P102" s="18"/>
      <c r="Q102" s="18"/>
    </row>
    <row r="103" spans="1:19" ht="18.75" x14ac:dyDescent="0.3">
      <c r="E103" s="412" t="s">
        <v>596</v>
      </c>
      <c r="F103" s="412"/>
      <c r="G103" s="418"/>
      <c r="H103" s="418">
        <v>15</v>
      </c>
      <c r="P103" s="18"/>
      <c r="Q103" s="18"/>
    </row>
    <row r="104" spans="1:19" x14ac:dyDescent="0.2">
      <c r="H104" s="11"/>
    </row>
    <row r="105" spans="1:19" x14ac:dyDescent="0.2">
      <c r="A105" s="425"/>
      <c r="B105" s="425"/>
      <c r="C105" s="425"/>
      <c r="D105" s="425"/>
      <c r="E105" s="425"/>
      <c r="F105" s="425"/>
      <c r="G105" s="425"/>
      <c r="H105" s="425"/>
      <c r="I105" s="425"/>
      <c r="J105" s="425"/>
      <c r="K105" s="425"/>
      <c r="L105" s="425"/>
      <c r="M105" s="426"/>
      <c r="N105" s="426"/>
      <c r="O105" s="426"/>
      <c r="P105" s="426"/>
      <c r="Q105" s="426"/>
      <c r="R105" s="426"/>
      <c r="S105" s="425"/>
    </row>
    <row r="106" spans="1:19" x14ac:dyDescent="0.2">
      <c r="A106" s="425"/>
      <c r="B106" s="425"/>
      <c r="C106" s="425"/>
      <c r="D106" s="425"/>
      <c r="E106" s="425"/>
      <c r="F106" s="425"/>
      <c r="G106" s="425"/>
      <c r="H106" s="425"/>
      <c r="I106" s="425"/>
      <c r="J106" s="425"/>
      <c r="K106" s="425"/>
      <c r="L106" s="425"/>
      <c r="M106" s="425"/>
      <c r="N106" s="425"/>
      <c r="O106" s="425"/>
      <c r="P106" s="425"/>
      <c r="Q106" s="425"/>
      <c r="R106" s="425"/>
      <c r="S106" s="425"/>
    </row>
    <row r="107" spans="1:19" x14ac:dyDescent="0.2">
      <c r="A107" s="427" t="s">
        <v>597</v>
      </c>
      <c r="B107" s="425"/>
      <c r="C107" s="428" t="s">
        <v>598</v>
      </c>
      <c r="D107" s="429">
        <v>15</v>
      </c>
      <c r="E107" s="425"/>
      <c r="F107" s="425"/>
      <c r="G107" s="425"/>
      <c r="H107" s="425"/>
      <c r="I107" s="425"/>
      <c r="J107" s="425"/>
      <c r="K107" s="425"/>
      <c r="L107" s="427" t="s">
        <v>597</v>
      </c>
      <c r="M107" s="425"/>
      <c r="N107" s="428" t="s">
        <v>598</v>
      </c>
      <c r="O107" s="429">
        <v>5</v>
      </c>
      <c r="P107" s="425"/>
      <c r="Q107" s="425"/>
      <c r="R107" s="425"/>
      <c r="S107" s="425"/>
    </row>
    <row r="108" spans="1:19" x14ac:dyDescent="0.2">
      <c r="A108" s="425"/>
      <c r="B108" s="425" t="s">
        <v>75</v>
      </c>
      <c r="C108" s="425"/>
      <c r="D108" s="425"/>
      <c r="E108" s="425"/>
      <c r="F108" s="425"/>
      <c r="G108" s="425" t="s">
        <v>599</v>
      </c>
      <c r="H108" s="425" t="s">
        <v>64</v>
      </c>
      <c r="I108" s="425"/>
      <c r="J108" s="425"/>
      <c r="K108" s="425"/>
      <c r="L108" s="425"/>
      <c r="M108" s="425" t="s">
        <v>75</v>
      </c>
      <c r="N108" s="425"/>
      <c r="O108" s="425"/>
      <c r="P108" s="425"/>
      <c r="Q108" s="425"/>
      <c r="R108" s="425" t="s">
        <v>599</v>
      </c>
      <c r="S108" s="425" t="s">
        <v>64</v>
      </c>
    </row>
    <row r="109" spans="1:19" x14ac:dyDescent="0.2">
      <c r="A109" s="425"/>
      <c r="B109" s="432">
        <v>0.8</v>
      </c>
      <c r="C109" s="432">
        <f t="shared" ref="C109:C114" si="40">B109^2</f>
        <v>0.64000000000000012</v>
      </c>
      <c r="D109" s="432">
        <f t="shared" ref="D109:D114" si="41">B109^3</f>
        <v>0.51200000000000012</v>
      </c>
      <c r="E109" s="432">
        <f t="shared" ref="E109:E114" si="42">B109^4</f>
        <v>0.40960000000000019</v>
      </c>
      <c r="F109" s="432">
        <f t="shared" ref="F109:F114" si="43">B109^5</f>
        <v>0.32768000000000019</v>
      </c>
      <c r="G109" s="433">
        <v>4.4000000000000004</v>
      </c>
      <c r="H109" s="426">
        <f t="shared" ref="H109:H114" si="44">$G$115+$F$115*B109+$E$115*C109+$D$115*D109+$C$115*E109+$B$115*F109</f>
        <v>4.4000000000006452</v>
      </c>
      <c r="I109" s="425"/>
      <c r="J109" s="425"/>
      <c r="K109" s="425"/>
      <c r="L109" s="425"/>
      <c r="M109" s="432">
        <v>0.8</v>
      </c>
      <c r="N109" s="432">
        <f t="shared" ref="N109:N114" si="45">M109^2</f>
        <v>0.64000000000000012</v>
      </c>
      <c r="O109" s="432">
        <f t="shared" ref="O109:O114" si="46">M109^3</f>
        <v>0.51200000000000012</v>
      </c>
      <c r="P109" s="432">
        <f t="shared" ref="P109:P114" si="47">M109^4</f>
        <v>0.40960000000000019</v>
      </c>
      <c r="Q109" s="432">
        <f t="shared" ref="Q109:Q114" si="48">M109^5</f>
        <v>0.32768000000000019</v>
      </c>
      <c r="R109" s="433">
        <v>7</v>
      </c>
      <c r="S109" s="426">
        <f t="shared" ref="S109:S114" si="49">$R$115+$Q$115*M109+$P$115*N109+$O$115*O109+$N$115*P109+$M$115*Q109</f>
        <v>6.9999999999899956</v>
      </c>
    </row>
    <row r="110" spans="1:19" x14ac:dyDescent="0.2">
      <c r="A110" s="427">
        <v>1500</v>
      </c>
      <c r="B110" s="432">
        <v>0.9</v>
      </c>
      <c r="C110" s="432">
        <f t="shared" si="40"/>
        <v>0.81</v>
      </c>
      <c r="D110" s="432">
        <f t="shared" si="41"/>
        <v>0.72900000000000009</v>
      </c>
      <c r="E110" s="432">
        <f t="shared" si="42"/>
        <v>0.65610000000000013</v>
      </c>
      <c r="F110" s="432">
        <f t="shared" si="43"/>
        <v>0.59049000000000018</v>
      </c>
      <c r="G110" s="433">
        <v>3.2</v>
      </c>
      <c r="H110" s="426">
        <f t="shared" si="44"/>
        <v>3.200000000000415</v>
      </c>
      <c r="I110" s="425"/>
      <c r="J110" s="425"/>
      <c r="K110" s="425"/>
      <c r="L110" s="427">
        <v>1500</v>
      </c>
      <c r="M110" s="432">
        <v>0.9</v>
      </c>
      <c r="N110" s="432">
        <f t="shared" si="45"/>
        <v>0.81</v>
      </c>
      <c r="O110" s="432">
        <f t="shared" si="46"/>
        <v>0.72900000000000009</v>
      </c>
      <c r="P110" s="432">
        <f t="shared" si="47"/>
        <v>0.65610000000000013</v>
      </c>
      <c r="Q110" s="432">
        <f t="shared" si="48"/>
        <v>0.59049000000000018</v>
      </c>
      <c r="R110" s="433">
        <v>6.4</v>
      </c>
      <c r="S110" s="426">
        <f t="shared" si="49"/>
        <v>6.3999999999959982</v>
      </c>
    </row>
    <row r="111" spans="1:19" x14ac:dyDescent="0.2">
      <c r="A111" s="425"/>
      <c r="B111" s="432">
        <v>1</v>
      </c>
      <c r="C111" s="432">
        <f t="shared" si="40"/>
        <v>1</v>
      </c>
      <c r="D111" s="432">
        <f t="shared" si="41"/>
        <v>1</v>
      </c>
      <c r="E111" s="432">
        <f t="shared" si="42"/>
        <v>1</v>
      </c>
      <c r="F111" s="432">
        <f t="shared" si="43"/>
        <v>1</v>
      </c>
      <c r="G111" s="433">
        <v>3</v>
      </c>
      <c r="H111" s="426">
        <f t="shared" si="44"/>
        <v>3.0000000000003411</v>
      </c>
      <c r="I111" s="425"/>
      <c r="J111" s="425"/>
      <c r="K111" s="425"/>
      <c r="L111" s="425"/>
      <c r="M111" s="432">
        <v>1</v>
      </c>
      <c r="N111" s="432">
        <f t="shared" si="45"/>
        <v>1</v>
      </c>
      <c r="O111" s="432">
        <f t="shared" si="46"/>
        <v>1</v>
      </c>
      <c r="P111" s="432">
        <f t="shared" si="47"/>
        <v>1</v>
      </c>
      <c r="Q111" s="432">
        <f t="shared" si="48"/>
        <v>1</v>
      </c>
      <c r="R111" s="433">
        <v>5.7</v>
      </c>
      <c r="S111" s="426">
        <f t="shared" si="49"/>
        <v>5.6999999999952706</v>
      </c>
    </row>
    <row r="112" spans="1:19" x14ac:dyDescent="0.2">
      <c r="A112" s="425"/>
      <c r="B112" s="432">
        <v>1.07</v>
      </c>
      <c r="C112" s="432">
        <f t="shared" si="40"/>
        <v>1.1449</v>
      </c>
      <c r="D112" s="432">
        <f t="shared" si="41"/>
        <v>1.2250430000000001</v>
      </c>
      <c r="E112" s="432">
        <f t="shared" si="42"/>
        <v>1.31079601</v>
      </c>
      <c r="F112" s="432">
        <f t="shared" si="43"/>
        <v>1.4025517307000002</v>
      </c>
      <c r="G112" s="433">
        <v>3</v>
      </c>
      <c r="H112" s="426">
        <f t="shared" si="44"/>
        <v>3.0000000000006253</v>
      </c>
      <c r="I112" s="425"/>
      <c r="J112" s="425"/>
      <c r="K112" s="425"/>
      <c r="L112" s="425"/>
      <c r="M112" s="432">
        <v>1.07</v>
      </c>
      <c r="N112" s="432">
        <f t="shared" si="45"/>
        <v>1.1449</v>
      </c>
      <c r="O112" s="432">
        <f t="shared" si="46"/>
        <v>1.2250430000000001</v>
      </c>
      <c r="P112" s="432">
        <f t="shared" si="47"/>
        <v>1.31079601</v>
      </c>
      <c r="Q112" s="432">
        <f t="shared" si="48"/>
        <v>1.4025517307000002</v>
      </c>
      <c r="R112" s="433">
        <v>5</v>
      </c>
      <c r="S112" s="426">
        <f t="shared" si="49"/>
        <v>4.9999999999954525</v>
      </c>
    </row>
    <row r="113" spans="1:19" x14ac:dyDescent="0.2">
      <c r="A113" s="425"/>
      <c r="B113" s="432">
        <v>1.1499999999999999</v>
      </c>
      <c r="C113" s="432">
        <f t="shared" si="40"/>
        <v>1.3224999999999998</v>
      </c>
      <c r="D113" s="432">
        <f t="shared" si="41"/>
        <v>1.5208749999999995</v>
      </c>
      <c r="E113" s="432">
        <f t="shared" si="42"/>
        <v>1.7490062499999994</v>
      </c>
      <c r="F113" s="432">
        <f t="shared" si="43"/>
        <v>2.0113571874999994</v>
      </c>
      <c r="G113" s="433">
        <v>2.8</v>
      </c>
      <c r="H113" s="426">
        <f t="shared" si="44"/>
        <v>2.8000000000002956</v>
      </c>
      <c r="I113" s="425"/>
      <c r="J113" s="427"/>
      <c r="K113" s="425"/>
      <c r="L113" s="425"/>
      <c r="M113" s="432">
        <v>1.1499999999999999</v>
      </c>
      <c r="N113" s="432">
        <f t="shared" si="45"/>
        <v>1.3224999999999998</v>
      </c>
      <c r="O113" s="432">
        <f t="shared" si="46"/>
        <v>1.5208749999999995</v>
      </c>
      <c r="P113" s="432">
        <f t="shared" si="47"/>
        <v>1.7490062499999994</v>
      </c>
      <c r="Q113" s="432">
        <f t="shared" si="48"/>
        <v>2.0113571874999994</v>
      </c>
      <c r="R113" s="433">
        <v>4.2</v>
      </c>
      <c r="S113" s="426">
        <f t="shared" si="49"/>
        <v>4.1999999999807187</v>
      </c>
    </row>
    <row r="114" spans="1:19" x14ac:dyDescent="0.2">
      <c r="A114" s="425"/>
      <c r="B114" s="432">
        <v>1.2</v>
      </c>
      <c r="C114" s="432">
        <f t="shared" si="40"/>
        <v>1.44</v>
      </c>
      <c r="D114" s="432">
        <f t="shared" si="41"/>
        <v>1.728</v>
      </c>
      <c r="E114" s="432">
        <f t="shared" si="42"/>
        <v>2.0735999999999999</v>
      </c>
      <c r="F114" s="432">
        <f t="shared" si="43"/>
        <v>2.4883199999999999</v>
      </c>
      <c r="G114" s="433">
        <v>2.5</v>
      </c>
      <c r="H114" s="426">
        <f t="shared" si="44"/>
        <v>2.5000000000006821</v>
      </c>
      <c r="I114" s="425"/>
      <c r="J114" s="427"/>
      <c r="K114" s="425"/>
      <c r="L114" s="425"/>
      <c r="M114" s="432">
        <v>1.2</v>
      </c>
      <c r="N114" s="432">
        <f t="shared" si="45"/>
        <v>1.44</v>
      </c>
      <c r="O114" s="432">
        <f t="shared" si="46"/>
        <v>1.728</v>
      </c>
      <c r="P114" s="432">
        <f t="shared" si="47"/>
        <v>2.0735999999999999</v>
      </c>
      <c r="Q114" s="432">
        <f t="shared" si="48"/>
        <v>2.4883199999999999</v>
      </c>
      <c r="R114" s="433">
        <v>3.2</v>
      </c>
      <c r="S114" s="426">
        <f t="shared" si="49"/>
        <v>3.1999999999916326</v>
      </c>
    </row>
    <row r="115" spans="1:19" x14ac:dyDescent="0.2">
      <c r="A115" s="425"/>
      <c r="B115" s="427">
        <f t="array" ref="B115:H119">LINEST(G109:G114,B109:F114,TRUE,TRUE)</f>
        <v>321.17120350262178</v>
      </c>
      <c r="C115" s="427">
        <v>-1500.486006259933</v>
      </c>
      <c r="D115" s="427">
        <v>2655.5437642968959</v>
      </c>
      <c r="E115" s="427">
        <v>-2168.3920908074351</v>
      </c>
      <c r="F115" s="427">
        <v>766.36455135386416</v>
      </c>
      <c r="G115" s="427">
        <v>-71.201422086013281</v>
      </c>
      <c r="H115" s="425" t="e">
        <v>#N/A</v>
      </c>
      <c r="I115" s="425"/>
      <c r="J115" s="425"/>
      <c r="K115" s="425"/>
      <c r="L115" s="425"/>
      <c r="M115" s="427">
        <f t="array" ref="M115:R121">LINEST(R109:R114,M109:Q114,TRUE,TRUE)</f>
        <v>-4632.1434553024064</v>
      </c>
      <c r="N115" s="427">
        <v>23125.657782615544</v>
      </c>
      <c r="O115" s="427">
        <v>-45986.428687393935</v>
      </c>
      <c r="P115" s="427">
        <v>45513.17629926838</v>
      </c>
      <c r="Q115" s="427">
        <v>-22418.859676378372</v>
      </c>
      <c r="R115" s="427">
        <v>4404.2977371907828</v>
      </c>
      <c r="S115" s="425"/>
    </row>
    <row r="116" spans="1:19" x14ac:dyDescent="0.2">
      <c r="A116" s="425"/>
      <c r="B116" s="425">
        <v>0</v>
      </c>
      <c r="C116" s="425">
        <v>0</v>
      </c>
      <c r="D116" s="425">
        <v>0</v>
      </c>
      <c r="E116" s="425">
        <v>0</v>
      </c>
      <c r="F116" s="425">
        <v>0</v>
      </c>
      <c r="G116" s="425">
        <v>0</v>
      </c>
      <c r="H116" s="425" t="e">
        <v>#N/A</v>
      </c>
      <c r="I116" s="425"/>
      <c r="J116" s="425"/>
      <c r="K116" s="425"/>
      <c r="L116" s="425"/>
      <c r="M116" s="425">
        <v>0</v>
      </c>
      <c r="N116" s="425">
        <v>0</v>
      </c>
      <c r="O116" s="425">
        <v>0</v>
      </c>
      <c r="P116" s="425">
        <v>0</v>
      </c>
      <c r="Q116" s="425">
        <v>0</v>
      </c>
      <c r="R116" s="425">
        <v>0</v>
      </c>
      <c r="S116" s="425"/>
    </row>
    <row r="117" spans="1:19" x14ac:dyDescent="0.2">
      <c r="A117" s="425"/>
      <c r="B117" s="425">
        <v>1</v>
      </c>
      <c r="C117" s="425">
        <v>0</v>
      </c>
      <c r="D117" s="425" t="e">
        <v>#N/A</v>
      </c>
      <c r="E117" s="425" t="e">
        <v>#N/A</v>
      </c>
      <c r="F117" s="425" t="e">
        <v>#N/A</v>
      </c>
      <c r="G117" s="425" t="e">
        <v>#N/A</v>
      </c>
      <c r="H117" s="425" t="e">
        <v>#N/A</v>
      </c>
      <c r="I117" s="425"/>
      <c r="J117" s="425"/>
      <c r="K117" s="425"/>
      <c r="L117" s="425"/>
      <c r="M117" s="425">
        <v>1</v>
      </c>
      <c r="N117" s="425">
        <v>0</v>
      </c>
      <c r="O117" s="425" t="e">
        <v>#N/A</v>
      </c>
      <c r="P117" s="425" t="e">
        <v>#N/A</v>
      </c>
      <c r="Q117" s="425" t="e">
        <v>#N/A</v>
      </c>
      <c r="R117" s="425" t="e">
        <v>#N/A</v>
      </c>
      <c r="S117" s="425"/>
    </row>
    <row r="118" spans="1:19" x14ac:dyDescent="0.2">
      <c r="A118" s="425"/>
      <c r="B118" s="425" t="e">
        <v>#NUM!</v>
      </c>
      <c r="C118" s="425">
        <v>0</v>
      </c>
      <c r="D118" s="425" t="e">
        <v>#N/A</v>
      </c>
      <c r="E118" s="425" t="e">
        <v>#N/A</v>
      </c>
      <c r="F118" s="425" t="e">
        <v>#N/A</v>
      </c>
      <c r="G118" s="425" t="e">
        <v>#N/A</v>
      </c>
      <c r="H118" s="425" t="e">
        <v>#N/A</v>
      </c>
      <c r="I118" s="425"/>
      <c r="J118" s="425"/>
      <c r="K118" s="425"/>
      <c r="L118" s="425"/>
      <c r="M118" s="425" t="e">
        <v>#NUM!</v>
      </c>
      <c r="N118" s="425">
        <v>0</v>
      </c>
      <c r="O118" s="425" t="e">
        <v>#N/A</v>
      </c>
      <c r="P118" s="425" t="e">
        <v>#N/A</v>
      </c>
      <c r="Q118" s="425" t="e">
        <v>#N/A</v>
      </c>
      <c r="R118" s="425" t="e">
        <v>#N/A</v>
      </c>
      <c r="S118" s="425"/>
    </row>
    <row r="119" spans="1:19" x14ac:dyDescent="0.2">
      <c r="A119" s="425"/>
      <c r="B119" s="425">
        <v>2.1550000000000011</v>
      </c>
      <c r="C119" s="425">
        <v>0</v>
      </c>
      <c r="D119" s="425" t="e">
        <v>#N/A</v>
      </c>
      <c r="E119" s="425" t="e">
        <v>#N/A</v>
      </c>
      <c r="F119" s="425" t="e">
        <v>#N/A</v>
      </c>
      <c r="G119" s="425" t="e">
        <v>#N/A</v>
      </c>
      <c r="H119" s="425" t="e">
        <v>#N/A</v>
      </c>
      <c r="I119" s="425"/>
      <c r="J119" s="427"/>
      <c r="K119" s="425"/>
      <c r="L119" s="425"/>
      <c r="M119" s="425">
        <v>9.9550000000000018</v>
      </c>
      <c r="N119" s="425">
        <v>0</v>
      </c>
      <c r="O119" s="425" t="e">
        <v>#N/A</v>
      </c>
      <c r="P119" s="425" t="e">
        <v>#N/A</v>
      </c>
      <c r="Q119" s="425" t="e">
        <v>#N/A</v>
      </c>
      <c r="R119" s="425" t="e">
        <v>#N/A</v>
      </c>
      <c r="S119" s="425"/>
    </row>
    <row r="120" spans="1:19" x14ac:dyDescent="0.2">
      <c r="A120" s="425"/>
      <c r="B120" s="425"/>
      <c r="C120" s="425"/>
      <c r="D120" s="425"/>
      <c r="E120" s="425"/>
      <c r="F120" s="425"/>
      <c r="G120" s="425"/>
      <c r="H120" s="425"/>
      <c r="I120" s="425"/>
      <c r="J120" s="425"/>
      <c r="K120" s="425"/>
      <c r="L120" s="425"/>
      <c r="M120" s="425" t="e">
        <v>#N/A</v>
      </c>
      <c r="N120" s="425" t="e">
        <v>#N/A</v>
      </c>
      <c r="O120" s="425" t="e">
        <v>#N/A</v>
      </c>
      <c r="P120" s="425" t="e">
        <v>#N/A</v>
      </c>
      <c r="Q120" s="425" t="e">
        <v>#N/A</v>
      </c>
      <c r="R120" s="425" t="e">
        <v>#N/A</v>
      </c>
      <c r="S120" s="425"/>
    </row>
    <row r="121" spans="1:19" x14ac:dyDescent="0.2">
      <c r="A121" s="425"/>
      <c r="B121" s="425"/>
      <c r="C121" s="425"/>
      <c r="D121" s="425"/>
      <c r="E121" s="425"/>
      <c r="F121" s="425"/>
      <c r="G121" s="425"/>
      <c r="H121" s="425"/>
      <c r="I121" s="425"/>
      <c r="J121" s="425"/>
      <c r="K121" s="425"/>
      <c r="L121" s="425"/>
      <c r="M121" s="425" t="e">
        <v>#N/A</v>
      </c>
      <c r="N121" s="425" t="e">
        <v>#N/A</v>
      </c>
      <c r="O121" s="425" t="e">
        <v>#N/A</v>
      </c>
      <c r="P121" s="425" t="e">
        <v>#N/A</v>
      </c>
      <c r="Q121" s="425" t="e">
        <v>#N/A</v>
      </c>
      <c r="R121" s="425" t="e">
        <v>#N/A</v>
      </c>
      <c r="S121" s="425"/>
    </row>
    <row r="122" spans="1:19" x14ac:dyDescent="0.2">
      <c r="A122" s="427" t="s">
        <v>597</v>
      </c>
      <c r="B122" s="425"/>
      <c r="C122" s="428" t="s">
        <v>598</v>
      </c>
      <c r="D122" s="429">
        <v>20</v>
      </c>
      <c r="E122" s="425"/>
      <c r="F122" s="425"/>
      <c r="G122" s="425"/>
      <c r="H122" s="425"/>
      <c r="I122" s="425"/>
      <c r="J122" s="425"/>
      <c r="K122" s="425"/>
      <c r="L122" s="427" t="s">
        <v>597</v>
      </c>
      <c r="M122" s="425"/>
      <c r="N122" s="428" t="s">
        <v>598</v>
      </c>
      <c r="O122" s="429">
        <v>10</v>
      </c>
      <c r="P122" s="425"/>
      <c r="Q122" s="425"/>
      <c r="R122" s="425"/>
      <c r="S122" s="425"/>
    </row>
    <row r="123" spans="1:19" x14ac:dyDescent="0.2">
      <c r="A123" s="425"/>
      <c r="B123" s="425"/>
      <c r="C123" s="425"/>
      <c r="D123" s="425"/>
      <c r="E123" s="425"/>
      <c r="F123" s="425"/>
      <c r="G123" s="425"/>
      <c r="H123" s="425"/>
      <c r="I123" s="425"/>
      <c r="J123" s="425"/>
      <c r="K123" s="425"/>
      <c r="L123" s="425"/>
      <c r="M123" s="425"/>
      <c r="N123" s="425"/>
      <c r="O123" s="425"/>
      <c r="P123" s="425"/>
      <c r="Q123" s="425"/>
      <c r="R123" s="425"/>
      <c r="S123" s="425"/>
    </row>
    <row r="124" spans="1:19" x14ac:dyDescent="0.2">
      <c r="A124" s="425"/>
      <c r="B124" s="425"/>
      <c r="C124" s="425"/>
      <c r="D124" s="425"/>
      <c r="E124" s="425"/>
      <c r="F124" s="425"/>
      <c r="G124" s="425" t="s">
        <v>599</v>
      </c>
      <c r="H124" s="425" t="s">
        <v>64</v>
      </c>
      <c r="I124" s="425"/>
      <c r="J124" s="427"/>
      <c r="K124" s="425"/>
      <c r="L124" s="425"/>
      <c r="M124" s="425"/>
      <c r="N124" s="425"/>
      <c r="O124" s="425"/>
      <c r="P124" s="425"/>
      <c r="Q124" s="425"/>
      <c r="R124" s="425" t="s">
        <v>599</v>
      </c>
      <c r="S124" s="425" t="s">
        <v>64</v>
      </c>
    </row>
    <row r="125" spans="1:19" x14ac:dyDescent="0.2">
      <c r="A125" s="425"/>
      <c r="B125" s="432">
        <v>0.8</v>
      </c>
      <c r="C125" s="432">
        <f t="shared" ref="C125:C130" si="50">B125^2</f>
        <v>0.64000000000000012</v>
      </c>
      <c r="D125" s="432">
        <f t="shared" ref="D125:D130" si="51">B125^3</f>
        <v>0.51200000000000012</v>
      </c>
      <c r="E125" s="432">
        <f t="shared" ref="E125:E130" si="52">B125^4</f>
        <v>0.40960000000000019</v>
      </c>
      <c r="F125" s="432">
        <f t="shared" ref="F125:F130" si="53">B125^5</f>
        <v>0.32768000000000019</v>
      </c>
      <c r="G125" s="433">
        <v>4.3</v>
      </c>
      <c r="H125" s="426">
        <f t="shared" ref="H125:H130" si="54">$G$131+$F$131*B125+$E$131*C125+$D$131*D125+$C$131*E125+$B$131*F125</f>
        <v>4.3000000000001819</v>
      </c>
      <c r="I125" s="425"/>
      <c r="J125" s="425"/>
      <c r="K125" s="425"/>
      <c r="L125" s="425"/>
      <c r="M125" s="432">
        <v>0.8</v>
      </c>
      <c r="N125" s="432">
        <f t="shared" ref="N125:N130" si="55">M125^2</f>
        <v>0.64000000000000012</v>
      </c>
      <c r="O125" s="432">
        <f t="shared" ref="O125:O130" si="56">M125^3</f>
        <v>0.51200000000000012</v>
      </c>
      <c r="P125" s="432">
        <f t="shared" ref="P125:P130" si="57">M125^4</f>
        <v>0.40960000000000019</v>
      </c>
      <c r="Q125" s="432">
        <f t="shared" ref="Q125:Q130" si="58">M125^5</f>
        <v>0.32768000000000019</v>
      </c>
      <c r="R125" s="433">
        <v>4.8</v>
      </c>
      <c r="S125" s="426">
        <f t="shared" ref="S125:S130" si="59">$R$131+$Q$131*M125+$P$131*N125+$O$131*O125+$N$131*P125+$M$131*Q125</f>
        <v>4.7999999999826741</v>
      </c>
    </row>
    <row r="126" spans="1:19" x14ac:dyDescent="0.2">
      <c r="A126" s="427">
        <v>1500</v>
      </c>
      <c r="B126" s="432">
        <v>0.9</v>
      </c>
      <c r="C126" s="432">
        <f t="shared" si="50"/>
        <v>0.81</v>
      </c>
      <c r="D126" s="432">
        <f t="shared" si="51"/>
        <v>0.72900000000000009</v>
      </c>
      <c r="E126" s="432">
        <f t="shared" si="52"/>
        <v>0.65610000000000013</v>
      </c>
      <c r="F126" s="432">
        <f t="shared" si="53"/>
        <v>0.59049000000000018</v>
      </c>
      <c r="G126" s="433">
        <v>3.1</v>
      </c>
      <c r="H126" s="426">
        <f t="shared" si="54"/>
        <v>3.0999999999997101</v>
      </c>
      <c r="I126" s="425"/>
      <c r="J126" s="425"/>
      <c r="K126" s="425"/>
      <c r="L126" s="427">
        <v>1500</v>
      </c>
      <c r="M126" s="432">
        <v>0.9</v>
      </c>
      <c r="N126" s="432">
        <f t="shared" si="55"/>
        <v>0.81</v>
      </c>
      <c r="O126" s="432">
        <f t="shared" si="56"/>
        <v>0.72900000000000009</v>
      </c>
      <c r="P126" s="432">
        <f t="shared" si="57"/>
        <v>0.65610000000000013</v>
      </c>
      <c r="Q126" s="432">
        <f t="shared" si="58"/>
        <v>0.59049000000000018</v>
      </c>
      <c r="R126" s="433">
        <v>4.5</v>
      </c>
      <c r="S126" s="426">
        <f t="shared" si="59"/>
        <v>4.4999999999936335</v>
      </c>
    </row>
    <row r="127" spans="1:19" x14ac:dyDescent="0.2">
      <c r="A127" s="425"/>
      <c r="B127" s="432">
        <v>1</v>
      </c>
      <c r="C127" s="432">
        <f t="shared" si="50"/>
        <v>1</v>
      </c>
      <c r="D127" s="432">
        <f t="shared" si="51"/>
        <v>1</v>
      </c>
      <c r="E127" s="432">
        <f t="shared" si="52"/>
        <v>1</v>
      </c>
      <c r="F127" s="432">
        <f t="shared" si="53"/>
        <v>1</v>
      </c>
      <c r="G127" s="433">
        <v>2.9</v>
      </c>
      <c r="H127" s="426">
        <f t="shared" si="54"/>
        <v>2.9000000000000909</v>
      </c>
      <c r="I127" s="425"/>
      <c r="J127" s="425"/>
      <c r="K127" s="425"/>
      <c r="L127" s="425"/>
      <c r="M127" s="432">
        <v>1</v>
      </c>
      <c r="N127" s="432">
        <f t="shared" si="55"/>
        <v>1</v>
      </c>
      <c r="O127" s="432">
        <f t="shared" si="56"/>
        <v>1</v>
      </c>
      <c r="P127" s="432">
        <f t="shared" si="57"/>
        <v>1</v>
      </c>
      <c r="Q127" s="432">
        <f t="shared" si="58"/>
        <v>1</v>
      </c>
      <c r="R127" s="433">
        <v>4.2</v>
      </c>
      <c r="S127" s="426">
        <f t="shared" si="59"/>
        <v>4.1999999999834472</v>
      </c>
    </row>
    <row r="128" spans="1:19" x14ac:dyDescent="0.2">
      <c r="A128" s="425"/>
      <c r="B128" s="432">
        <v>1.07</v>
      </c>
      <c r="C128" s="432">
        <f t="shared" si="50"/>
        <v>1.1449</v>
      </c>
      <c r="D128" s="432">
        <f t="shared" si="51"/>
        <v>1.2250430000000001</v>
      </c>
      <c r="E128" s="432">
        <f t="shared" si="52"/>
        <v>1.31079601</v>
      </c>
      <c r="F128" s="432">
        <f t="shared" si="53"/>
        <v>1.4025517307000002</v>
      </c>
      <c r="G128" s="433">
        <v>2.9</v>
      </c>
      <c r="H128" s="426">
        <f t="shared" si="54"/>
        <v>2.8999999999995225</v>
      </c>
      <c r="I128" s="425"/>
      <c r="J128" s="425"/>
      <c r="K128" s="425"/>
      <c r="L128" s="425"/>
      <c r="M128" s="432">
        <v>1.07</v>
      </c>
      <c r="N128" s="432">
        <f t="shared" si="55"/>
        <v>1.1449</v>
      </c>
      <c r="O128" s="432">
        <f t="shared" si="56"/>
        <v>1.2250430000000001</v>
      </c>
      <c r="P128" s="432">
        <f t="shared" si="57"/>
        <v>1.31079601</v>
      </c>
      <c r="Q128" s="432">
        <f t="shared" si="58"/>
        <v>1.4025517307000002</v>
      </c>
      <c r="R128" s="433">
        <v>3.8</v>
      </c>
      <c r="S128" s="426">
        <f t="shared" si="59"/>
        <v>3.7999999999810825</v>
      </c>
    </row>
    <row r="129" spans="1:19" x14ac:dyDescent="0.2">
      <c r="A129" s="425"/>
      <c r="B129" s="432">
        <v>1.1499999999999999</v>
      </c>
      <c r="C129" s="432">
        <f t="shared" si="50"/>
        <v>1.3224999999999998</v>
      </c>
      <c r="D129" s="432">
        <f t="shared" si="51"/>
        <v>1.5208749999999995</v>
      </c>
      <c r="E129" s="432">
        <f t="shared" si="52"/>
        <v>1.7490062499999994</v>
      </c>
      <c r="F129" s="432">
        <f t="shared" si="53"/>
        <v>2.0113571874999994</v>
      </c>
      <c r="G129" s="433">
        <v>2.7</v>
      </c>
      <c r="H129" s="426">
        <f t="shared" si="54"/>
        <v>2.7000000000005002</v>
      </c>
      <c r="I129" s="425"/>
      <c r="J129" s="425"/>
      <c r="K129" s="425"/>
      <c r="L129" s="425"/>
      <c r="M129" s="432">
        <v>1.1499999999999999</v>
      </c>
      <c r="N129" s="432">
        <f t="shared" si="55"/>
        <v>1.3224999999999998</v>
      </c>
      <c r="O129" s="432">
        <f t="shared" si="56"/>
        <v>1.5208749999999995</v>
      </c>
      <c r="P129" s="432">
        <f t="shared" si="57"/>
        <v>1.7490062499999994</v>
      </c>
      <c r="Q129" s="432">
        <f t="shared" si="58"/>
        <v>2.0113571874999994</v>
      </c>
      <c r="R129" s="433">
        <v>3.5</v>
      </c>
      <c r="S129" s="426">
        <f t="shared" si="59"/>
        <v>3.4999999999854481</v>
      </c>
    </row>
    <row r="130" spans="1:19" x14ac:dyDescent="0.2">
      <c r="A130" s="425"/>
      <c r="B130" s="432">
        <v>1.2</v>
      </c>
      <c r="C130" s="432">
        <f t="shared" si="50"/>
        <v>1.44</v>
      </c>
      <c r="D130" s="432">
        <f t="shared" si="51"/>
        <v>1.728</v>
      </c>
      <c r="E130" s="432">
        <f t="shared" si="52"/>
        <v>2.0735999999999999</v>
      </c>
      <c r="F130" s="432">
        <f t="shared" si="53"/>
        <v>2.4883199999999999</v>
      </c>
      <c r="G130" s="433">
        <v>2.4</v>
      </c>
      <c r="H130" s="426">
        <f t="shared" si="54"/>
        <v>2.3999999999996362</v>
      </c>
      <c r="I130" s="425"/>
      <c r="J130" s="425"/>
      <c r="K130" s="425"/>
      <c r="L130" s="425"/>
      <c r="M130" s="432">
        <v>1.2</v>
      </c>
      <c r="N130" s="432">
        <f t="shared" si="55"/>
        <v>1.44</v>
      </c>
      <c r="O130" s="432">
        <f t="shared" si="56"/>
        <v>1.728</v>
      </c>
      <c r="P130" s="432">
        <f t="shared" si="57"/>
        <v>2.0735999999999999</v>
      </c>
      <c r="Q130" s="432">
        <f t="shared" si="58"/>
        <v>2.4883199999999999</v>
      </c>
      <c r="R130" s="433">
        <v>2.8</v>
      </c>
      <c r="S130" s="426">
        <f t="shared" si="59"/>
        <v>2.7999999999938154</v>
      </c>
    </row>
    <row r="131" spans="1:19" x14ac:dyDescent="0.2">
      <c r="A131" s="425"/>
      <c r="B131" s="436">
        <f t="array" ref="B131:H136">LINEST(G125:G130,B125:F130,TRUE,TRUE)</f>
        <v>321.17120350261348</v>
      </c>
      <c r="C131" s="427">
        <v>-1500.4860062598896</v>
      </c>
      <c r="D131" s="427">
        <v>2655.54376429681</v>
      </c>
      <c r="E131" s="427">
        <v>-2168.392090807351</v>
      </c>
      <c r="F131" s="427">
        <v>766.36455135382278</v>
      </c>
      <c r="G131" s="427">
        <v>-71.301422086005573</v>
      </c>
      <c r="H131" s="425" t="e">
        <v>#N/A</v>
      </c>
      <c r="I131" s="425"/>
      <c r="J131" s="425"/>
      <c r="K131" s="425"/>
      <c r="L131" s="425"/>
      <c r="M131" s="436">
        <f t="array" ref="M131:R135">LINEST(R125:R130,M125:Q130,TRUE,TRUE)</f>
        <v>-6052.3354636143695</v>
      </c>
      <c r="N131" s="427">
        <v>30278.579805544941</v>
      </c>
      <c r="O131" s="427">
        <v>-60319.990897438671</v>
      </c>
      <c r="P131" s="427">
        <v>59801.17239569105</v>
      </c>
      <c r="Q131" s="427">
        <v>-29501.169213976103</v>
      </c>
      <c r="R131" s="427">
        <v>5797.9433737931395</v>
      </c>
      <c r="S131" s="425"/>
    </row>
    <row r="132" spans="1:19" x14ac:dyDescent="0.2">
      <c r="A132" s="425"/>
      <c r="B132" s="425">
        <v>0</v>
      </c>
      <c r="C132" s="425">
        <v>0</v>
      </c>
      <c r="D132" s="425">
        <v>0</v>
      </c>
      <c r="E132" s="425">
        <v>0</v>
      </c>
      <c r="F132" s="425">
        <v>0</v>
      </c>
      <c r="G132" s="425">
        <v>0</v>
      </c>
      <c r="H132" s="425" t="e">
        <v>#N/A</v>
      </c>
      <c r="I132" s="425"/>
      <c r="J132" s="425"/>
      <c r="K132" s="425"/>
      <c r="L132" s="425"/>
      <c r="M132" s="425">
        <v>0</v>
      </c>
      <c r="N132" s="425">
        <v>0</v>
      </c>
      <c r="O132" s="425">
        <v>0</v>
      </c>
      <c r="P132" s="425">
        <v>0</v>
      </c>
      <c r="Q132" s="425">
        <v>0</v>
      </c>
      <c r="R132" s="425">
        <v>0</v>
      </c>
      <c r="S132" s="425"/>
    </row>
    <row r="133" spans="1:19" x14ac:dyDescent="0.2">
      <c r="A133" s="425"/>
      <c r="B133" s="425">
        <v>1</v>
      </c>
      <c r="C133" s="425">
        <v>0</v>
      </c>
      <c r="D133" s="425" t="e">
        <v>#N/A</v>
      </c>
      <c r="E133" s="425" t="e">
        <v>#N/A</v>
      </c>
      <c r="F133" s="425" t="e">
        <v>#N/A</v>
      </c>
      <c r="G133" s="425" t="e">
        <v>#N/A</v>
      </c>
      <c r="H133" s="425" t="e">
        <v>#N/A</v>
      </c>
      <c r="I133" s="425"/>
      <c r="J133" s="425"/>
      <c r="K133" s="425"/>
      <c r="L133" s="425"/>
      <c r="M133" s="425">
        <v>1</v>
      </c>
      <c r="N133" s="425">
        <v>0</v>
      </c>
      <c r="O133" s="425" t="e">
        <v>#N/A</v>
      </c>
      <c r="P133" s="425" t="e">
        <v>#N/A</v>
      </c>
      <c r="Q133" s="425" t="e">
        <v>#N/A</v>
      </c>
      <c r="R133" s="425" t="e">
        <v>#N/A</v>
      </c>
      <c r="S133" s="425"/>
    </row>
    <row r="134" spans="1:19" x14ac:dyDescent="0.2">
      <c r="A134" s="425"/>
      <c r="B134" s="425" t="e">
        <v>#NUM!</v>
      </c>
      <c r="C134" s="425">
        <v>0</v>
      </c>
      <c r="D134" s="425" t="e">
        <v>#N/A</v>
      </c>
      <c r="E134" s="425" t="e">
        <v>#N/A</v>
      </c>
      <c r="F134" s="425" t="e">
        <v>#N/A</v>
      </c>
      <c r="G134" s="425" t="e">
        <v>#N/A</v>
      </c>
      <c r="H134" s="425" t="e">
        <v>#N/A</v>
      </c>
      <c r="I134" s="425"/>
      <c r="J134" s="425"/>
      <c r="K134" s="425"/>
      <c r="L134" s="425"/>
      <c r="M134" s="425" t="e">
        <v>#NUM!</v>
      </c>
      <c r="N134" s="425">
        <v>0</v>
      </c>
      <c r="O134" s="425" t="e">
        <v>#N/A</v>
      </c>
      <c r="P134" s="425" t="e">
        <v>#N/A</v>
      </c>
      <c r="Q134" s="425" t="e">
        <v>#N/A</v>
      </c>
      <c r="R134" s="425" t="e">
        <v>#N/A</v>
      </c>
      <c r="S134" s="425"/>
    </row>
    <row r="135" spans="1:19" x14ac:dyDescent="0.2">
      <c r="A135" s="425"/>
      <c r="B135" s="425">
        <v>2.1549999999999998</v>
      </c>
      <c r="C135" s="425">
        <v>0</v>
      </c>
      <c r="D135" s="425" t="e">
        <v>#N/A</v>
      </c>
      <c r="E135" s="425" t="e">
        <v>#N/A</v>
      </c>
      <c r="F135" s="425" t="e">
        <v>#N/A</v>
      </c>
      <c r="G135" s="425" t="e">
        <v>#N/A</v>
      </c>
      <c r="H135" s="425" t="e">
        <v>#N/A</v>
      </c>
      <c r="I135" s="425"/>
      <c r="J135" s="425"/>
      <c r="K135" s="425"/>
      <c r="L135" s="425"/>
      <c r="M135" s="425">
        <v>2.6333333333333337</v>
      </c>
      <c r="N135" s="425">
        <v>0</v>
      </c>
      <c r="O135" s="425" t="e">
        <v>#N/A</v>
      </c>
      <c r="P135" s="425" t="e">
        <v>#N/A</v>
      </c>
      <c r="Q135" s="425" t="e">
        <v>#N/A</v>
      </c>
      <c r="R135" s="425" t="e">
        <v>#N/A</v>
      </c>
      <c r="S135" s="425"/>
    </row>
    <row r="136" spans="1:19" ht="18" x14ac:dyDescent="0.25">
      <c r="A136" s="425"/>
      <c r="B136" s="425" t="e">
        <v>#N/A</v>
      </c>
      <c r="C136" s="425" t="e">
        <v>#N/A</v>
      </c>
      <c r="D136" s="437" t="e">
        <v>#N/A</v>
      </c>
      <c r="E136" s="437" t="e">
        <v>#N/A</v>
      </c>
      <c r="F136" s="437" t="e">
        <v>#N/A</v>
      </c>
      <c r="G136" s="437" t="e">
        <v>#N/A</v>
      </c>
      <c r="H136" s="425" t="e">
        <v>#N/A</v>
      </c>
      <c r="I136" s="425"/>
      <c r="J136" s="425"/>
      <c r="K136" s="425"/>
      <c r="L136" s="425"/>
      <c r="M136" s="425"/>
      <c r="N136" s="425"/>
      <c r="O136" s="425"/>
      <c r="P136" s="425"/>
      <c r="Q136" s="425"/>
      <c r="R136" s="425"/>
      <c r="S136" s="425"/>
    </row>
    <row r="137" spans="1:19" x14ac:dyDescent="0.2">
      <c r="M137" s="18"/>
      <c r="N137" s="18"/>
      <c r="O137" s="18"/>
      <c r="P137" s="18"/>
      <c r="Q137" s="18"/>
      <c r="R137" s="23"/>
    </row>
    <row r="138" spans="1:19" x14ac:dyDescent="0.2">
      <c r="B138" s="18"/>
      <c r="C138" s="18"/>
      <c r="D138" s="18"/>
      <c r="E138" s="18" t="s">
        <v>186</v>
      </c>
      <c r="F138" s="18" t="s">
        <v>187</v>
      </c>
      <c r="L138" s="18"/>
      <c r="M138" s="18"/>
      <c r="N138" s="18"/>
      <c r="O138" s="18"/>
      <c r="P138" s="18"/>
      <c r="Q138" s="23"/>
    </row>
    <row r="139" spans="1:19" x14ac:dyDescent="0.2">
      <c r="A139" s="356" t="s">
        <v>600</v>
      </c>
      <c r="B139" s="438">
        <v>5</v>
      </c>
      <c r="C139" s="18">
        <f>B139^2</f>
        <v>25</v>
      </c>
      <c r="D139" s="18">
        <f>B139^3</f>
        <v>125</v>
      </c>
      <c r="E139" s="57">
        <f>R115+Q115*$C$9+P115*$C$9^2+O115*$C$9^3+N115*$C$9^4+M115*$C$9^5</f>
        <v>5.6522102338885816</v>
      </c>
      <c r="F139" s="57">
        <f>$E$143+$D$143*B139+$C$143*C139+$B$143*D139</f>
        <v>5.6522102338885825</v>
      </c>
      <c r="L139" s="18"/>
      <c r="M139" s="18"/>
      <c r="N139" s="18"/>
      <c r="O139" s="18"/>
      <c r="P139" s="18"/>
      <c r="Q139" s="23"/>
    </row>
    <row r="140" spans="1:19" x14ac:dyDescent="0.2">
      <c r="A140" t="s">
        <v>601</v>
      </c>
      <c r="B140" s="18">
        <v>10</v>
      </c>
      <c r="C140" s="18">
        <f>B140^2</f>
        <v>100</v>
      </c>
      <c r="D140" s="18">
        <f>B140^3</f>
        <v>1000</v>
      </c>
      <c r="E140" s="57">
        <f>R131+Q131*$C$9+P131*$C$9^2+O131*$C$9^3+N131*$C$9^4+M131*$C$9^5</f>
        <v>4.1701906565140234</v>
      </c>
      <c r="F140" s="57">
        <f>$E$143+$D$143*B140+$C$143*C140+$B$143*D140</f>
        <v>4.1701906565140252</v>
      </c>
      <c r="L140" s="18"/>
      <c r="M140" s="18"/>
      <c r="N140" s="18"/>
      <c r="O140" s="18"/>
      <c r="P140" s="18"/>
      <c r="Q140" s="23"/>
    </row>
    <row r="141" spans="1:19" x14ac:dyDescent="0.2">
      <c r="A141" t="s">
        <v>602</v>
      </c>
      <c r="B141" s="18">
        <v>15</v>
      </c>
      <c r="C141" s="18">
        <f>B141^2</f>
        <v>225</v>
      </c>
      <c r="D141" s="18">
        <f>B141^3</f>
        <v>3375</v>
      </c>
      <c r="E141" s="57">
        <f>G115+F115*$C$9+E115*$C$9^2+D115*$C$9^3+C115*$C$9^4+B115*$C$9^5</f>
        <v>3.0007422059929922</v>
      </c>
      <c r="F141" s="57">
        <f>$E$143+$D$143*B141+$C$143*C141+$B$143*D141</f>
        <v>3.0007422059929945</v>
      </c>
      <c r="L141" s="18"/>
      <c r="M141" s="18"/>
      <c r="N141" s="18"/>
      <c r="O141" s="18"/>
      <c r="P141" s="18"/>
      <c r="Q141" s="23"/>
    </row>
    <row r="142" spans="1:19" x14ac:dyDescent="0.2">
      <c r="A142" t="s">
        <v>603</v>
      </c>
      <c r="B142" s="18">
        <v>20</v>
      </c>
      <c r="C142" s="18">
        <f>B142^2</f>
        <v>400</v>
      </c>
      <c r="D142" s="18">
        <f>B142^3</f>
        <v>8000</v>
      </c>
      <c r="E142" s="57">
        <f>G131+F131*$C$9+E131*$C$9^2+D131*$C$9^3+C131*$C$9^4+B131*$C$9^5</f>
        <v>2.9007422059923442</v>
      </c>
      <c r="F142" s="57">
        <f>$E$143+$D$143*B142+$C$143*C142+$B$143*D142</f>
        <v>2.900742205992346</v>
      </c>
    </row>
    <row r="143" spans="1:19" x14ac:dyDescent="0.2">
      <c r="B143">
        <f t="array" ref="B143:E148">LINEST(E139:E142,B139:D142,TRUE,TRUE)</f>
        <v>1.0091697648891439E-3</v>
      </c>
      <c r="C143" s="18">
        <v>-2.4023670409603789E-2</v>
      </c>
      <c r="D143">
        <v>-0.11265356818645485</v>
      </c>
      <c r="E143">
        <v>6.6899236144498087</v>
      </c>
    </row>
    <row r="144" spans="1:19" x14ac:dyDescent="0.2">
      <c r="B144">
        <v>0</v>
      </c>
      <c r="C144">
        <v>0</v>
      </c>
      <c r="D144">
        <v>0</v>
      </c>
      <c r="E144">
        <v>0</v>
      </c>
      <c r="L144" s="430"/>
    </row>
    <row r="145" spans="1:17" x14ac:dyDescent="0.2">
      <c r="A145" s="356"/>
      <c r="B145" s="331">
        <v>1</v>
      </c>
      <c r="C145" s="356">
        <v>0</v>
      </c>
      <c r="D145" t="e">
        <v>#N/A</v>
      </c>
      <c r="E145" t="e">
        <v>#N/A</v>
      </c>
      <c r="G145" s="331"/>
      <c r="H145" s="356"/>
      <c r="J145" s="356"/>
      <c r="K145" s="331"/>
      <c r="L145" s="356"/>
      <c r="O145" s="331"/>
      <c r="P145" s="356"/>
      <c r="Q145" s="356"/>
    </row>
    <row r="146" spans="1:17" x14ac:dyDescent="0.2">
      <c r="B146" s="56" t="e">
        <v>#NUM!</v>
      </c>
      <c r="C146" s="49">
        <v>0</v>
      </c>
      <c r="D146" t="e">
        <v>#N/A</v>
      </c>
      <c r="E146" t="e">
        <v>#N/A</v>
      </c>
      <c r="G146" s="56"/>
      <c r="L146" s="49"/>
      <c r="O146" s="18"/>
      <c r="P146" s="18"/>
      <c r="Q146" s="18"/>
    </row>
    <row r="147" spans="1:17" x14ac:dyDescent="0.2">
      <c r="B147" s="56">
        <v>4.9465875215418151</v>
      </c>
      <c r="C147" s="49">
        <v>0</v>
      </c>
      <c r="D147" t="e">
        <v>#N/A</v>
      </c>
      <c r="E147" t="e">
        <v>#N/A</v>
      </c>
      <c r="G147" s="56"/>
      <c r="L147" s="49"/>
      <c r="O147" s="18"/>
      <c r="P147" s="18"/>
      <c r="Q147" s="18"/>
    </row>
    <row r="148" spans="1:17" x14ac:dyDescent="0.2">
      <c r="B148" s="56" t="e">
        <v>#N/A</v>
      </c>
      <c r="C148" s="49" t="e">
        <v>#N/A</v>
      </c>
      <c r="D148" t="e">
        <v>#N/A</v>
      </c>
      <c r="E148" t="e">
        <v>#N/A</v>
      </c>
      <c r="G148" s="56"/>
      <c r="L148" s="49"/>
      <c r="O148" s="18"/>
      <c r="P148" s="18"/>
      <c r="Q148" s="18"/>
    </row>
    <row r="149" spans="1:17" x14ac:dyDescent="0.2">
      <c r="B149" s="56"/>
      <c r="C149" s="49"/>
      <c r="G149" s="18"/>
      <c r="L149" s="49"/>
      <c r="O149" s="18"/>
      <c r="P149" s="18"/>
      <c r="Q149" s="18"/>
    </row>
    <row r="150" spans="1:17" ht="18" x14ac:dyDescent="0.25">
      <c r="F150" s="380" t="s">
        <v>604</v>
      </c>
      <c r="G150" s="356"/>
      <c r="H150" s="356"/>
      <c r="I150" s="356"/>
      <c r="P150" s="18"/>
      <c r="Q150" s="18"/>
    </row>
    <row r="153" spans="1:17" ht="15.75" x14ac:dyDescent="0.25">
      <c r="D153" t="s">
        <v>186</v>
      </c>
      <c r="E153" t="s">
        <v>187</v>
      </c>
      <c r="N153" s="400" t="s">
        <v>605</v>
      </c>
    </row>
    <row r="154" spans="1:17" ht="18.75" x14ac:dyDescent="0.3">
      <c r="A154" t="s">
        <v>606</v>
      </c>
      <c r="B154">
        <v>5</v>
      </c>
      <c r="C154">
        <f>B154^2</f>
        <v>25</v>
      </c>
      <c r="D154" s="57">
        <f>E95+D95*$C$6+C95*$C$6^2+B95*$C$6^3</f>
        <v>2.8627599570247058</v>
      </c>
      <c r="E154" s="57">
        <f>$D$157+$C$157*B154+$B$157*C154</f>
        <v>2.8627599570247066</v>
      </c>
      <c r="H154" s="440" t="s">
        <v>607</v>
      </c>
      <c r="I154" s="440"/>
      <c r="J154" s="440"/>
      <c r="K154" s="117"/>
      <c r="L154" s="440" t="s">
        <v>616</v>
      </c>
      <c r="N154" s="411" t="s">
        <v>8</v>
      </c>
      <c r="O154" s="18">
        <f>C4</f>
        <v>36.930450887031938</v>
      </c>
    </row>
    <row r="155" spans="1:17" ht="18.75" x14ac:dyDescent="0.3">
      <c r="A155" t="s">
        <v>609</v>
      </c>
      <c r="B155">
        <v>12</v>
      </c>
      <c r="C155">
        <f>B155^2</f>
        <v>144</v>
      </c>
      <c r="D155" s="57">
        <f>E48+D48*$C$6+C48*$C$6^2+B48*$C$6^3</f>
        <v>3.2143562052122694</v>
      </c>
      <c r="E155" s="57">
        <f>$D$157+$C$157*B155+$B$157*C155</f>
        <v>3.2143562052122681</v>
      </c>
      <c r="H155" s="441">
        <f>$D$157+$C$157*C7+$B$157*C7^2</f>
        <v>3.5335686630809047</v>
      </c>
      <c r="I155" s="442"/>
      <c r="J155" s="442"/>
      <c r="K155" s="442"/>
      <c r="N155" s="411" t="s">
        <v>6</v>
      </c>
      <c r="O155" s="18">
        <f>C5</f>
        <v>36.75374827258797</v>
      </c>
    </row>
    <row r="156" spans="1:17" ht="15.75" x14ac:dyDescent="0.25">
      <c r="A156" t="s">
        <v>610</v>
      </c>
      <c r="B156">
        <v>15</v>
      </c>
      <c r="C156">
        <f>B156^2</f>
        <v>225</v>
      </c>
      <c r="D156" s="57">
        <f>E143+D143*$C$6+C143*$C$6^2+B143*$C$6^3</f>
        <v>4.4181996381836113</v>
      </c>
      <c r="E156" s="57">
        <f>$D$157+$C$157*B156+$B$157*C156</f>
        <v>4.4181996381836113</v>
      </c>
      <c r="N156" s="411" t="s">
        <v>9</v>
      </c>
      <c r="O156" s="18">
        <f>C6</f>
        <v>9.1590619531119692</v>
      </c>
    </row>
    <row r="157" spans="1:17" ht="15.75" x14ac:dyDescent="0.25">
      <c r="B157">
        <f t="array" ref="B157:D160">LINEST(D154:D156,B154:C156,TRUE,TRUE)</f>
        <v>3.5105310886841518E-2</v>
      </c>
      <c r="C157">
        <v>-0.54656224962093991</v>
      </c>
      <c r="D157">
        <v>4.717938432958368</v>
      </c>
      <c r="N157" s="411" t="s">
        <v>7</v>
      </c>
      <c r="O157" s="18">
        <f>C7</f>
        <v>12.967515306414976</v>
      </c>
    </row>
    <row r="158" spans="1:17" ht="15" x14ac:dyDescent="0.2">
      <c r="B158">
        <v>0</v>
      </c>
      <c r="C158">
        <v>0</v>
      </c>
      <c r="D158">
        <v>0</v>
      </c>
      <c r="N158" s="399"/>
    </row>
    <row r="159" spans="1:17" ht="15.75" x14ac:dyDescent="0.25">
      <c r="B159">
        <v>1</v>
      </c>
      <c r="C159">
        <v>0</v>
      </c>
      <c r="D159" t="e">
        <v>#N/A</v>
      </c>
      <c r="N159" s="411" t="s">
        <v>75</v>
      </c>
      <c r="O159" s="57">
        <f>C9</f>
        <v>1.0048077440464966</v>
      </c>
    </row>
    <row r="160" spans="1:17" x14ac:dyDescent="0.2">
      <c r="B160" t="e">
        <v>#NUM!</v>
      </c>
      <c r="C160">
        <v>0</v>
      </c>
      <c r="D160" t="e">
        <v>#N/A</v>
      </c>
    </row>
  </sheetData>
  <phoneticPr fontId="44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U3549"/>
  <sheetViews>
    <sheetView zoomScale="75" workbookViewId="0">
      <selection activeCell="M28" sqref="M28"/>
    </sheetView>
  </sheetViews>
  <sheetFormatPr defaultRowHeight="12.75" x14ac:dyDescent="0.2"/>
  <sheetData>
    <row r="1" spans="1:21" ht="15.75" x14ac:dyDescent="0.25">
      <c r="C1" s="411"/>
      <c r="D1" s="420"/>
      <c r="G1" s="411"/>
      <c r="N1" s="57"/>
      <c r="O1" s="57"/>
      <c r="P1" s="57"/>
      <c r="Q1" s="57"/>
      <c r="R1" s="57"/>
      <c r="S1" s="57"/>
    </row>
    <row r="2" spans="1:21" ht="15" x14ac:dyDescent="0.2">
      <c r="C2" s="399"/>
      <c r="D2" s="424"/>
      <c r="F2" t="s">
        <v>617</v>
      </c>
      <c r="N2" s="57"/>
      <c r="O2" s="57"/>
      <c r="P2" s="57"/>
      <c r="Q2" s="57"/>
      <c r="R2" s="57"/>
      <c r="S2" s="57"/>
    </row>
    <row r="3" spans="1:21" ht="15.75" x14ac:dyDescent="0.25">
      <c r="C3" s="411"/>
      <c r="D3" s="414"/>
      <c r="H3" s="18"/>
      <c r="I3" s="18"/>
      <c r="N3" s="57"/>
      <c r="O3" s="57"/>
      <c r="P3" s="57"/>
      <c r="Q3" s="57"/>
      <c r="R3" s="57"/>
      <c r="S3" s="57"/>
    </row>
    <row r="4" spans="1:21" x14ac:dyDescent="0.2">
      <c r="C4" s="425"/>
      <c r="D4" s="371" t="s">
        <v>618</v>
      </c>
      <c r="E4" s="371"/>
      <c r="F4" s="445" t="s">
        <v>608</v>
      </c>
      <c r="G4" s="425"/>
      <c r="H4" s="18"/>
      <c r="I4" s="18"/>
      <c r="J4" s="425"/>
      <c r="K4" s="371" t="s">
        <v>618</v>
      </c>
      <c r="L4" s="371"/>
      <c r="M4" s="445" t="s">
        <v>616</v>
      </c>
      <c r="N4" s="425"/>
      <c r="O4" s="18"/>
      <c r="P4" s="18"/>
      <c r="Q4" s="18"/>
      <c r="R4" s="18"/>
      <c r="S4" s="18"/>
      <c r="T4" s="18"/>
      <c r="U4" s="18"/>
    </row>
    <row r="5" spans="1:21" x14ac:dyDescent="0.2">
      <c r="C5" s="425"/>
      <c r="D5" s="425"/>
      <c r="G5" s="425"/>
      <c r="H5" s="18"/>
      <c r="I5" s="18"/>
      <c r="J5" s="425"/>
      <c r="K5" s="425"/>
      <c r="N5" s="425"/>
      <c r="O5" s="18"/>
      <c r="P5" s="18"/>
      <c r="Q5" s="18"/>
      <c r="R5" s="18"/>
      <c r="S5" s="18"/>
      <c r="T5" s="18"/>
      <c r="U5" s="18"/>
    </row>
    <row r="6" spans="1:21" x14ac:dyDescent="0.2">
      <c r="C6" s="425"/>
      <c r="D6" s="428" t="s">
        <v>598</v>
      </c>
      <c r="E6" s="428" t="s">
        <v>598</v>
      </c>
      <c r="F6" s="428" t="s">
        <v>598</v>
      </c>
      <c r="G6" s="428" t="s">
        <v>598</v>
      </c>
      <c r="H6" s="18"/>
      <c r="I6" s="18"/>
      <c r="J6" s="425"/>
      <c r="K6" s="428" t="s">
        <v>598</v>
      </c>
      <c r="L6" s="428" t="s">
        <v>598</v>
      </c>
      <c r="M6" s="428" t="s">
        <v>598</v>
      </c>
      <c r="N6" s="428" t="s">
        <v>598</v>
      </c>
      <c r="O6" s="18"/>
      <c r="P6" s="18"/>
      <c r="Q6" s="18"/>
      <c r="R6" s="18"/>
      <c r="S6" s="18"/>
      <c r="T6" s="18"/>
      <c r="U6" s="18"/>
    </row>
    <row r="7" spans="1:21" x14ac:dyDescent="0.2">
      <c r="C7" s="371" t="s">
        <v>75</v>
      </c>
      <c r="D7" s="371">
        <v>5</v>
      </c>
      <c r="E7" s="371">
        <v>10</v>
      </c>
      <c r="F7" s="371">
        <v>15</v>
      </c>
      <c r="G7" s="371">
        <v>20</v>
      </c>
      <c r="H7" s="18"/>
      <c r="I7" s="18"/>
      <c r="J7" s="371" t="s">
        <v>75</v>
      </c>
      <c r="K7" s="371">
        <v>5</v>
      </c>
      <c r="L7" s="371">
        <v>10</v>
      </c>
      <c r="M7" s="371">
        <v>15</v>
      </c>
      <c r="N7" s="371">
        <v>20</v>
      </c>
      <c r="O7" s="18"/>
      <c r="P7" s="18"/>
      <c r="Q7" s="18"/>
      <c r="R7" s="18"/>
      <c r="S7" s="18"/>
      <c r="T7" s="18"/>
      <c r="U7" s="18"/>
    </row>
    <row r="8" spans="1:21" x14ac:dyDescent="0.2">
      <c r="A8" s="402"/>
      <c r="B8" s="402"/>
      <c r="C8" s="432">
        <v>0.8</v>
      </c>
      <c r="D8" s="435">
        <v>11</v>
      </c>
      <c r="E8" s="435">
        <v>10</v>
      </c>
      <c r="F8" s="435">
        <v>9.5</v>
      </c>
      <c r="G8" s="435">
        <v>9</v>
      </c>
      <c r="H8" s="438"/>
      <c r="I8" s="438"/>
      <c r="J8" s="432">
        <v>0.8</v>
      </c>
      <c r="K8" s="435">
        <v>6</v>
      </c>
      <c r="L8" s="435">
        <v>3.2</v>
      </c>
      <c r="M8" s="435">
        <v>2.5</v>
      </c>
      <c r="N8" s="435">
        <v>2.5</v>
      </c>
      <c r="O8" s="18"/>
      <c r="P8" s="18"/>
      <c r="Q8" s="18"/>
      <c r="R8" s="18"/>
      <c r="S8" s="18"/>
      <c r="T8" s="18"/>
      <c r="U8" s="18"/>
    </row>
    <row r="9" spans="1:21" x14ac:dyDescent="0.2">
      <c r="A9" s="402"/>
      <c r="B9" s="402"/>
      <c r="C9" s="432">
        <v>0.9</v>
      </c>
      <c r="D9" s="435">
        <v>11</v>
      </c>
      <c r="E9" s="435">
        <v>9.5</v>
      </c>
      <c r="F9" s="435">
        <v>9</v>
      </c>
      <c r="G9" s="435">
        <v>9</v>
      </c>
      <c r="H9" s="438"/>
      <c r="I9" s="438"/>
      <c r="J9" s="432">
        <v>0.9</v>
      </c>
      <c r="K9" s="435">
        <v>6</v>
      </c>
      <c r="L9" s="435">
        <v>3.5</v>
      </c>
      <c r="M9" s="435">
        <v>2.5</v>
      </c>
      <c r="N9" s="435">
        <v>2.5</v>
      </c>
      <c r="O9" s="18"/>
      <c r="P9" s="18"/>
      <c r="Q9" s="18"/>
      <c r="R9" s="18"/>
      <c r="S9" s="18"/>
      <c r="T9" s="18"/>
      <c r="U9" s="18"/>
    </row>
    <row r="10" spans="1:21" x14ac:dyDescent="0.2">
      <c r="A10" s="402"/>
      <c r="B10" s="402"/>
      <c r="C10" s="432">
        <v>1</v>
      </c>
      <c r="D10" s="435">
        <v>8</v>
      </c>
      <c r="E10" s="435">
        <v>7.8</v>
      </c>
      <c r="F10" s="435">
        <v>7.5</v>
      </c>
      <c r="G10" s="435">
        <v>7</v>
      </c>
      <c r="H10" s="438"/>
      <c r="I10" s="438"/>
      <c r="J10" s="432">
        <v>1</v>
      </c>
      <c r="K10" s="435">
        <v>6</v>
      </c>
      <c r="L10" s="435">
        <v>3</v>
      </c>
      <c r="M10" s="435">
        <v>2.5</v>
      </c>
      <c r="N10" s="435">
        <v>2.2999999999999998</v>
      </c>
      <c r="O10" s="18"/>
      <c r="P10" s="18"/>
      <c r="Q10" s="18"/>
      <c r="R10" s="18"/>
      <c r="S10" s="18"/>
      <c r="T10" s="18"/>
      <c r="U10" s="18"/>
    </row>
    <row r="11" spans="1:21" x14ac:dyDescent="0.2">
      <c r="A11" s="402"/>
      <c r="B11" s="402"/>
      <c r="C11" s="432">
        <v>1.07</v>
      </c>
      <c r="D11" s="435">
        <v>7.5</v>
      </c>
      <c r="E11" s="446">
        <v>6.5</v>
      </c>
      <c r="F11" s="435">
        <v>6.8</v>
      </c>
      <c r="G11" s="435">
        <v>7</v>
      </c>
      <c r="H11" s="438"/>
      <c r="I11" s="438"/>
      <c r="J11" s="432">
        <v>1.07</v>
      </c>
      <c r="K11" s="435">
        <v>4</v>
      </c>
      <c r="L11" s="435">
        <v>2.5</v>
      </c>
      <c r="M11" s="435">
        <v>2.2999999999999998</v>
      </c>
      <c r="N11" s="435">
        <v>2</v>
      </c>
      <c r="O11" s="18"/>
      <c r="P11" s="18"/>
      <c r="Q11" s="18"/>
      <c r="R11" s="18"/>
      <c r="S11" s="18"/>
      <c r="T11" s="18"/>
      <c r="U11" s="18"/>
    </row>
    <row r="12" spans="1:21" x14ac:dyDescent="0.2">
      <c r="A12" s="402"/>
      <c r="B12" s="402"/>
      <c r="C12" s="432">
        <v>1.1499999999999999</v>
      </c>
      <c r="D12" s="435">
        <v>7</v>
      </c>
      <c r="E12" s="446">
        <v>7.5</v>
      </c>
      <c r="F12" s="435">
        <v>7</v>
      </c>
      <c r="G12" s="435">
        <v>7</v>
      </c>
      <c r="H12" s="438"/>
      <c r="I12" s="438"/>
      <c r="J12" s="432">
        <v>1.1499999999999999</v>
      </c>
      <c r="K12" s="435">
        <v>3.5</v>
      </c>
      <c r="L12" s="435">
        <v>2.5</v>
      </c>
      <c r="M12" s="435">
        <v>2</v>
      </c>
      <c r="N12" s="435">
        <v>2</v>
      </c>
      <c r="O12" s="18"/>
      <c r="P12" s="18"/>
      <c r="Q12" s="18"/>
      <c r="R12" s="18"/>
      <c r="S12" s="18"/>
      <c r="T12" s="18"/>
      <c r="U12" s="18"/>
    </row>
    <row r="13" spans="1:21" x14ac:dyDescent="0.2">
      <c r="A13" s="402"/>
      <c r="B13" s="402"/>
      <c r="C13" s="432">
        <v>1.2</v>
      </c>
      <c r="D13" s="435">
        <v>8</v>
      </c>
      <c r="E13" s="435">
        <v>11</v>
      </c>
      <c r="F13" s="435">
        <v>12</v>
      </c>
      <c r="G13" s="435">
        <v>15</v>
      </c>
      <c r="H13" s="438"/>
      <c r="I13" s="438"/>
      <c r="J13" s="432">
        <v>1.2</v>
      </c>
      <c r="K13" s="435">
        <v>3</v>
      </c>
      <c r="L13" s="435">
        <v>2</v>
      </c>
      <c r="M13" s="435">
        <v>1.9</v>
      </c>
      <c r="N13" s="435">
        <v>2</v>
      </c>
      <c r="O13" s="18"/>
      <c r="P13" s="18"/>
      <c r="Q13" s="18"/>
      <c r="R13" s="18"/>
      <c r="S13" s="18"/>
      <c r="T13" s="18"/>
      <c r="U13" s="18"/>
    </row>
    <row r="14" spans="1:21" x14ac:dyDescent="0.2">
      <c r="A14" s="402"/>
      <c r="B14" s="402"/>
      <c r="C14" s="427"/>
      <c r="D14" s="427"/>
      <c r="E14" s="427"/>
      <c r="F14" s="427"/>
      <c r="G14" s="427"/>
      <c r="H14" s="438"/>
      <c r="I14" s="438"/>
      <c r="J14" s="427"/>
      <c r="K14" s="427"/>
      <c r="L14" s="427"/>
      <c r="M14" s="427"/>
      <c r="N14" s="427"/>
      <c r="O14" s="18"/>
      <c r="P14" s="18"/>
      <c r="Q14" s="18"/>
      <c r="R14" s="18"/>
      <c r="S14" s="18"/>
      <c r="T14" s="18"/>
      <c r="U14" s="18"/>
    </row>
    <row r="15" spans="1:21" x14ac:dyDescent="0.2">
      <c r="A15" s="402"/>
      <c r="B15" s="402"/>
      <c r="C15" s="425"/>
      <c r="D15" s="425"/>
      <c r="E15" s="425"/>
      <c r="F15" s="425"/>
      <c r="G15" s="425"/>
      <c r="H15" s="438"/>
      <c r="I15" s="438"/>
      <c r="J15" s="425"/>
      <c r="K15" s="425"/>
      <c r="L15" s="425"/>
      <c r="M15" s="425"/>
      <c r="N15" s="425"/>
      <c r="O15" s="18"/>
      <c r="P15" s="18"/>
      <c r="Q15" s="18"/>
      <c r="R15" s="18"/>
      <c r="S15" s="18"/>
      <c r="T15" s="18"/>
      <c r="U15" s="18"/>
    </row>
    <row r="16" spans="1:21" x14ac:dyDescent="0.2">
      <c r="A16" s="402"/>
      <c r="B16" s="402"/>
      <c r="C16" s="425"/>
      <c r="D16" s="371" t="s">
        <v>619</v>
      </c>
      <c r="E16" s="371"/>
      <c r="F16" s="445" t="s">
        <v>608</v>
      </c>
      <c r="G16" s="425"/>
      <c r="H16" s="438"/>
      <c r="I16" s="438"/>
      <c r="J16" s="425"/>
      <c r="K16" s="371" t="s">
        <v>619</v>
      </c>
      <c r="L16" s="371"/>
      <c r="M16" s="445" t="s">
        <v>616</v>
      </c>
      <c r="N16" s="425"/>
      <c r="O16" s="18"/>
      <c r="P16" s="18"/>
      <c r="Q16" s="18"/>
      <c r="R16" s="18"/>
      <c r="S16" s="18"/>
      <c r="T16" s="18"/>
      <c r="U16" s="18"/>
    </row>
    <row r="17" spans="1:21" x14ac:dyDescent="0.2">
      <c r="A17" s="402"/>
      <c r="B17" s="402"/>
      <c r="C17" s="425"/>
      <c r="D17" s="425"/>
      <c r="E17" s="402"/>
      <c r="F17" s="402"/>
      <c r="G17" s="425"/>
      <c r="H17" s="438"/>
      <c r="I17" s="438"/>
      <c r="J17" s="425"/>
      <c r="K17" s="425"/>
      <c r="L17" s="402"/>
      <c r="M17" s="402"/>
      <c r="N17" s="425"/>
      <c r="O17" s="18"/>
      <c r="P17" s="18"/>
      <c r="Q17" s="18"/>
      <c r="R17" s="18"/>
      <c r="S17" s="18"/>
      <c r="T17" s="18"/>
      <c r="U17" s="18"/>
    </row>
    <row r="18" spans="1:21" x14ac:dyDescent="0.2">
      <c r="A18" s="402"/>
      <c r="B18" s="402"/>
      <c r="C18" s="425"/>
      <c r="D18" s="428" t="s">
        <v>598</v>
      </c>
      <c r="E18" s="428" t="s">
        <v>598</v>
      </c>
      <c r="F18" s="428" t="s">
        <v>598</v>
      </c>
      <c r="G18" s="428" t="s">
        <v>598</v>
      </c>
      <c r="H18" s="438"/>
      <c r="I18" s="438"/>
      <c r="J18" s="425"/>
      <c r="K18" s="428" t="s">
        <v>598</v>
      </c>
      <c r="L18" s="428" t="s">
        <v>598</v>
      </c>
      <c r="M18" s="428" t="s">
        <v>598</v>
      </c>
      <c r="N18" s="428" t="s">
        <v>598</v>
      </c>
      <c r="O18" s="18"/>
      <c r="P18" s="18"/>
      <c r="Q18" s="18"/>
      <c r="R18" s="18"/>
      <c r="S18" s="18"/>
      <c r="T18" s="18"/>
      <c r="U18" s="18"/>
    </row>
    <row r="19" spans="1:21" x14ac:dyDescent="0.2">
      <c r="A19" s="402"/>
      <c r="B19" s="402"/>
      <c r="C19" s="371" t="s">
        <v>75</v>
      </c>
      <c r="D19" s="371">
        <v>5</v>
      </c>
      <c r="E19" s="371">
        <v>10</v>
      </c>
      <c r="F19" s="371">
        <v>15</v>
      </c>
      <c r="G19" s="371">
        <v>20</v>
      </c>
      <c r="H19" s="438"/>
      <c r="I19" s="438"/>
      <c r="J19" s="371" t="s">
        <v>75</v>
      </c>
      <c r="K19" s="371">
        <v>5</v>
      </c>
      <c r="L19" s="371">
        <v>10</v>
      </c>
      <c r="M19" s="371">
        <v>15</v>
      </c>
      <c r="N19" s="371">
        <v>20</v>
      </c>
      <c r="O19" s="18"/>
      <c r="P19" s="18"/>
      <c r="Q19" s="18"/>
      <c r="R19" s="18"/>
      <c r="S19" s="18"/>
      <c r="T19" s="18"/>
      <c r="U19" s="18"/>
    </row>
    <row r="20" spans="1:21" x14ac:dyDescent="0.2">
      <c r="A20" s="402"/>
      <c r="B20" s="402"/>
      <c r="C20" s="432">
        <v>0.8</v>
      </c>
      <c r="D20" s="435">
        <v>12.1</v>
      </c>
      <c r="E20" s="435">
        <v>8.6</v>
      </c>
      <c r="F20" s="435">
        <v>8.3000000000000007</v>
      </c>
      <c r="G20" s="435">
        <v>7.8</v>
      </c>
      <c r="H20" s="438"/>
      <c r="I20" s="438"/>
      <c r="J20" s="432">
        <v>0.8</v>
      </c>
      <c r="K20" s="435">
        <v>4.8</v>
      </c>
      <c r="L20" s="435">
        <v>3.8</v>
      </c>
      <c r="M20" s="435">
        <v>3.3</v>
      </c>
      <c r="N20" s="435">
        <v>3</v>
      </c>
      <c r="O20" s="18"/>
      <c r="P20" s="18"/>
      <c r="Q20" s="18"/>
      <c r="R20" s="18"/>
      <c r="S20" s="18"/>
      <c r="T20" s="18"/>
      <c r="U20" s="18"/>
    </row>
    <row r="21" spans="1:21" x14ac:dyDescent="0.2">
      <c r="A21" s="402"/>
      <c r="B21" s="402"/>
      <c r="C21" s="432">
        <v>0.9</v>
      </c>
      <c r="D21" s="435">
        <v>12</v>
      </c>
      <c r="E21" s="435">
        <v>10</v>
      </c>
      <c r="F21" s="435">
        <v>8.5</v>
      </c>
      <c r="G21" s="435">
        <v>8</v>
      </c>
      <c r="H21" s="438"/>
      <c r="I21" s="438"/>
      <c r="J21" s="432">
        <v>0.9</v>
      </c>
      <c r="K21" s="435">
        <v>4.5</v>
      </c>
      <c r="L21" s="435">
        <v>3</v>
      </c>
      <c r="M21" s="435">
        <v>2.5</v>
      </c>
      <c r="N21" s="435">
        <v>2.2999999999999998</v>
      </c>
      <c r="O21" s="18"/>
      <c r="P21" s="18"/>
      <c r="Q21" s="18"/>
      <c r="R21" s="18"/>
      <c r="S21" s="18"/>
      <c r="T21" s="18"/>
      <c r="U21" s="18"/>
    </row>
    <row r="22" spans="1:21" x14ac:dyDescent="0.2">
      <c r="A22" s="402"/>
      <c r="B22" s="402"/>
      <c r="C22" s="432">
        <v>1</v>
      </c>
      <c r="D22" s="435">
        <v>10</v>
      </c>
      <c r="E22" s="435">
        <v>9.5</v>
      </c>
      <c r="F22" s="435">
        <v>9.1</v>
      </c>
      <c r="G22" s="435">
        <v>8.5</v>
      </c>
      <c r="H22" s="438"/>
      <c r="I22" s="438"/>
      <c r="J22" s="432">
        <v>1</v>
      </c>
      <c r="K22" s="435">
        <v>3</v>
      </c>
      <c r="L22" s="435">
        <v>2.8</v>
      </c>
      <c r="M22" s="435">
        <v>2.2999999999999998</v>
      </c>
      <c r="N22" s="435">
        <v>2.2000000000000002</v>
      </c>
      <c r="O22" s="18"/>
      <c r="P22" s="18"/>
      <c r="Q22" s="18"/>
      <c r="R22" s="18"/>
      <c r="S22" s="18"/>
      <c r="T22" s="18"/>
      <c r="U22" s="18"/>
    </row>
    <row r="23" spans="1:21" x14ac:dyDescent="0.2">
      <c r="A23" s="402"/>
      <c r="B23" s="402"/>
      <c r="C23" s="432">
        <v>1.07</v>
      </c>
      <c r="D23" s="435">
        <v>9.8000000000000007</v>
      </c>
      <c r="E23" s="435">
        <v>9.1999999999999993</v>
      </c>
      <c r="F23" s="435">
        <v>9</v>
      </c>
      <c r="G23" s="435">
        <v>9.1</v>
      </c>
      <c r="H23" s="438"/>
      <c r="I23" s="438"/>
      <c r="J23" s="432">
        <v>1.07</v>
      </c>
      <c r="K23" s="435">
        <v>2.7</v>
      </c>
      <c r="L23" s="435">
        <v>2.5</v>
      </c>
      <c r="M23" s="435">
        <v>2.2000000000000002</v>
      </c>
      <c r="N23" s="435">
        <v>2</v>
      </c>
      <c r="O23" s="18"/>
      <c r="P23" s="18"/>
      <c r="Q23" s="18"/>
      <c r="R23" s="18"/>
      <c r="S23" s="18"/>
      <c r="T23" s="18"/>
      <c r="U23" s="18"/>
    </row>
    <row r="24" spans="1:21" x14ac:dyDescent="0.2">
      <c r="A24" s="402"/>
      <c r="B24" s="402"/>
      <c r="C24" s="432">
        <v>1.1499999999999999</v>
      </c>
      <c r="D24" s="435">
        <v>9.6</v>
      </c>
      <c r="E24" s="435">
        <v>9.3000000000000007</v>
      </c>
      <c r="F24" s="435">
        <v>9</v>
      </c>
      <c r="G24" s="435">
        <v>9.3000000000000007</v>
      </c>
      <c r="H24" s="438"/>
      <c r="I24" s="438"/>
      <c r="J24" s="432">
        <v>1.1499999999999999</v>
      </c>
      <c r="K24" s="435">
        <v>2.2999999999999998</v>
      </c>
      <c r="L24" s="435">
        <v>2</v>
      </c>
      <c r="M24" s="435">
        <v>2.1</v>
      </c>
      <c r="N24" s="435">
        <v>2.2000000000000002</v>
      </c>
      <c r="O24" s="18"/>
      <c r="P24" s="18"/>
      <c r="Q24" s="18"/>
      <c r="R24" s="18"/>
      <c r="S24" s="18"/>
      <c r="T24" s="18"/>
      <c r="U24" s="18"/>
    </row>
    <row r="25" spans="1:21" x14ac:dyDescent="0.2">
      <c r="A25" s="402"/>
      <c r="B25" s="402"/>
      <c r="C25" s="432">
        <v>1.2</v>
      </c>
      <c r="D25" s="435">
        <v>9.3000000000000007</v>
      </c>
      <c r="E25" s="435">
        <v>9.5</v>
      </c>
      <c r="F25" s="435">
        <v>10</v>
      </c>
      <c r="G25" s="435">
        <v>10</v>
      </c>
      <c r="H25" s="438"/>
      <c r="I25" s="438"/>
      <c r="J25" s="432">
        <v>1.2</v>
      </c>
      <c r="K25" s="435">
        <v>2.8</v>
      </c>
      <c r="L25" s="435">
        <v>2.7</v>
      </c>
      <c r="M25" s="435">
        <v>2.6</v>
      </c>
      <c r="N25" s="435">
        <v>2.5</v>
      </c>
      <c r="O25" s="18"/>
      <c r="P25" s="18"/>
      <c r="Q25" s="18"/>
      <c r="R25" s="18"/>
      <c r="S25" s="18"/>
      <c r="T25" s="18"/>
      <c r="U25" s="18"/>
    </row>
    <row r="26" spans="1:21" x14ac:dyDescent="0.2">
      <c r="A26" s="402"/>
      <c r="B26" s="402"/>
      <c r="C26" s="432"/>
      <c r="D26" s="432"/>
      <c r="E26" s="432"/>
      <c r="F26" s="432"/>
      <c r="G26" s="432"/>
      <c r="H26" s="438"/>
      <c r="I26" s="438"/>
      <c r="J26" s="432"/>
      <c r="K26" s="432"/>
      <c r="L26" s="432"/>
      <c r="M26" s="432"/>
      <c r="N26" s="432"/>
      <c r="O26" s="18"/>
      <c r="P26" s="18"/>
      <c r="Q26" s="18"/>
      <c r="R26" s="18"/>
      <c r="S26" s="18"/>
      <c r="T26" s="18"/>
      <c r="U26" s="18"/>
    </row>
    <row r="27" spans="1:21" x14ac:dyDescent="0.2">
      <c r="A27" s="402"/>
      <c r="B27" s="402"/>
      <c r="C27" s="432"/>
      <c r="D27" s="432"/>
      <c r="E27" s="432"/>
      <c r="F27" s="432"/>
      <c r="G27" s="432"/>
      <c r="H27" s="438"/>
      <c r="I27" s="438"/>
      <c r="J27" s="432"/>
      <c r="K27" s="432"/>
      <c r="L27" s="432"/>
      <c r="M27" s="432"/>
      <c r="N27" s="432"/>
      <c r="O27" s="18"/>
      <c r="P27" s="18"/>
      <c r="Q27" s="18"/>
      <c r="R27" s="18"/>
      <c r="S27" s="18"/>
      <c r="T27" s="18"/>
      <c r="U27" s="18"/>
    </row>
    <row r="28" spans="1:21" x14ac:dyDescent="0.2">
      <c r="A28" s="402"/>
      <c r="B28" s="402"/>
      <c r="C28" s="425"/>
      <c r="D28" s="371" t="s">
        <v>620</v>
      </c>
      <c r="E28" s="371"/>
      <c r="F28" s="445" t="s">
        <v>608</v>
      </c>
      <c r="G28" s="425"/>
      <c r="H28" s="438"/>
      <c r="I28" s="438"/>
      <c r="J28" s="425"/>
      <c r="K28" s="371" t="s">
        <v>620</v>
      </c>
      <c r="L28" s="371"/>
      <c r="M28" s="445" t="s">
        <v>616</v>
      </c>
      <c r="N28" s="425"/>
      <c r="O28" s="18"/>
      <c r="P28" s="18"/>
      <c r="Q28" s="18"/>
      <c r="R28" s="18"/>
      <c r="S28" s="18"/>
      <c r="T28" s="18"/>
      <c r="U28" s="18"/>
    </row>
    <row r="29" spans="1:21" x14ac:dyDescent="0.2">
      <c r="A29" s="402"/>
      <c r="B29" s="402"/>
      <c r="C29" s="425"/>
      <c r="D29" s="425"/>
      <c r="E29" s="402"/>
      <c r="F29" s="402"/>
      <c r="G29" s="425"/>
      <c r="H29" s="438"/>
      <c r="I29" s="438"/>
      <c r="J29" s="425"/>
      <c r="K29" s="425"/>
      <c r="L29" s="402"/>
      <c r="M29" s="402"/>
      <c r="N29" s="425"/>
      <c r="O29" s="18"/>
      <c r="P29" s="18"/>
      <c r="Q29" s="18"/>
      <c r="R29" s="18"/>
      <c r="S29" s="18"/>
      <c r="T29" s="18"/>
      <c r="U29" s="18"/>
    </row>
    <row r="30" spans="1:21" x14ac:dyDescent="0.2">
      <c r="A30" s="402"/>
      <c r="B30" s="402"/>
      <c r="C30" s="425"/>
      <c r="D30" s="428" t="s">
        <v>598</v>
      </c>
      <c r="E30" s="428" t="s">
        <v>598</v>
      </c>
      <c r="F30" s="428" t="s">
        <v>598</v>
      </c>
      <c r="G30" s="428" t="s">
        <v>598</v>
      </c>
      <c r="H30" s="438"/>
      <c r="I30" s="438"/>
      <c r="J30" s="425"/>
      <c r="K30" s="428" t="s">
        <v>598</v>
      </c>
      <c r="L30" s="428" t="s">
        <v>598</v>
      </c>
      <c r="M30" s="428" t="s">
        <v>598</v>
      </c>
      <c r="N30" s="428" t="s">
        <v>598</v>
      </c>
      <c r="O30" s="18"/>
      <c r="P30" s="18"/>
      <c r="Q30" s="18"/>
      <c r="R30" s="18"/>
      <c r="S30" s="18"/>
      <c r="T30" s="18"/>
      <c r="U30" s="18"/>
    </row>
    <row r="31" spans="1:21" x14ac:dyDescent="0.2">
      <c r="A31" s="402"/>
      <c r="B31" s="402"/>
      <c r="C31" s="371" t="s">
        <v>75</v>
      </c>
      <c r="D31" s="371">
        <v>5</v>
      </c>
      <c r="E31" s="371">
        <v>10</v>
      </c>
      <c r="F31" s="371">
        <v>15</v>
      </c>
      <c r="G31" s="371">
        <v>20</v>
      </c>
      <c r="H31" s="438"/>
      <c r="I31" s="438"/>
      <c r="J31" s="371" t="s">
        <v>75</v>
      </c>
      <c r="K31" s="371">
        <v>5</v>
      </c>
      <c r="L31" s="371">
        <v>10</v>
      </c>
      <c r="M31" s="371">
        <v>15</v>
      </c>
      <c r="N31" s="371">
        <v>20</v>
      </c>
      <c r="O31" s="18"/>
      <c r="P31" s="18"/>
      <c r="Q31" s="18"/>
      <c r="R31" s="18"/>
      <c r="S31" s="18"/>
      <c r="T31" s="18"/>
      <c r="U31" s="18"/>
    </row>
    <row r="32" spans="1:21" x14ac:dyDescent="0.2">
      <c r="A32" s="402"/>
      <c r="B32" s="402"/>
      <c r="C32" s="432">
        <v>0.8</v>
      </c>
      <c r="D32" s="435">
        <v>15.1</v>
      </c>
      <c r="E32" s="435">
        <v>10</v>
      </c>
      <c r="F32" s="435">
        <v>9</v>
      </c>
      <c r="G32" s="435">
        <v>8</v>
      </c>
      <c r="H32" s="438"/>
      <c r="I32" s="438"/>
      <c r="J32" s="432">
        <v>0.8</v>
      </c>
      <c r="K32" s="435">
        <v>7</v>
      </c>
      <c r="L32" s="435">
        <v>4.8</v>
      </c>
      <c r="M32" s="435">
        <v>4.4000000000000004</v>
      </c>
      <c r="N32" s="435">
        <v>4.3</v>
      </c>
      <c r="O32" s="18"/>
      <c r="P32" s="18"/>
      <c r="Q32" s="18"/>
      <c r="R32" s="18"/>
      <c r="S32" s="18"/>
      <c r="T32" s="18"/>
      <c r="U32" s="18"/>
    </row>
    <row r="33" spans="1:21" x14ac:dyDescent="0.2">
      <c r="A33" s="402"/>
      <c r="B33" s="402"/>
      <c r="C33" s="432">
        <v>0.9</v>
      </c>
      <c r="D33" s="435">
        <v>13</v>
      </c>
      <c r="E33" s="435">
        <v>10</v>
      </c>
      <c r="F33" s="435">
        <v>9</v>
      </c>
      <c r="G33" s="435">
        <v>7</v>
      </c>
      <c r="H33" s="438"/>
      <c r="I33" s="438"/>
      <c r="J33" s="432">
        <v>0.9</v>
      </c>
      <c r="K33" s="435">
        <v>6.4</v>
      </c>
      <c r="L33" s="435">
        <v>4.5</v>
      </c>
      <c r="M33" s="435">
        <v>3.2</v>
      </c>
      <c r="N33" s="435">
        <v>3.1</v>
      </c>
      <c r="O33" s="18"/>
      <c r="P33" s="18"/>
      <c r="Q33" s="18"/>
      <c r="R33" s="18"/>
      <c r="S33" s="18"/>
      <c r="T33" s="18"/>
      <c r="U33" s="18"/>
    </row>
    <row r="34" spans="1:21" x14ac:dyDescent="0.2">
      <c r="A34" s="402"/>
      <c r="B34" s="402"/>
      <c r="C34" s="432">
        <v>1</v>
      </c>
      <c r="D34" s="435">
        <v>12</v>
      </c>
      <c r="E34" s="435">
        <v>9.3000000000000007</v>
      </c>
      <c r="F34" s="435">
        <v>7.5</v>
      </c>
      <c r="G34" s="435">
        <v>6</v>
      </c>
      <c r="H34" s="438"/>
      <c r="I34" s="438"/>
      <c r="J34" s="432">
        <v>1</v>
      </c>
      <c r="K34" s="435">
        <v>5.7</v>
      </c>
      <c r="L34" s="435">
        <v>4.2</v>
      </c>
      <c r="M34" s="435">
        <v>3</v>
      </c>
      <c r="N34" s="435">
        <v>2.9</v>
      </c>
      <c r="O34" s="18"/>
      <c r="P34" s="18"/>
      <c r="Q34" s="18"/>
      <c r="R34" s="18"/>
      <c r="S34" s="18"/>
      <c r="T34" s="18"/>
      <c r="U34" s="18"/>
    </row>
    <row r="35" spans="1:21" x14ac:dyDescent="0.2">
      <c r="A35" s="402"/>
      <c r="B35" s="402"/>
      <c r="C35" s="432">
        <v>1.07</v>
      </c>
      <c r="D35" s="435">
        <v>11</v>
      </c>
      <c r="E35" s="435">
        <v>9</v>
      </c>
      <c r="F35" s="435">
        <v>8</v>
      </c>
      <c r="G35" s="435">
        <v>8</v>
      </c>
      <c r="H35" s="438"/>
      <c r="I35" s="438"/>
      <c r="J35" s="432">
        <v>1.07</v>
      </c>
      <c r="K35" s="435">
        <v>5</v>
      </c>
      <c r="L35" s="435">
        <v>3.8</v>
      </c>
      <c r="M35" s="435">
        <v>3</v>
      </c>
      <c r="N35" s="435">
        <v>2.9</v>
      </c>
      <c r="O35" s="18"/>
      <c r="P35" s="18"/>
      <c r="Q35" s="18"/>
      <c r="R35" s="18"/>
      <c r="S35" s="18"/>
      <c r="T35" s="18"/>
      <c r="U35" s="18"/>
    </row>
    <row r="36" spans="1:21" x14ac:dyDescent="0.2">
      <c r="A36" s="402"/>
      <c r="B36" s="402"/>
      <c r="C36" s="432">
        <v>1.1499999999999999</v>
      </c>
      <c r="D36" s="435">
        <v>10</v>
      </c>
      <c r="E36" s="435">
        <v>11</v>
      </c>
      <c r="F36" s="435">
        <v>11.5</v>
      </c>
      <c r="G36" s="435">
        <v>12</v>
      </c>
      <c r="H36" s="438"/>
      <c r="I36" s="438"/>
      <c r="J36" s="432">
        <v>1.1499999999999999</v>
      </c>
      <c r="K36" s="435">
        <v>4.2</v>
      </c>
      <c r="L36" s="435">
        <v>3.5</v>
      </c>
      <c r="M36" s="435">
        <v>2.8</v>
      </c>
      <c r="N36" s="435">
        <v>2.7</v>
      </c>
      <c r="O36" s="18"/>
      <c r="P36" s="18"/>
      <c r="Q36" s="18"/>
      <c r="R36" s="18"/>
      <c r="S36" s="18"/>
      <c r="T36" s="18"/>
      <c r="U36" s="18"/>
    </row>
    <row r="37" spans="1:21" x14ac:dyDescent="0.2">
      <c r="A37" s="402"/>
      <c r="B37" s="402"/>
      <c r="C37" s="432">
        <v>1.2</v>
      </c>
      <c r="D37" s="435">
        <v>9</v>
      </c>
      <c r="E37" s="435">
        <v>12</v>
      </c>
      <c r="F37" s="435">
        <v>13</v>
      </c>
      <c r="G37" s="435">
        <v>20</v>
      </c>
      <c r="H37" s="438"/>
      <c r="I37" s="438"/>
      <c r="J37" s="432">
        <v>1.2</v>
      </c>
      <c r="K37" s="435">
        <v>3.2</v>
      </c>
      <c r="L37" s="435">
        <v>2.8</v>
      </c>
      <c r="M37" s="435">
        <v>2.5</v>
      </c>
      <c r="N37" s="435">
        <v>2.4</v>
      </c>
      <c r="O37" s="18"/>
      <c r="P37" s="18"/>
      <c r="Q37" s="18"/>
      <c r="R37" s="18"/>
      <c r="S37" s="18"/>
      <c r="T37" s="18"/>
      <c r="U37" s="18"/>
    </row>
    <row r="38" spans="1:21" x14ac:dyDescent="0.2">
      <c r="A38" s="402"/>
      <c r="B38" s="402"/>
      <c r="C38" s="438"/>
      <c r="D38" s="18"/>
      <c r="E38" s="18"/>
      <c r="F38" s="57"/>
      <c r="G38" s="57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">
      <c r="A39" s="402"/>
      <c r="B39" s="402"/>
      <c r="C39" s="438"/>
      <c r="D39" s="18"/>
      <c r="E39" s="18"/>
      <c r="F39" s="57"/>
      <c r="G39" s="57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">
      <c r="A40" s="402"/>
      <c r="B40" s="402"/>
      <c r="C40" s="438"/>
      <c r="D40" s="18"/>
      <c r="E40" s="18"/>
      <c r="F40" s="57"/>
      <c r="G40" s="57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">
      <c r="A41" s="402"/>
      <c r="B41" s="402"/>
      <c r="C41" s="438"/>
      <c r="D41" s="18"/>
      <c r="E41" s="18"/>
      <c r="F41" s="57"/>
      <c r="G41" s="57"/>
    </row>
    <row r="42" spans="1:21" x14ac:dyDescent="0.2">
      <c r="A42" s="402"/>
      <c r="B42" s="402"/>
      <c r="C42" s="402"/>
      <c r="D42" s="18"/>
    </row>
    <row r="43" spans="1:21" x14ac:dyDescent="0.2">
      <c r="A43" s="402"/>
      <c r="B43" s="402"/>
      <c r="C43" s="402"/>
      <c r="M43" s="430"/>
    </row>
    <row r="44" spans="1:21" x14ac:dyDescent="0.2">
      <c r="A44" s="402"/>
      <c r="B44" s="356"/>
      <c r="C44" s="331"/>
      <c r="D44" s="356"/>
      <c r="H44" s="331"/>
      <c r="I44" s="356"/>
      <c r="K44" s="356"/>
      <c r="L44" s="331"/>
      <c r="M44" s="356"/>
      <c r="P44" s="331"/>
      <c r="Q44" s="356"/>
      <c r="R44" s="356"/>
    </row>
    <row r="45" spans="1:21" x14ac:dyDescent="0.2">
      <c r="A45" s="402"/>
      <c r="B45" s="402"/>
      <c r="C45" s="447"/>
      <c r="D45" s="49"/>
      <c r="H45" s="56"/>
      <c r="M45" s="49"/>
      <c r="P45" s="18"/>
      <c r="Q45" s="18"/>
      <c r="R45" s="18"/>
    </row>
    <row r="46" spans="1:21" x14ac:dyDescent="0.2">
      <c r="A46" s="385"/>
      <c r="B46" s="385"/>
      <c r="C46" s="448"/>
      <c r="D46" s="392"/>
      <c r="E46" s="42"/>
      <c r="F46" s="42"/>
      <c r="G46" s="42"/>
      <c r="H46" s="449"/>
      <c r="I46" s="42"/>
      <c r="J46" s="42"/>
      <c r="K46" s="42"/>
      <c r="L46" s="42"/>
      <c r="M46" s="392"/>
      <c r="N46" s="42"/>
      <c r="O46" s="42"/>
      <c r="P46" s="450"/>
      <c r="Q46" s="450"/>
      <c r="R46" s="450"/>
      <c r="S46" s="42"/>
      <c r="T46" s="42"/>
      <c r="U46" s="42"/>
    </row>
    <row r="47" spans="1:21" x14ac:dyDescent="0.2">
      <c r="A47" s="385"/>
      <c r="B47" s="385"/>
      <c r="C47" s="448"/>
      <c r="D47" s="392"/>
      <c r="E47" s="42"/>
      <c r="F47" s="42"/>
      <c r="G47" s="42"/>
      <c r="H47" s="449"/>
      <c r="I47" s="42"/>
      <c r="J47" s="42"/>
      <c r="K47" s="42"/>
      <c r="L47" s="42"/>
      <c r="M47" s="392"/>
      <c r="N47" s="42"/>
      <c r="O47" s="42"/>
      <c r="P47" s="450"/>
      <c r="Q47" s="450"/>
      <c r="R47" s="450"/>
      <c r="S47" s="42"/>
      <c r="T47" s="42"/>
      <c r="U47" s="42"/>
    </row>
    <row r="48" spans="1:21" x14ac:dyDescent="0.2">
      <c r="A48" s="385"/>
      <c r="B48" s="385"/>
      <c r="C48" s="448"/>
      <c r="D48" s="392"/>
      <c r="E48" s="42"/>
      <c r="F48" s="42"/>
      <c r="G48" s="42"/>
      <c r="H48" s="450"/>
      <c r="I48" s="42"/>
      <c r="J48" s="42"/>
      <c r="K48" s="42"/>
      <c r="L48" s="42"/>
      <c r="M48" s="392"/>
      <c r="N48" s="42"/>
      <c r="O48" s="42"/>
      <c r="P48" s="450"/>
      <c r="Q48" s="450"/>
      <c r="R48" s="450"/>
      <c r="S48" s="42"/>
      <c r="T48" s="42"/>
      <c r="U48" s="42"/>
    </row>
    <row r="49" spans="1:21" ht="18.75" x14ac:dyDescent="0.3">
      <c r="A49" s="385"/>
      <c r="B49" s="385"/>
      <c r="C49" s="385"/>
      <c r="D49" s="42"/>
      <c r="E49" s="42"/>
      <c r="F49" s="451"/>
      <c r="G49" s="451"/>
      <c r="H49" s="452"/>
      <c r="I49" s="452"/>
      <c r="J49" s="42"/>
      <c r="K49" s="42"/>
      <c r="L49" s="42"/>
      <c r="M49" s="42"/>
      <c r="N49" s="42"/>
      <c r="O49" s="42"/>
      <c r="P49" s="42"/>
      <c r="Q49" s="450"/>
      <c r="R49" s="450"/>
      <c r="S49" s="42"/>
      <c r="T49" s="42"/>
      <c r="U49" s="42"/>
    </row>
    <row r="50" spans="1:21" x14ac:dyDescent="0.2">
      <c r="A50" s="385"/>
      <c r="B50" s="385"/>
      <c r="C50" s="385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</row>
    <row r="51" spans="1:21" x14ac:dyDescent="0.2">
      <c r="A51" s="385"/>
      <c r="B51" s="371"/>
      <c r="C51" s="371"/>
      <c r="D51" s="371"/>
      <c r="E51" s="371"/>
      <c r="F51" s="371"/>
      <c r="G51" s="371"/>
      <c r="H51" s="371"/>
      <c r="I51" s="371"/>
      <c r="J51" s="371"/>
      <c r="K51" s="371"/>
      <c r="L51" s="371"/>
      <c r="M51" s="371"/>
      <c r="N51" s="453"/>
      <c r="O51" s="453"/>
      <c r="P51" s="453"/>
      <c r="Q51" s="453"/>
      <c r="R51" s="453"/>
      <c r="S51" s="453"/>
      <c r="T51" s="371"/>
      <c r="U51" s="42"/>
    </row>
    <row r="52" spans="1:21" x14ac:dyDescent="0.2">
      <c r="A52" s="385"/>
      <c r="B52" s="371"/>
      <c r="C52" s="371"/>
      <c r="D52" s="371"/>
      <c r="E52" s="371"/>
      <c r="F52" s="371"/>
      <c r="G52" s="371"/>
      <c r="H52" s="371"/>
      <c r="I52" s="371"/>
      <c r="J52" s="371"/>
      <c r="K52" s="371"/>
      <c r="L52" s="371"/>
      <c r="M52" s="371"/>
      <c r="N52" s="371"/>
      <c r="O52" s="371"/>
      <c r="P52" s="371"/>
      <c r="Q52" s="371"/>
      <c r="R52" s="371"/>
      <c r="S52" s="371"/>
      <c r="T52" s="371"/>
      <c r="U52" s="42"/>
    </row>
    <row r="53" spans="1:21" x14ac:dyDescent="0.2">
      <c r="A53" s="385"/>
      <c r="B53" s="445"/>
      <c r="C53" s="371"/>
      <c r="D53" s="428"/>
      <c r="E53" s="429"/>
      <c r="F53" s="371"/>
      <c r="G53" s="371"/>
      <c r="H53" s="371"/>
      <c r="I53" s="371"/>
      <c r="J53" s="371"/>
      <c r="K53" s="371"/>
      <c r="L53" s="371"/>
      <c r="M53" s="445"/>
      <c r="N53" s="371"/>
      <c r="O53" s="428"/>
      <c r="P53" s="429"/>
      <c r="Q53" s="371"/>
      <c r="R53" s="371"/>
      <c r="S53" s="371"/>
      <c r="T53" s="371"/>
      <c r="U53" s="42"/>
    </row>
    <row r="54" spans="1:21" x14ac:dyDescent="0.2">
      <c r="A54" s="385"/>
      <c r="B54" s="371"/>
      <c r="C54" s="371"/>
      <c r="D54" s="371"/>
      <c r="E54" s="371"/>
      <c r="F54" s="371"/>
      <c r="G54" s="371"/>
      <c r="H54" s="371"/>
      <c r="I54" s="371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  <c r="U54" s="42"/>
    </row>
    <row r="55" spans="1:21" x14ac:dyDescent="0.2">
      <c r="A55" s="385"/>
      <c r="B55" s="371"/>
      <c r="C55" s="454"/>
      <c r="D55" s="454"/>
      <c r="E55" s="454"/>
      <c r="F55" s="454"/>
      <c r="G55" s="455"/>
      <c r="H55" s="42"/>
      <c r="I55" s="453"/>
      <c r="J55" s="371"/>
      <c r="K55" s="371"/>
      <c r="L55" s="371"/>
      <c r="M55" s="371"/>
      <c r="N55" s="454"/>
      <c r="O55" s="454"/>
      <c r="P55" s="454"/>
      <c r="Q55" s="454"/>
      <c r="R55" s="455"/>
      <c r="S55" s="453"/>
      <c r="T55" s="453"/>
      <c r="U55" s="42"/>
    </row>
    <row r="56" spans="1:21" x14ac:dyDescent="0.2">
      <c r="A56" s="385"/>
      <c r="B56" s="445"/>
      <c r="C56" s="454"/>
      <c r="D56" s="454"/>
      <c r="E56" s="454"/>
      <c r="F56" s="454"/>
      <c r="G56" s="455"/>
      <c r="H56" s="42"/>
      <c r="I56" s="453"/>
      <c r="J56" s="371"/>
      <c r="K56" s="371"/>
      <c r="L56" s="371"/>
      <c r="M56" s="445"/>
      <c r="N56" s="454"/>
      <c r="O56" s="454"/>
      <c r="P56" s="454"/>
      <c r="Q56" s="454"/>
      <c r="R56" s="455"/>
      <c r="S56" s="453"/>
      <c r="T56" s="453"/>
      <c r="U56" s="42"/>
    </row>
    <row r="57" spans="1:21" x14ac:dyDescent="0.2">
      <c r="A57" s="385"/>
      <c r="B57" s="371"/>
      <c r="C57" s="454"/>
      <c r="D57" s="454"/>
      <c r="E57" s="454"/>
      <c r="F57" s="454"/>
      <c r="G57" s="455"/>
      <c r="H57" s="42"/>
      <c r="I57" s="453"/>
      <c r="J57" s="371"/>
      <c r="K57" s="371"/>
      <c r="L57" s="371"/>
      <c r="M57" s="371"/>
      <c r="N57" s="454"/>
      <c r="O57" s="454"/>
      <c r="P57" s="454"/>
      <c r="Q57" s="454"/>
      <c r="R57" s="455"/>
      <c r="S57" s="453"/>
      <c r="T57" s="453"/>
      <c r="U57" s="42"/>
    </row>
    <row r="58" spans="1:21" x14ac:dyDescent="0.2">
      <c r="A58" s="385"/>
      <c r="B58" s="371"/>
      <c r="C58" s="454"/>
      <c r="D58" s="454"/>
      <c r="E58" s="454"/>
      <c r="F58" s="454"/>
      <c r="G58" s="455"/>
      <c r="H58" s="42"/>
      <c r="I58" s="453"/>
      <c r="J58" s="371"/>
      <c r="K58" s="371"/>
      <c r="L58" s="371"/>
      <c r="M58" s="371"/>
      <c r="N58" s="454"/>
      <c r="O58" s="454"/>
      <c r="P58" s="454"/>
      <c r="Q58" s="454"/>
      <c r="R58" s="455"/>
      <c r="S58" s="453"/>
      <c r="T58" s="453"/>
      <c r="U58" s="42"/>
    </row>
    <row r="59" spans="1:21" x14ac:dyDescent="0.2">
      <c r="A59" s="385"/>
      <c r="B59" s="371"/>
      <c r="C59" s="454"/>
      <c r="D59" s="454"/>
      <c r="E59" s="454"/>
      <c r="F59" s="454"/>
      <c r="G59" s="455"/>
      <c r="H59" s="42"/>
      <c r="I59" s="453"/>
      <c r="J59" s="371"/>
      <c r="K59" s="445"/>
      <c r="L59" s="371"/>
      <c r="M59" s="371"/>
      <c r="N59" s="454"/>
      <c r="O59" s="454"/>
      <c r="P59" s="454"/>
      <c r="Q59" s="454"/>
      <c r="R59" s="455"/>
      <c r="S59" s="453"/>
      <c r="T59" s="453"/>
      <c r="U59" s="42"/>
    </row>
    <row r="60" spans="1:21" x14ac:dyDescent="0.2">
      <c r="A60" s="385"/>
      <c r="B60" s="371"/>
      <c r="C60" s="454"/>
      <c r="D60" s="454"/>
      <c r="E60" s="454"/>
      <c r="F60" s="454"/>
      <c r="G60" s="455"/>
      <c r="H60" s="42"/>
      <c r="I60" s="453"/>
      <c r="J60" s="371"/>
      <c r="K60" s="445"/>
      <c r="L60" s="371"/>
      <c r="M60" s="371"/>
      <c r="N60" s="455"/>
      <c r="O60" s="454"/>
      <c r="P60" s="454"/>
      <c r="Q60" s="454"/>
      <c r="R60" s="455"/>
      <c r="S60" s="456"/>
      <c r="T60" s="453"/>
      <c r="U60" s="42"/>
    </row>
    <row r="61" spans="1:21" x14ac:dyDescent="0.2">
      <c r="A61" s="385"/>
      <c r="B61" s="371"/>
      <c r="C61" s="445"/>
      <c r="D61" s="445"/>
      <c r="E61" s="445"/>
      <c r="F61" s="445"/>
      <c r="G61" s="445"/>
      <c r="H61" s="445"/>
      <c r="I61" s="371"/>
      <c r="J61" s="371"/>
      <c r="K61" s="371"/>
      <c r="L61" s="371"/>
      <c r="M61" s="371"/>
      <c r="N61" s="445"/>
      <c r="O61" s="445"/>
      <c r="P61" s="445"/>
      <c r="Q61" s="445"/>
      <c r="R61" s="445"/>
      <c r="S61" s="445"/>
      <c r="T61" s="371"/>
      <c r="U61" s="42"/>
    </row>
    <row r="62" spans="1:21" x14ac:dyDescent="0.2">
      <c r="A62" s="385"/>
      <c r="B62" s="371"/>
      <c r="C62" s="371"/>
      <c r="D62" s="371"/>
      <c r="E62" s="371"/>
      <c r="F62" s="371"/>
      <c r="G62" s="371"/>
      <c r="H62" s="371"/>
      <c r="I62" s="371"/>
      <c r="J62" s="371"/>
      <c r="K62" s="371"/>
      <c r="L62" s="371"/>
      <c r="M62" s="371"/>
      <c r="N62" s="371"/>
      <c r="O62" s="371"/>
      <c r="P62" s="371"/>
      <c r="Q62" s="371"/>
      <c r="R62" s="371"/>
      <c r="S62" s="371"/>
      <c r="T62" s="371"/>
      <c r="U62" s="42"/>
    </row>
    <row r="63" spans="1:21" x14ac:dyDescent="0.2">
      <c r="A63" s="385"/>
      <c r="B63" s="371"/>
      <c r="C63" s="371"/>
      <c r="D63" s="371"/>
      <c r="E63" s="371"/>
      <c r="F63" s="371"/>
      <c r="G63" s="371"/>
      <c r="H63" s="371"/>
      <c r="I63" s="371"/>
      <c r="J63" s="371"/>
      <c r="K63" s="371"/>
      <c r="L63" s="371"/>
      <c r="M63" s="371"/>
      <c r="N63" s="371"/>
      <c r="O63" s="371"/>
      <c r="P63" s="371"/>
      <c r="Q63" s="371"/>
      <c r="R63" s="371"/>
      <c r="S63" s="371"/>
      <c r="T63" s="371"/>
      <c r="U63" s="42"/>
    </row>
    <row r="64" spans="1:21" x14ac:dyDescent="0.2">
      <c r="A64" s="385"/>
      <c r="B64" s="371"/>
      <c r="C64" s="371"/>
      <c r="D64" s="371"/>
      <c r="E64" s="371"/>
      <c r="F64" s="371"/>
      <c r="G64" s="371"/>
      <c r="H64" s="371"/>
      <c r="I64" s="371"/>
      <c r="J64" s="371"/>
      <c r="K64" s="371"/>
      <c r="L64" s="371"/>
      <c r="M64" s="371"/>
      <c r="N64" s="371"/>
      <c r="O64" s="371"/>
      <c r="P64" s="371"/>
      <c r="Q64" s="371"/>
      <c r="R64" s="371"/>
      <c r="S64" s="371"/>
      <c r="T64" s="371"/>
      <c r="U64" s="42"/>
    </row>
    <row r="65" spans="1:21" x14ac:dyDescent="0.2">
      <c r="A65" s="385"/>
      <c r="B65" s="371"/>
      <c r="C65" s="371"/>
      <c r="D65" s="371"/>
      <c r="E65" s="371"/>
      <c r="F65" s="371"/>
      <c r="G65" s="371"/>
      <c r="H65" s="371"/>
      <c r="I65" s="371"/>
      <c r="J65" s="371"/>
      <c r="K65" s="445"/>
      <c r="L65" s="371"/>
      <c r="M65" s="371"/>
      <c r="N65" s="371"/>
      <c r="O65" s="371"/>
      <c r="P65" s="371"/>
      <c r="Q65" s="371"/>
      <c r="R65" s="371"/>
      <c r="S65" s="371"/>
      <c r="T65" s="371"/>
      <c r="U65" s="42"/>
    </row>
    <row r="66" spans="1:21" x14ac:dyDescent="0.2">
      <c r="A66" s="385"/>
      <c r="B66" s="371"/>
      <c r="C66" s="371"/>
      <c r="D66" s="371"/>
      <c r="E66" s="371"/>
      <c r="F66" s="371"/>
      <c r="G66" s="371"/>
      <c r="H66" s="371"/>
      <c r="I66" s="371"/>
      <c r="J66" s="371"/>
      <c r="K66" s="371"/>
      <c r="L66" s="371"/>
      <c r="M66" s="371"/>
      <c r="N66" s="371"/>
      <c r="O66" s="371"/>
      <c r="P66" s="371"/>
      <c r="Q66" s="371"/>
      <c r="R66" s="371"/>
      <c r="S66" s="371"/>
      <c r="T66" s="371"/>
      <c r="U66" s="42"/>
    </row>
    <row r="67" spans="1:21" x14ac:dyDescent="0.2">
      <c r="A67" s="385"/>
      <c r="B67" s="371"/>
      <c r="C67" s="371"/>
      <c r="D67" s="371"/>
      <c r="E67" s="371"/>
      <c r="F67" s="371"/>
      <c r="G67" s="371"/>
      <c r="H67" s="371"/>
      <c r="I67" s="371"/>
      <c r="J67" s="371"/>
      <c r="K67" s="371"/>
      <c r="L67" s="371"/>
      <c r="M67" s="371"/>
      <c r="N67" s="371"/>
      <c r="O67" s="371"/>
      <c r="P67" s="371"/>
      <c r="Q67" s="371"/>
      <c r="R67" s="371"/>
      <c r="S67" s="371"/>
      <c r="T67" s="371"/>
      <c r="U67" s="42"/>
    </row>
    <row r="68" spans="1:21" x14ac:dyDescent="0.2">
      <c r="A68" s="385"/>
      <c r="B68" s="445"/>
      <c r="C68" s="371"/>
      <c r="D68" s="428"/>
      <c r="E68" s="429"/>
      <c r="F68" s="371"/>
      <c r="G68" s="371"/>
      <c r="H68" s="371"/>
      <c r="I68" s="371"/>
      <c r="J68" s="371"/>
      <c r="K68" s="371"/>
      <c r="L68" s="371"/>
      <c r="M68" s="445"/>
      <c r="N68" s="371"/>
      <c r="O68" s="428"/>
      <c r="P68" s="429"/>
      <c r="Q68" s="371"/>
      <c r="R68" s="371"/>
      <c r="S68" s="371"/>
      <c r="T68" s="371"/>
      <c r="U68" s="42"/>
    </row>
    <row r="69" spans="1:21" x14ac:dyDescent="0.2">
      <c r="A69" s="385"/>
      <c r="B69" s="371"/>
      <c r="C69" s="371"/>
      <c r="D69" s="371"/>
      <c r="E69" s="371"/>
      <c r="F69" s="371"/>
      <c r="G69" s="371"/>
      <c r="H69" s="371"/>
      <c r="I69" s="371"/>
      <c r="J69" s="371"/>
      <c r="K69" s="371"/>
      <c r="L69" s="371"/>
      <c r="M69" s="371"/>
      <c r="N69" s="371"/>
      <c r="O69" s="371"/>
      <c r="P69" s="371"/>
      <c r="Q69" s="371"/>
      <c r="R69" s="371"/>
      <c r="S69" s="371"/>
      <c r="T69" s="371"/>
      <c r="U69" s="42"/>
    </row>
    <row r="70" spans="1:21" x14ac:dyDescent="0.2">
      <c r="A70" s="385"/>
      <c r="B70" s="371"/>
      <c r="C70" s="371"/>
      <c r="D70" s="371"/>
      <c r="E70" s="371"/>
      <c r="F70" s="371"/>
      <c r="G70" s="371"/>
      <c r="H70" s="371"/>
      <c r="I70" s="371"/>
      <c r="J70" s="371"/>
      <c r="K70" s="445"/>
      <c r="L70" s="371"/>
      <c r="M70" s="371"/>
      <c r="N70" s="371"/>
      <c r="O70" s="371"/>
      <c r="P70" s="371"/>
      <c r="Q70" s="371"/>
      <c r="R70" s="371"/>
      <c r="S70" s="371"/>
      <c r="T70" s="371"/>
      <c r="U70" s="42"/>
    </row>
    <row r="71" spans="1:21" x14ac:dyDescent="0.2">
      <c r="A71" s="385"/>
      <c r="B71" s="371"/>
      <c r="C71" s="454"/>
      <c r="D71" s="454"/>
      <c r="E71" s="454"/>
      <c r="F71" s="454"/>
      <c r="G71" s="455"/>
      <c r="H71" s="42"/>
      <c r="I71" s="453"/>
      <c r="J71" s="371"/>
      <c r="K71" s="371"/>
      <c r="L71" s="371"/>
      <c r="M71" s="371"/>
      <c r="N71" s="454"/>
      <c r="O71" s="454"/>
      <c r="P71" s="454"/>
      <c r="Q71" s="454"/>
      <c r="R71" s="455"/>
      <c r="S71" s="42"/>
      <c r="T71" s="453"/>
      <c r="U71" s="42"/>
    </row>
    <row r="72" spans="1:21" x14ac:dyDescent="0.2">
      <c r="A72" s="385"/>
      <c r="B72" s="445"/>
      <c r="C72" s="454"/>
      <c r="D72" s="454"/>
      <c r="E72" s="454"/>
      <c r="F72" s="454"/>
      <c r="G72" s="455"/>
      <c r="H72" s="42"/>
      <c r="I72" s="453"/>
      <c r="J72" s="371"/>
      <c r="K72" s="371"/>
      <c r="L72" s="371"/>
      <c r="M72" s="445"/>
      <c r="N72" s="454"/>
      <c r="O72" s="454"/>
      <c r="P72" s="454"/>
      <c r="Q72" s="454"/>
      <c r="R72" s="455"/>
      <c r="S72" s="42"/>
      <c r="T72" s="453"/>
      <c r="U72" s="42"/>
    </row>
    <row r="73" spans="1:21" x14ac:dyDescent="0.2">
      <c r="A73" s="385"/>
      <c r="B73" s="371"/>
      <c r="C73" s="454"/>
      <c r="D73" s="454"/>
      <c r="E73" s="454"/>
      <c r="F73" s="454"/>
      <c r="G73" s="455"/>
      <c r="H73" s="42"/>
      <c r="I73" s="453"/>
      <c r="J73" s="371"/>
      <c r="K73" s="371"/>
      <c r="L73" s="371"/>
      <c r="M73" s="371"/>
      <c r="N73" s="454"/>
      <c r="O73" s="454"/>
      <c r="P73" s="454"/>
      <c r="Q73" s="454"/>
      <c r="R73" s="455"/>
      <c r="S73" s="42"/>
      <c r="T73" s="453"/>
      <c r="U73" s="42"/>
    </row>
    <row r="74" spans="1:21" x14ac:dyDescent="0.2">
      <c r="A74" s="385"/>
      <c r="B74" s="371"/>
      <c r="C74" s="454"/>
      <c r="D74" s="454"/>
      <c r="E74" s="454"/>
      <c r="F74" s="454"/>
      <c r="G74" s="455"/>
      <c r="H74" s="42"/>
      <c r="I74" s="453"/>
      <c r="J74" s="371"/>
      <c r="K74" s="371"/>
      <c r="L74" s="371"/>
      <c r="M74" s="371"/>
      <c r="N74" s="454"/>
      <c r="O74" s="454"/>
      <c r="P74" s="454"/>
      <c r="Q74" s="454"/>
      <c r="R74" s="455"/>
      <c r="S74" s="42"/>
      <c r="T74" s="453"/>
      <c r="U74" s="42"/>
    </row>
    <row r="75" spans="1:21" x14ac:dyDescent="0.2">
      <c r="A75" s="385"/>
      <c r="B75" s="371"/>
      <c r="C75" s="454"/>
      <c r="D75" s="454"/>
      <c r="E75" s="454"/>
      <c r="F75" s="454"/>
      <c r="G75" s="455"/>
      <c r="H75" s="42"/>
      <c r="I75" s="453"/>
      <c r="J75" s="371"/>
      <c r="K75" s="371"/>
      <c r="L75" s="371"/>
      <c r="M75" s="371"/>
      <c r="N75" s="454"/>
      <c r="O75" s="454"/>
      <c r="P75" s="454"/>
      <c r="Q75" s="454"/>
      <c r="R75" s="455"/>
      <c r="S75" s="42"/>
      <c r="T75" s="453"/>
      <c r="U75" s="42"/>
    </row>
    <row r="76" spans="1:21" x14ac:dyDescent="0.2">
      <c r="A76" s="385"/>
      <c r="B76" s="371"/>
      <c r="C76" s="454"/>
      <c r="D76" s="454"/>
      <c r="E76" s="454"/>
      <c r="F76" s="454"/>
      <c r="G76" s="455"/>
      <c r="H76" s="42"/>
      <c r="I76" s="453"/>
      <c r="J76" s="371"/>
      <c r="K76" s="371"/>
      <c r="L76" s="371"/>
      <c r="M76" s="371"/>
      <c r="N76" s="455"/>
      <c r="O76" s="454"/>
      <c r="P76" s="454"/>
      <c r="Q76" s="454"/>
      <c r="R76" s="455"/>
      <c r="S76" s="42"/>
      <c r="T76" s="453"/>
      <c r="U76" s="42"/>
    </row>
    <row r="77" spans="1:21" x14ac:dyDescent="0.2">
      <c r="A77" s="385"/>
      <c r="B77" s="371"/>
      <c r="C77" s="406"/>
      <c r="D77" s="445"/>
      <c r="E77" s="445"/>
      <c r="F77" s="445"/>
      <c r="G77" s="445"/>
      <c r="H77" s="445"/>
      <c r="I77" s="371"/>
      <c r="J77" s="371"/>
      <c r="K77" s="371"/>
      <c r="L77" s="371"/>
      <c r="M77" s="371"/>
      <c r="N77" s="406"/>
      <c r="O77" s="445"/>
      <c r="P77" s="445"/>
      <c r="Q77" s="445"/>
      <c r="R77" s="445"/>
      <c r="S77" s="445"/>
      <c r="T77" s="371"/>
      <c r="U77" s="42"/>
    </row>
    <row r="78" spans="1:21" x14ac:dyDescent="0.2">
      <c r="A78" s="385"/>
      <c r="B78" s="371"/>
      <c r="C78" s="371"/>
      <c r="D78" s="371"/>
      <c r="E78" s="371"/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371"/>
      <c r="U78" s="42"/>
    </row>
    <row r="79" spans="1:21" x14ac:dyDescent="0.2">
      <c r="A79" s="385"/>
      <c r="B79" s="371"/>
      <c r="C79" s="371"/>
      <c r="D79" s="371"/>
      <c r="E79" s="371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42"/>
    </row>
    <row r="80" spans="1:21" x14ac:dyDescent="0.2">
      <c r="A80" s="385"/>
      <c r="B80" s="371"/>
      <c r="C80" s="371"/>
      <c r="D80" s="371"/>
      <c r="E80" s="371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42"/>
    </row>
    <row r="81" spans="1:21" x14ac:dyDescent="0.2">
      <c r="A81" s="385"/>
      <c r="B81" s="371"/>
      <c r="C81" s="371"/>
      <c r="D81" s="371"/>
      <c r="E81" s="371"/>
      <c r="F81" s="371"/>
      <c r="G81" s="371"/>
      <c r="H81" s="371"/>
      <c r="I81" s="371"/>
      <c r="J81" s="371"/>
      <c r="K81" s="371"/>
      <c r="L81" s="371"/>
      <c r="M81" s="371"/>
      <c r="N81" s="371"/>
      <c r="O81" s="371"/>
      <c r="P81" s="371"/>
      <c r="Q81" s="371"/>
      <c r="R81" s="371"/>
      <c r="S81" s="371"/>
      <c r="T81" s="371"/>
      <c r="U81" s="42"/>
    </row>
    <row r="82" spans="1:21" ht="18" x14ac:dyDescent="0.25">
      <c r="A82" s="385"/>
      <c r="B82" s="371"/>
      <c r="C82" s="371"/>
      <c r="D82" s="371"/>
      <c r="E82" s="457"/>
      <c r="F82" s="457"/>
      <c r="G82" s="457"/>
      <c r="H82" s="457"/>
      <c r="I82" s="371"/>
      <c r="J82" s="371"/>
      <c r="K82" s="371"/>
      <c r="L82" s="371"/>
      <c r="M82" s="371"/>
      <c r="N82" s="371"/>
      <c r="O82" s="371"/>
      <c r="P82" s="371"/>
      <c r="Q82" s="371"/>
      <c r="R82" s="371"/>
      <c r="S82" s="371"/>
      <c r="T82" s="371"/>
      <c r="U82" s="42"/>
    </row>
    <row r="83" spans="1:21" x14ac:dyDescent="0.2">
      <c r="A83" s="385"/>
      <c r="B83" s="385"/>
      <c r="C83" s="385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50"/>
      <c r="O83" s="450"/>
      <c r="P83" s="450"/>
      <c r="Q83" s="450"/>
      <c r="R83" s="450"/>
      <c r="S83" s="458"/>
      <c r="T83" s="42"/>
      <c r="U83" s="42"/>
    </row>
    <row r="84" spans="1:21" x14ac:dyDescent="0.2">
      <c r="A84" s="385"/>
      <c r="B84" s="385"/>
      <c r="C84" s="459"/>
      <c r="D84" s="450"/>
      <c r="E84" s="450"/>
      <c r="F84" s="450"/>
      <c r="G84" s="450"/>
      <c r="H84" s="42"/>
      <c r="I84" s="42"/>
      <c r="J84" s="42"/>
      <c r="K84" s="42"/>
      <c r="L84" s="42"/>
      <c r="M84" s="450"/>
      <c r="N84" s="450"/>
      <c r="O84" s="450"/>
      <c r="P84" s="450"/>
      <c r="Q84" s="450"/>
      <c r="R84" s="458"/>
      <c r="S84" s="42"/>
      <c r="T84" s="42"/>
      <c r="U84" s="42"/>
    </row>
    <row r="85" spans="1:21" x14ac:dyDescent="0.2">
      <c r="A85" s="385"/>
      <c r="B85" s="460"/>
      <c r="C85" s="459"/>
      <c r="D85" s="450"/>
      <c r="E85" s="450"/>
      <c r="F85" s="386"/>
      <c r="G85" s="386"/>
      <c r="H85" s="42"/>
      <c r="I85" s="42"/>
      <c r="J85" s="42"/>
      <c r="K85" s="42"/>
      <c r="L85" s="42"/>
      <c r="M85" s="450"/>
      <c r="N85" s="450"/>
      <c r="O85" s="450"/>
      <c r="P85" s="450"/>
      <c r="Q85" s="450"/>
      <c r="R85" s="458"/>
      <c r="S85" s="42"/>
      <c r="T85" s="42"/>
      <c r="U85" s="42"/>
    </row>
    <row r="86" spans="1:21" x14ac:dyDescent="0.2">
      <c r="A86" s="385"/>
      <c r="B86" s="385"/>
      <c r="C86" s="459"/>
      <c r="D86" s="450"/>
      <c r="E86" s="450"/>
      <c r="F86" s="386"/>
      <c r="G86" s="386"/>
      <c r="H86" s="42"/>
      <c r="I86" s="42"/>
      <c r="J86" s="42"/>
      <c r="K86" s="42"/>
      <c r="L86" s="42"/>
      <c r="M86" s="450"/>
      <c r="N86" s="450"/>
      <c r="O86" s="450"/>
      <c r="P86" s="450"/>
      <c r="Q86" s="450"/>
      <c r="R86" s="458"/>
      <c r="S86" s="42"/>
      <c r="T86" s="42"/>
      <c r="U86" s="42"/>
    </row>
    <row r="87" spans="1:21" x14ac:dyDescent="0.2">
      <c r="A87" s="402"/>
      <c r="B87" s="402"/>
      <c r="C87" s="438"/>
      <c r="D87" s="18"/>
      <c r="E87" s="18"/>
      <c r="F87" s="57"/>
      <c r="G87" s="57"/>
      <c r="M87" s="18"/>
      <c r="N87" s="18"/>
      <c r="O87" s="18"/>
      <c r="P87" s="18"/>
      <c r="Q87" s="18"/>
      <c r="R87" s="23"/>
    </row>
    <row r="88" spans="1:21" x14ac:dyDescent="0.2">
      <c r="A88" s="402"/>
      <c r="B88" s="402"/>
      <c r="C88" s="438"/>
      <c r="D88" s="18"/>
      <c r="E88" s="18"/>
      <c r="F88" s="57"/>
      <c r="G88" s="57"/>
    </row>
    <row r="89" spans="1:21" x14ac:dyDescent="0.2">
      <c r="A89" s="402"/>
      <c r="B89" s="402"/>
      <c r="C89" s="402"/>
      <c r="D89" s="18"/>
    </row>
    <row r="90" spans="1:21" x14ac:dyDescent="0.2">
      <c r="A90" s="402"/>
      <c r="B90" s="402"/>
      <c r="C90" s="402"/>
      <c r="M90" s="430"/>
    </row>
    <row r="91" spans="1:21" x14ac:dyDescent="0.2">
      <c r="A91" s="402"/>
      <c r="B91" s="356"/>
      <c r="C91" s="331"/>
      <c r="D91" s="356"/>
      <c r="H91" s="331"/>
      <c r="I91" s="356"/>
      <c r="K91" s="356"/>
      <c r="L91" s="331"/>
      <c r="M91" s="356"/>
      <c r="P91" s="331"/>
      <c r="Q91" s="356"/>
      <c r="R91" s="356"/>
    </row>
    <row r="92" spans="1:21" x14ac:dyDescent="0.2">
      <c r="A92" s="402"/>
      <c r="B92" s="402"/>
      <c r="C92" s="447"/>
      <c r="D92" s="49"/>
      <c r="H92" s="56"/>
      <c r="M92" s="49"/>
      <c r="P92" s="18"/>
      <c r="Q92" s="18"/>
      <c r="R92" s="18"/>
    </row>
    <row r="93" spans="1:21" x14ac:dyDescent="0.2">
      <c r="A93" s="402"/>
      <c r="B93" s="402"/>
      <c r="C93" s="447"/>
      <c r="D93" s="49"/>
      <c r="H93" s="56"/>
      <c r="M93" s="49"/>
      <c r="P93" s="18"/>
      <c r="Q93" s="18"/>
      <c r="R93" s="18"/>
    </row>
    <row r="94" spans="1:21" x14ac:dyDescent="0.2">
      <c r="A94" s="402"/>
      <c r="B94" s="402"/>
      <c r="C94" s="447"/>
      <c r="D94" s="49"/>
      <c r="H94" s="56"/>
      <c r="M94" s="49"/>
      <c r="P94" s="18"/>
      <c r="Q94" s="18"/>
      <c r="R94" s="18"/>
    </row>
    <row r="95" spans="1:21" x14ac:dyDescent="0.2">
      <c r="A95" s="402"/>
      <c r="B95" s="402"/>
      <c r="C95" s="447"/>
      <c r="D95" s="49"/>
      <c r="H95" s="18"/>
      <c r="M95" s="49"/>
      <c r="P95" s="18"/>
      <c r="Q95" s="18"/>
      <c r="R95" s="18"/>
    </row>
    <row r="96" spans="1:21" x14ac:dyDescent="0.2">
      <c r="A96" s="402"/>
      <c r="B96" s="402"/>
      <c r="C96" s="402"/>
      <c r="Q96" s="18"/>
      <c r="R96" s="18"/>
    </row>
    <row r="97" spans="1:20" ht="18.75" x14ac:dyDescent="0.3">
      <c r="A97" s="402"/>
      <c r="B97" s="402"/>
      <c r="C97" s="402"/>
      <c r="F97" s="412"/>
      <c r="G97" s="412"/>
      <c r="H97" s="418"/>
      <c r="I97" s="418"/>
      <c r="Q97" s="18"/>
      <c r="R97" s="18"/>
    </row>
    <row r="98" spans="1:20" x14ac:dyDescent="0.2">
      <c r="A98" s="402"/>
      <c r="B98" s="402"/>
      <c r="C98" s="402"/>
      <c r="I98" s="11"/>
    </row>
    <row r="99" spans="1:20" x14ac:dyDescent="0.2">
      <c r="A99" s="402"/>
      <c r="B99" s="425"/>
      <c r="C99" s="425"/>
      <c r="D99" s="425"/>
      <c r="E99" s="425"/>
      <c r="F99" s="425"/>
      <c r="G99" s="425"/>
      <c r="H99" s="425"/>
      <c r="I99" s="425"/>
      <c r="J99" s="425"/>
      <c r="K99" s="425"/>
      <c r="L99" s="425"/>
      <c r="M99" s="425"/>
      <c r="N99" s="426"/>
      <c r="O99" s="426"/>
      <c r="P99" s="426"/>
      <c r="Q99" s="426"/>
      <c r="R99" s="426"/>
      <c r="S99" s="426"/>
      <c r="T99" s="425"/>
    </row>
    <row r="100" spans="1:20" x14ac:dyDescent="0.2">
      <c r="A100" s="402"/>
      <c r="B100" s="425"/>
      <c r="C100" s="425"/>
      <c r="D100" s="425"/>
      <c r="E100" s="425"/>
      <c r="F100" s="425"/>
      <c r="G100" s="425"/>
      <c r="H100" s="425"/>
      <c r="I100" s="425"/>
      <c r="J100" s="425"/>
      <c r="K100" s="425"/>
      <c r="L100" s="425"/>
      <c r="M100" s="425"/>
      <c r="N100" s="425"/>
      <c r="O100" s="425"/>
      <c r="P100" s="425"/>
      <c r="Q100" s="425"/>
      <c r="R100" s="425"/>
      <c r="S100" s="425"/>
      <c r="T100" s="425"/>
    </row>
    <row r="101" spans="1:20" x14ac:dyDescent="0.2">
      <c r="A101" s="402"/>
      <c r="B101" s="427"/>
      <c r="C101" s="425"/>
      <c r="D101" s="428"/>
      <c r="E101" s="429"/>
      <c r="F101" s="425"/>
      <c r="G101" s="425"/>
      <c r="H101" s="425"/>
      <c r="I101" s="425"/>
      <c r="J101" s="425"/>
      <c r="K101" s="425"/>
      <c r="L101" s="425"/>
      <c r="M101" s="427"/>
      <c r="N101" s="425"/>
      <c r="O101" s="428"/>
      <c r="P101" s="429"/>
      <c r="Q101" s="425"/>
      <c r="R101" s="425"/>
      <c r="S101" s="425"/>
      <c r="T101" s="425"/>
    </row>
    <row r="102" spans="1:20" x14ac:dyDescent="0.2">
      <c r="A102" s="402"/>
      <c r="B102" s="425"/>
      <c r="C102" s="425"/>
      <c r="D102" s="425"/>
      <c r="E102" s="425"/>
      <c r="F102" s="425"/>
      <c r="G102" s="425"/>
      <c r="H102" s="425"/>
      <c r="I102" s="425"/>
      <c r="J102" s="425"/>
      <c r="K102" s="425"/>
      <c r="L102" s="425"/>
      <c r="M102" s="425"/>
      <c r="N102" s="425"/>
      <c r="O102" s="425"/>
      <c r="P102" s="425"/>
      <c r="Q102" s="425"/>
      <c r="R102" s="425"/>
      <c r="S102" s="425"/>
      <c r="T102" s="425"/>
    </row>
    <row r="103" spans="1:20" x14ac:dyDescent="0.2">
      <c r="A103" s="402"/>
      <c r="B103" s="425"/>
      <c r="C103" s="432"/>
      <c r="D103" s="432"/>
      <c r="E103" s="432"/>
      <c r="F103" s="432"/>
      <c r="G103" s="461"/>
      <c r="I103" s="426"/>
      <c r="J103" s="425"/>
      <c r="K103" s="425"/>
      <c r="L103" s="425"/>
      <c r="M103" s="425"/>
      <c r="N103" s="432"/>
      <c r="O103" s="432"/>
      <c r="P103" s="432"/>
      <c r="Q103" s="432"/>
      <c r="R103" s="461"/>
      <c r="T103" s="426"/>
    </row>
    <row r="104" spans="1:20" x14ac:dyDescent="0.2">
      <c r="A104" s="402"/>
      <c r="B104" s="427"/>
      <c r="C104" s="432"/>
      <c r="D104" s="432"/>
      <c r="E104" s="432"/>
      <c r="F104" s="432"/>
      <c r="G104" s="461"/>
      <c r="I104" s="426"/>
      <c r="J104" s="425"/>
      <c r="K104" s="425"/>
      <c r="L104" s="425"/>
      <c r="M104" s="427"/>
      <c r="N104" s="432"/>
      <c r="O104" s="432"/>
      <c r="P104" s="432"/>
      <c r="Q104" s="432"/>
      <c r="R104" s="461"/>
      <c r="T104" s="426"/>
    </row>
    <row r="105" spans="1:20" x14ac:dyDescent="0.2">
      <c r="A105" s="402"/>
      <c r="B105" s="425"/>
      <c r="C105" s="432"/>
      <c r="D105" s="432"/>
      <c r="E105" s="432"/>
      <c r="F105" s="432"/>
      <c r="G105" s="461"/>
      <c r="I105" s="426"/>
      <c r="J105" s="425"/>
      <c r="K105" s="425"/>
      <c r="L105" s="425"/>
      <c r="M105" s="425"/>
      <c r="N105" s="432"/>
      <c r="O105" s="432"/>
      <c r="P105" s="432"/>
      <c r="Q105" s="432"/>
      <c r="R105" s="461"/>
      <c r="T105" s="426"/>
    </row>
    <row r="106" spans="1:20" x14ac:dyDescent="0.2">
      <c r="A106" s="402"/>
      <c r="B106" s="425"/>
      <c r="C106" s="432"/>
      <c r="D106" s="432"/>
      <c r="E106" s="432"/>
      <c r="F106" s="432"/>
      <c r="G106" s="461"/>
      <c r="I106" s="426"/>
      <c r="J106" s="425"/>
      <c r="K106" s="425"/>
      <c r="L106" s="425"/>
      <c r="M106" s="425"/>
      <c r="N106" s="432"/>
      <c r="O106" s="432"/>
      <c r="P106" s="432"/>
      <c r="Q106" s="432"/>
      <c r="R106" s="461"/>
      <c r="T106" s="426"/>
    </row>
    <row r="107" spans="1:20" x14ac:dyDescent="0.2">
      <c r="A107" s="402"/>
      <c r="B107" s="425"/>
      <c r="C107" s="432"/>
      <c r="D107" s="432"/>
      <c r="E107" s="432"/>
      <c r="F107" s="432"/>
      <c r="G107" s="461"/>
      <c r="I107" s="426"/>
      <c r="J107" s="425"/>
      <c r="K107" s="427"/>
      <c r="L107" s="425"/>
      <c r="M107" s="425"/>
      <c r="N107" s="432"/>
      <c r="O107" s="432"/>
      <c r="P107" s="432"/>
      <c r="Q107" s="432"/>
      <c r="R107" s="461"/>
      <c r="T107" s="426"/>
    </row>
    <row r="108" spans="1:20" x14ac:dyDescent="0.2">
      <c r="A108" s="402"/>
      <c r="B108" s="425"/>
      <c r="C108" s="432"/>
      <c r="D108" s="432"/>
      <c r="E108" s="432"/>
      <c r="F108" s="432"/>
      <c r="G108" s="461"/>
      <c r="I108" s="426"/>
      <c r="J108" s="425"/>
      <c r="K108" s="427"/>
      <c r="L108" s="425"/>
      <c r="M108" s="425"/>
      <c r="N108" s="461"/>
      <c r="O108" s="432"/>
      <c r="P108" s="432"/>
      <c r="Q108" s="432"/>
      <c r="R108" s="461"/>
      <c r="T108" s="426"/>
    </row>
    <row r="109" spans="1:20" x14ac:dyDescent="0.2">
      <c r="A109" s="402"/>
      <c r="B109" s="425"/>
      <c r="C109" s="427"/>
      <c r="D109" s="427"/>
      <c r="E109" s="427"/>
      <c r="F109" s="427"/>
      <c r="G109" s="427"/>
      <c r="H109" s="427"/>
      <c r="I109" s="425"/>
      <c r="J109" s="425"/>
      <c r="K109" s="425"/>
      <c r="L109" s="425"/>
      <c r="M109" s="425"/>
      <c r="N109" s="427"/>
      <c r="O109" s="427"/>
      <c r="P109" s="427"/>
      <c r="Q109" s="427"/>
      <c r="R109" s="427"/>
      <c r="S109" s="427"/>
      <c r="T109" s="425"/>
    </row>
    <row r="110" spans="1:20" x14ac:dyDescent="0.2">
      <c r="A110" s="402"/>
      <c r="B110" s="425"/>
      <c r="C110" s="425"/>
      <c r="D110" s="425"/>
      <c r="E110" s="425"/>
      <c r="F110" s="425"/>
      <c r="G110" s="425"/>
      <c r="H110" s="425"/>
      <c r="I110" s="425"/>
      <c r="J110" s="425"/>
      <c r="K110" s="425"/>
      <c r="L110" s="425"/>
      <c r="M110" s="425"/>
      <c r="N110" s="425"/>
      <c r="O110" s="425"/>
      <c r="P110" s="425"/>
      <c r="Q110" s="425"/>
      <c r="R110" s="425"/>
      <c r="S110" s="425"/>
      <c r="T110" s="425"/>
    </row>
    <row r="111" spans="1:20" x14ac:dyDescent="0.2">
      <c r="A111" s="402"/>
      <c r="B111" s="425"/>
      <c r="C111" s="425"/>
      <c r="D111" s="425"/>
      <c r="E111" s="425"/>
      <c r="F111" s="425"/>
      <c r="G111" s="425"/>
      <c r="H111" s="425"/>
      <c r="I111" s="425"/>
      <c r="J111" s="425"/>
      <c r="K111" s="425"/>
      <c r="L111" s="425"/>
      <c r="M111" s="425"/>
      <c r="N111" s="425"/>
      <c r="O111" s="425"/>
      <c r="P111" s="425"/>
      <c r="Q111" s="425"/>
      <c r="R111" s="425"/>
      <c r="S111" s="425"/>
      <c r="T111" s="425"/>
    </row>
    <row r="112" spans="1:20" x14ac:dyDescent="0.2">
      <c r="A112" s="402"/>
      <c r="B112" s="425"/>
      <c r="C112" s="425"/>
      <c r="D112" s="425"/>
      <c r="E112" s="425"/>
      <c r="F112" s="425"/>
      <c r="G112" s="425"/>
      <c r="H112" s="425"/>
      <c r="I112" s="425"/>
      <c r="J112" s="425"/>
      <c r="K112" s="425"/>
      <c r="L112" s="425"/>
      <c r="M112" s="425"/>
      <c r="N112" s="425"/>
      <c r="O112" s="425"/>
      <c r="P112" s="425"/>
      <c r="Q112" s="425"/>
      <c r="R112" s="425"/>
      <c r="S112" s="425"/>
      <c r="T112" s="425"/>
    </row>
    <row r="113" spans="1:20" x14ac:dyDescent="0.2">
      <c r="A113" s="402"/>
      <c r="B113" s="425"/>
      <c r="C113" s="425"/>
      <c r="D113" s="425"/>
      <c r="E113" s="425"/>
      <c r="F113" s="425"/>
      <c r="G113" s="425"/>
      <c r="H113" s="425"/>
      <c r="I113" s="425"/>
      <c r="J113" s="425"/>
      <c r="K113" s="427"/>
      <c r="L113" s="425"/>
      <c r="M113" s="425"/>
      <c r="N113" s="425"/>
      <c r="O113" s="425"/>
      <c r="P113" s="425"/>
      <c r="Q113" s="425"/>
      <c r="R113" s="425"/>
      <c r="S113" s="425"/>
      <c r="T113" s="425"/>
    </row>
    <row r="114" spans="1:20" x14ac:dyDescent="0.2">
      <c r="A114" s="402"/>
      <c r="B114" s="425"/>
      <c r="C114" s="425"/>
      <c r="D114" s="425"/>
      <c r="E114" s="425"/>
      <c r="F114" s="425"/>
      <c r="G114" s="425"/>
      <c r="H114" s="425"/>
      <c r="I114" s="425"/>
      <c r="J114" s="425"/>
      <c r="K114" s="425"/>
      <c r="L114" s="425"/>
      <c r="M114" s="425"/>
      <c r="N114" s="425"/>
      <c r="O114" s="425"/>
      <c r="P114" s="425"/>
      <c r="Q114" s="425"/>
      <c r="R114" s="425"/>
      <c r="S114" s="425"/>
      <c r="T114" s="425"/>
    </row>
    <row r="115" spans="1:20" x14ac:dyDescent="0.2">
      <c r="A115" s="402"/>
      <c r="B115" s="425"/>
      <c r="C115" s="425"/>
      <c r="D115" s="425"/>
      <c r="E115" s="425"/>
      <c r="F115" s="425"/>
      <c r="G115" s="425"/>
      <c r="H115" s="425"/>
      <c r="I115" s="425"/>
      <c r="J115" s="425"/>
      <c r="K115" s="425"/>
      <c r="L115" s="425"/>
      <c r="M115" s="425"/>
      <c r="N115" s="425"/>
      <c r="O115" s="425"/>
      <c r="P115" s="425"/>
      <c r="Q115" s="425"/>
      <c r="R115" s="425"/>
      <c r="S115" s="425"/>
      <c r="T115" s="425"/>
    </row>
    <row r="116" spans="1:20" x14ac:dyDescent="0.2">
      <c r="A116" s="402"/>
      <c r="B116" s="427"/>
      <c r="C116" s="425"/>
      <c r="D116" s="428"/>
      <c r="E116" s="429"/>
      <c r="F116" s="425"/>
      <c r="G116" s="425"/>
      <c r="H116" s="425"/>
      <c r="I116" s="425"/>
      <c r="J116" s="425"/>
      <c r="K116" s="425"/>
      <c r="L116" s="425"/>
      <c r="M116" s="427"/>
      <c r="N116" s="425"/>
      <c r="O116" s="428"/>
      <c r="P116" s="429"/>
      <c r="Q116" s="425"/>
      <c r="R116" s="425"/>
      <c r="S116" s="425"/>
      <c r="T116" s="425"/>
    </row>
    <row r="117" spans="1:20" x14ac:dyDescent="0.2">
      <c r="A117" s="402"/>
      <c r="B117" s="425"/>
      <c r="C117" s="425"/>
      <c r="D117" s="425"/>
      <c r="E117" s="425"/>
      <c r="F117" s="425"/>
      <c r="G117" s="425"/>
      <c r="H117" s="425"/>
      <c r="I117" s="425"/>
      <c r="J117" s="425"/>
      <c r="K117" s="425"/>
      <c r="L117" s="425"/>
      <c r="M117" s="425"/>
      <c r="N117" s="425"/>
      <c r="O117" s="425"/>
      <c r="P117" s="425"/>
      <c r="Q117" s="425"/>
      <c r="R117" s="425"/>
      <c r="S117" s="425"/>
      <c r="T117" s="425"/>
    </row>
    <row r="118" spans="1:20" x14ac:dyDescent="0.2">
      <c r="A118" s="402"/>
      <c r="B118" s="425"/>
      <c r="C118" s="425"/>
      <c r="D118" s="425"/>
      <c r="E118" s="425"/>
      <c r="F118" s="425"/>
      <c r="G118" s="425"/>
      <c r="H118" s="425"/>
      <c r="I118" s="425"/>
      <c r="J118" s="425"/>
      <c r="K118" s="427"/>
      <c r="L118" s="425"/>
      <c r="M118" s="425"/>
      <c r="N118" s="425"/>
      <c r="O118" s="425"/>
      <c r="P118" s="425"/>
      <c r="Q118" s="425"/>
      <c r="R118" s="425"/>
      <c r="S118" s="425"/>
      <c r="T118" s="425"/>
    </row>
    <row r="119" spans="1:20" x14ac:dyDescent="0.2">
      <c r="A119" s="402"/>
      <c r="B119" s="425"/>
      <c r="C119" s="432"/>
      <c r="D119" s="432"/>
      <c r="E119" s="432"/>
      <c r="F119" s="432"/>
      <c r="G119" s="461"/>
      <c r="I119" s="426"/>
      <c r="J119" s="425"/>
      <c r="K119" s="425"/>
      <c r="L119" s="425"/>
      <c r="M119" s="425"/>
      <c r="N119" s="432"/>
      <c r="O119" s="432"/>
      <c r="P119" s="432"/>
      <c r="Q119" s="432"/>
      <c r="R119" s="461"/>
      <c r="T119" s="426"/>
    </row>
    <row r="120" spans="1:20" x14ac:dyDescent="0.2">
      <c r="A120" s="402"/>
      <c r="B120" s="427"/>
      <c r="C120" s="432"/>
      <c r="D120" s="432"/>
      <c r="E120" s="432"/>
      <c r="F120" s="432"/>
      <c r="G120" s="461"/>
      <c r="I120" s="426"/>
      <c r="J120" s="425"/>
      <c r="K120" s="425"/>
      <c r="L120" s="425"/>
      <c r="M120" s="427"/>
      <c r="N120" s="432"/>
      <c r="O120" s="432"/>
      <c r="P120" s="432"/>
      <c r="Q120" s="432"/>
      <c r="R120" s="461"/>
      <c r="T120" s="426"/>
    </row>
    <row r="121" spans="1:20" x14ac:dyDescent="0.2">
      <c r="A121" s="402"/>
      <c r="B121" s="425"/>
      <c r="C121" s="432"/>
      <c r="D121" s="432"/>
      <c r="E121" s="432"/>
      <c r="F121" s="432"/>
      <c r="G121" s="461"/>
      <c r="I121" s="426"/>
      <c r="J121" s="425"/>
      <c r="K121" s="425"/>
      <c r="L121" s="425"/>
      <c r="M121" s="425"/>
      <c r="N121" s="432"/>
      <c r="O121" s="432"/>
      <c r="P121" s="432"/>
      <c r="Q121" s="432"/>
      <c r="R121" s="461"/>
      <c r="T121" s="426"/>
    </row>
    <row r="122" spans="1:20" x14ac:dyDescent="0.2">
      <c r="A122" s="402"/>
      <c r="B122" s="425"/>
      <c r="C122" s="432"/>
      <c r="D122" s="432"/>
      <c r="E122" s="432"/>
      <c r="F122" s="432"/>
      <c r="G122" s="461"/>
      <c r="I122" s="426"/>
      <c r="J122" s="425"/>
      <c r="K122" s="425"/>
      <c r="L122" s="425"/>
      <c r="M122" s="425"/>
      <c r="N122" s="432"/>
      <c r="O122" s="432"/>
      <c r="P122" s="432"/>
      <c r="Q122" s="432"/>
      <c r="R122" s="461"/>
      <c r="T122" s="426"/>
    </row>
    <row r="123" spans="1:20" x14ac:dyDescent="0.2">
      <c r="A123" s="402"/>
      <c r="B123" s="425"/>
      <c r="C123" s="432"/>
      <c r="D123" s="432"/>
      <c r="E123" s="432"/>
      <c r="F123" s="432"/>
      <c r="G123" s="461"/>
      <c r="I123" s="426"/>
      <c r="J123" s="425"/>
      <c r="K123" s="425"/>
      <c r="L123" s="425"/>
      <c r="M123" s="425"/>
      <c r="N123" s="432"/>
      <c r="O123" s="432"/>
      <c r="P123" s="432"/>
      <c r="Q123" s="432"/>
      <c r="R123" s="461"/>
      <c r="T123" s="426"/>
    </row>
    <row r="124" spans="1:20" x14ac:dyDescent="0.2">
      <c r="A124" s="402"/>
      <c r="B124" s="425"/>
      <c r="C124" s="432"/>
      <c r="D124" s="432"/>
      <c r="E124" s="432"/>
      <c r="F124" s="432"/>
      <c r="G124" s="461"/>
      <c r="I124" s="426"/>
      <c r="J124" s="425"/>
      <c r="K124" s="425"/>
      <c r="L124" s="425"/>
      <c r="M124" s="425"/>
      <c r="N124" s="461"/>
      <c r="O124" s="432"/>
      <c r="P124" s="432"/>
      <c r="Q124" s="432"/>
      <c r="R124" s="461"/>
      <c r="T124" s="426"/>
    </row>
    <row r="125" spans="1:20" x14ac:dyDescent="0.2">
      <c r="A125" s="402"/>
      <c r="B125" s="425"/>
      <c r="C125" s="436"/>
      <c r="D125" s="427"/>
      <c r="E125" s="427"/>
      <c r="F125" s="427"/>
      <c r="G125" s="427"/>
      <c r="H125" s="427"/>
      <c r="I125" s="425"/>
      <c r="J125" s="425"/>
      <c r="K125" s="425"/>
      <c r="L125" s="425"/>
      <c r="M125" s="425"/>
      <c r="N125" s="436"/>
      <c r="O125" s="427"/>
      <c r="P125" s="427"/>
      <c r="Q125" s="427"/>
      <c r="R125" s="427"/>
      <c r="S125" s="427"/>
      <c r="T125" s="425"/>
    </row>
    <row r="126" spans="1:20" x14ac:dyDescent="0.2">
      <c r="A126" s="402"/>
      <c r="B126" s="425"/>
      <c r="C126" s="425"/>
      <c r="D126" s="425"/>
      <c r="E126" s="425"/>
      <c r="F126" s="425"/>
      <c r="G126" s="425"/>
      <c r="H126" s="425"/>
      <c r="I126" s="425"/>
      <c r="J126" s="425"/>
      <c r="K126" s="425"/>
      <c r="L126" s="425"/>
      <c r="M126" s="425"/>
      <c r="N126" s="425"/>
      <c r="O126" s="425"/>
      <c r="P126" s="425"/>
      <c r="Q126" s="425"/>
      <c r="R126" s="425"/>
      <c r="S126" s="425"/>
      <c r="T126" s="425"/>
    </row>
    <row r="127" spans="1:20" x14ac:dyDescent="0.2">
      <c r="A127" s="402"/>
      <c r="B127" s="425"/>
      <c r="C127" s="425"/>
      <c r="D127" s="425"/>
      <c r="E127" s="425"/>
      <c r="F127" s="425"/>
      <c r="G127" s="425"/>
      <c r="H127" s="425"/>
      <c r="I127" s="425"/>
      <c r="J127" s="425"/>
      <c r="K127" s="425"/>
      <c r="L127" s="425"/>
      <c r="M127" s="425"/>
      <c r="N127" s="425"/>
      <c r="O127" s="425"/>
      <c r="P127" s="425"/>
      <c r="Q127" s="425"/>
      <c r="R127" s="425"/>
      <c r="S127" s="425"/>
      <c r="T127" s="425"/>
    </row>
    <row r="128" spans="1:20" x14ac:dyDescent="0.2">
      <c r="A128" s="402"/>
      <c r="B128" s="425"/>
      <c r="C128" s="425"/>
      <c r="D128" s="425"/>
      <c r="E128" s="425"/>
      <c r="F128" s="425"/>
      <c r="G128" s="425"/>
      <c r="H128" s="425"/>
      <c r="I128" s="425"/>
      <c r="J128" s="425"/>
      <c r="K128" s="425"/>
      <c r="L128" s="425"/>
      <c r="M128" s="425"/>
      <c r="N128" s="425"/>
      <c r="O128" s="425"/>
      <c r="P128" s="425"/>
      <c r="Q128" s="425"/>
      <c r="R128" s="425"/>
      <c r="S128" s="425"/>
      <c r="T128" s="425"/>
    </row>
    <row r="129" spans="1:20" x14ac:dyDescent="0.2">
      <c r="A129" s="402"/>
      <c r="B129" s="425"/>
      <c r="C129" s="425"/>
      <c r="D129" s="425"/>
      <c r="E129" s="425"/>
      <c r="F129" s="425"/>
      <c r="G129" s="425"/>
      <c r="H129" s="425"/>
      <c r="I129" s="425"/>
      <c r="J129" s="425"/>
      <c r="K129" s="425"/>
      <c r="L129" s="425"/>
      <c r="M129" s="425"/>
      <c r="N129" s="425"/>
      <c r="O129" s="425"/>
      <c r="P129" s="425"/>
      <c r="Q129" s="425"/>
      <c r="R129" s="425"/>
      <c r="S129" s="425"/>
      <c r="T129" s="425"/>
    </row>
    <row r="130" spans="1:20" ht="18" x14ac:dyDescent="0.25">
      <c r="A130" s="402"/>
      <c r="B130" s="425"/>
      <c r="C130" s="425"/>
      <c r="D130" s="425"/>
      <c r="E130" s="437"/>
      <c r="F130" s="437"/>
      <c r="G130" s="437"/>
      <c r="H130" s="437"/>
      <c r="I130" s="425"/>
      <c r="J130" s="425"/>
      <c r="K130" s="425"/>
      <c r="L130" s="425"/>
      <c r="M130" s="425"/>
      <c r="N130" s="425"/>
      <c r="O130" s="425"/>
      <c r="P130" s="425"/>
      <c r="Q130" s="425"/>
      <c r="R130" s="425"/>
      <c r="S130" s="425"/>
      <c r="T130" s="425"/>
    </row>
    <row r="131" spans="1:20" x14ac:dyDescent="0.2">
      <c r="A131" s="402"/>
      <c r="B131" s="402"/>
      <c r="C131" s="402"/>
    </row>
    <row r="132" spans="1:20" x14ac:dyDescent="0.2">
      <c r="A132" s="402"/>
      <c r="B132" s="402"/>
      <c r="C132" s="402"/>
    </row>
    <row r="133" spans="1:20" x14ac:dyDescent="0.2">
      <c r="A133" s="402"/>
      <c r="B133" s="402"/>
      <c r="C133" s="402"/>
    </row>
    <row r="134" spans="1:20" x14ac:dyDescent="0.2">
      <c r="A134" s="402"/>
      <c r="B134" s="402"/>
      <c r="C134" s="402"/>
    </row>
    <row r="135" spans="1:20" x14ac:dyDescent="0.2">
      <c r="A135" s="402"/>
      <c r="B135" s="402"/>
      <c r="C135" s="402"/>
    </row>
    <row r="136" spans="1:20" x14ac:dyDescent="0.2">
      <c r="A136" s="402"/>
      <c r="B136" s="402"/>
      <c r="C136" s="402"/>
    </row>
    <row r="137" spans="1:20" x14ac:dyDescent="0.2">
      <c r="A137" s="402"/>
      <c r="B137" s="402"/>
      <c r="C137" s="402"/>
    </row>
    <row r="138" spans="1:20" x14ac:dyDescent="0.2">
      <c r="A138" s="402"/>
      <c r="B138" s="402"/>
      <c r="C138" s="402"/>
    </row>
    <row r="139" spans="1:20" x14ac:dyDescent="0.2">
      <c r="A139" s="402"/>
      <c r="B139" s="402"/>
      <c r="C139" s="402"/>
    </row>
    <row r="140" spans="1:20" x14ac:dyDescent="0.2">
      <c r="A140" s="402"/>
      <c r="B140" s="402"/>
      <c r="C140" s="402"/>
    </row>
    <row r="141" spans="1:20" x14ac:dyDescent="0.2">
      <c r="A141" s="402"/>
      <c r="B141" s="402"/>
      <c r="C141" s="402"/>
    </row>
    <row r="142" spans="1:20" x14ac:dyDescent="0.2">
      <c r="A142" s="402"/>
      <c r="B142" s="402"/>
      <c r="C142" s="402"/>
    </row>
    <row r="143" spans="1:20" x14ac:dyDescent="0.2">
      <c r="A143" s="402"/>
      <c r="B143" s="402"/>
      <c r="C143" s="402"/>
    </row>
    <row r="144" spans="1:20" x14ac:dyDescent="0.2">
      <c r="A144" s="402"/>
      <c r="B144" s="402"/>
      <c r="C144" s="402"/>
    </row>
    <row r="145" spans="1:3" x14ac:dyDescent="0.2">
      <c r="A145" s="402"/>
      <c r="B145" s="402"/>
      <c r="C145" s="402"/>
    </row>
    <row r="146" spans="1:3" x14ac:dyDescent="0.2">
      <c r="A146" s="402"/>
      <c r="B146" s="402"/>
      <c r="C146" s="402"/>
    </row>
    <row r="147" spans="1:3" x14ac:dyDescent="0.2">
      <c r="A147" s="402"/>
      <c r="B147" s="402"/>
      <c r="C147" s="402"/>
    </row>
    <row r="148" spans="1:3" x14ac:dyDescent="0.2">
      <c r="A148" s="402"/>
      <c r="B148" s="402"/>
      <c r="C148" s="402"/>
    </row>
    <row r="149" spans="1:3" x14ac:dyDescent="0.2">
      <c r="A149" s="402"/>
      <c r="B149" s="402"/>
      <c r="C149" s="402"/>
    </row>
    <row r="150" spans="1:3" x14ac:dyDescent="0.2">
      <c r="A150" s="402"/>
      <c r="B150" s="402"/>
      <c r="C150" s="402"/>
    </row>
    <row r="151" spans="1:3" x14ac:dyDescent="0.2">
      <c r="A151" s="402"/>
      <c r="B151" s="402"/>
      <c r="C151" s="402"/>
    </row>
    <row r="152" spans="1:3" x14ac:dyDescent="0.2">
      <c r="A152" s="402"/>
      <c r="B152" s="402"/>
      <c r="C152" s="402"/>
    </row>
    <row r="153" spans="1:3" x14ac:dyDescent="0.2">
      <c r="A153" s="402"/>
      <c r="B153" s="402"/>
      <c r="C153" s="402"/>
    </row>
    <row r="154" spans="1:3" x14ac:dyDescent="0.2">
      <c r="A154" s="402"/>
      <c r="B154" s="402"/>
      <c r="C154" s="402"/>
    </row>
    <row r="155" spans="1:3" x14ac:dyDescent="0.2">
      <c r="A155" s="402"/>
      <c r="B155" s="402"/>
      <c r="C155" s="402"/>
    </row>
    <row r="156" spans="1:3" x14ac:dyDescent="0.2">
      <c r="A156" s="402"/>
      <c r="B156" s="402"/>
      <c r="C156" s="402"/>
    </row>
    <row r="157" spans="1:3" x14ac:dyDescent="0.2">
      <c r="A157" s="402"/>
      <c r="B157" s="402"/>
      <c r="C157" s="402"/>
    </row>
    <row r="158" spans="1:3" x14ac:dyDescent="0.2">
      <c r="A158" s="402"/>
      <c r="B158" s="402"/>
      <c r="C158" s="402"/>
    </row>
    <row r="159" spans="1:3" x14ac:dyDescent="0.2">
      <c r="A159" s="402"/>
      <c r="B159" s="402"/>
      <c r="C159" s="402"/>
    </row>
    <row r="160" spans="1:3" x14ac:dyDescent="0.2">
      <c r="A160" s="402"/>
      <c r="B160" s="402"/>
      <c r="C160" s="402"/>
    </row>
    <row r="161" spans="1:3" x14ac:dyDescent="0.2">
      <c r="A161" s="402"/>
      <c r="B161" s="402"/>
      <c r="C161" s="402"/>
    </row>
    <row r="162" spans="1:3" x14ac:dyDescent="0.2">
      <c r="A162" s="402"/>
      <c r="B162" s="402"/>
      <c r="C162" s="402"/>
    </row>
    <row r="163" spans="1:3" x14ac:dyDescent="0.2">
      <c r="A163" s="402"/>
      <c r="B163" s="402"/>
      <c r="C163" s="402"/>
    </row>
    <row r="164" spans="1:3" x14ac:dyDescent="0.2">
      <c r="A164" s="402"/>
      <c r="B164" s="402"/>
      <c r="C164" s="402"/>
    </row>
    <row r="165" spans="1:3" x14ac:dyDescent="0.2">
      <c r="A165" s="402"/>
      <c r="B165" s="402"/>
      <c r="C165" s="402"/>
    </row>
    <row r="166" spans="1:3" x14ac:dyDescent="0.2">
      <c r="A166" s="402"/>
      <c r="B166" s="402"/>
      <c r="C166" s="402"/>
    </row>
    <row r="167" spans="1:3" x14ac:dyDescent="0.2">
      <c r="A167" s="402"/>
      <c r="B167" s="402"/>
      <c r="C167" s="402"/>
    </row>
    <row r="168" spans="1:3" x14ac:dyDescent="0.2">
      <c r="A168" s="402"/>
      <c r="B168" s="402"/>
      <c r="C168" s="402"/>
    </row>
    <row r="169" spans="1:3" x14ac:dyDescent="0.2">
      <c r="A169" s="402"/>
      <c r="B169" s="402"/>
      <c r="C169" s="402"/>
    </row>
    <row r="170" spans="1:3" x14ac:dyDescent="0.2">
      <c r="A170" s="402"/>
      <c r="B170" s="402"/>
      <c r="C170" s="402"/>
    </row>
    <row r="171" spans="1:3" x14ac:dyDescent="0.2">
      <c r="A171" s="402"/>
      <c r="B171" s="402"/>
      <c r="C171" s="402"/>
    </row>
    <row r="172" spans="1:3" x14ac:dyDescent="0.2">
      <c r="A172" s="402"/>
      <c r="B172" s="402"/>
      <c r="C172" s="402"/>
    </row>
    <row r="173" spans="1:3" x14ac:dyDescent="0.2">
      <c r="A173" s="402"/>
      <c r="B173" s="402"/>
      <c r="C173" s="402"/>
    </row>
    <row r="174" spans="1:3" x14ac:dyDescent="0.2">
      <c r="A174" s="402"/>
      <c r="B174" s="402"/>
      <c r="C174" s="402"/>
    </row>
    <row r="175" spans="1:3" x14ac:dyDescent="0.2">
      <c r="A175" s="402"/>
      <c r="B175" s="402"/>
      <c r="C175" s="402"/>
    </row>
    <row r="176" spans="1:3" x14ac:dyDescent="0.2">
      <c r="A176" s="402"/>
      <c r="B176" s="402"/>
      <c r="C176" s="402"/>
    </row>
    <row r="177" spans="1:3" x14ac:dyDescent="0.2">
      <c r="A177" s="402"/>
      <c r="B177" s="402"/>
      <c r="C177" s="402"/>
    </row>
    <row r="178" spans="1:3" x14ac:dyDescent="0.2">
      <c r="A178" s="402"/>
      <c r="B178" s="402"/>
      <c r="C178" s="402"/>
    </row>
    <row r="179" spans="1:3" x14ac:dyDescent="0.2">
      <c r="A179" s="402"/>
      <c r="B179" s="402"/>
      <c r="C179" s="402"/>
    </row>
    <row r="180" spans="1:3" x14ac:dyDescent="0.2">
      <c r="A180" s="402"/>
      <c r="B180" s="402"/>
      <c r="C180" s="402"/>
    </row>
    <row r="181" spans="1:3" x14ac:dyDescent="0.2">
      <c r="A181" s="402"/>
      <c r="B181" s="402"/>
      <c r="C181" s="402"/>
    </row>
    <row r="182" spans="1:3" x14ac:dyDescent="0.2">
      <c r="A182" s="402"/>
      <c r="B182" s="402"/>
      <c r="C182" s="402"/>
    </row>
    <row r="183" spans="1:3" x14ac:dyDescent="0.2">
      <c r="A183" s="402"/>
      <c r="B183" s="402"/>
      <c r="C183" s="402"/>
    </row>
    <row r="184" spans="1:3" x14ac:dyDescent="0.2">
      <c r="A184" s="402"/>
      <c r="B184" s="402"/>
      <c r="C184" s="402"/>
    </row>
    <row r="185" spans="1:3" x14ac:dyDescent="0.2">
      <c r="A185" s="402"/>
      <c r="B185" s="402"/>
      <c r="C185" s="402"/>
    </row>
    <row r="186" spans="1:3" x14ac:dyDescent="0.2">
      <c r="A186" s="402"/>
      <c r="B186" s="402"/>
      <c r="C186" s="402"/>
    </row>
    <row r="187" spans="1:3" x14ac:dyDescent="0.2">
      <c r="A187" s="402"/>
      <c r="B187" s="402"/>
      <c r="C187" s="402"/>
    </row>
    <row r="188" spans="1:3" x14ac:dyDescent="0.2">
      <c r="A188" s="402"/>
      <c r="B188" s="402"/>
      <c r="C188" s="402"/>
    </row>
    <row r="189" spans="1:3" x14ac:dyDescent="0.2">
      <c r="A189" s="402"/>
      <c r="B189" s="402"/>
      <c r="C189" s="402"/>
    </row>
    <row r="190" spans="1:3" x14ac:dyDescent="0.2">
      <c r="A190" s="402"/>
      <c r="B190" s="402"/>
      <c r="C190" s="402"/>
    </row>
    <row r="191" spans="1:3" x14ac:dyDescent="0.2">
      <c r="A191" s="402"/>
      <c r="B191" s="402"/>
      <c r="C191" s="402"/>
    </row>
    <row r="192" spans="1:3" x14ac:dyDescent="0.2">
      <c r="A192" s="402"/>
      <c r="B192" s="402"/>
      <c r="C192" s="402"/>
    </row>
    <row r="193" spans="1:3" x14ac:dyDescent="0.2">
      <c r="A193" s="402"/>
      <c r="B193" s="402"/>
      <c r="C193" s="402"/>
    </row>
    <row r="194" spans="1:3" x14ac:dyDescent="0.2">
      <c r="A194" s="402"/>
      <c r="B194" s="402"/>
      <c r="C194" s="402"/>
    </row>
    <row r="195" spans="1:3" x14ac:dyDescent="0.2">
      <c r="A195" s="402"/>
      <c r="B195" s="402"/>
      <c r="C195" s="402"/>
    </row>
    <row r="196" spans="1:3" x14ac:dyDescent="0.2">
      <c r="A196" s="402"/>
      <c r="B196" s="402"/>
      <c r="C196" s="402"/>
    </row>
    <row r="197" spans="1:3" x14ac:dyDescent="0.2">
      <c r="A197" s="402"/>
      <c r="B197" s="402"/>
      <c r="C197" s="402"/>
    </row>
    <row r="198" spans="1:3" x14ac:dyDescent="0.2">
      <c r="A198" s="402"/>
      <c r="B198" s="402"/>
      <c r="C198" s="402"/>
    </row>
    <row r="199" spans="1:3" x14ac:dyDescent="0.2">
      <c r="A199" s="402"/>
      <c r="B199" s="402"/>
      <c r="C199" s="402"/>
    </row>
    <row r="200" spans="1:3" x14ac:dyDescent="0.2">
      <c r="A200" s="402"/>
      <c r="B200" s="402"/>
      <c r="C200" s="402"/>
    </row>
    <row r="201" spans="1:3" x14ac:dyDescent="0.2">
      <c r="A201" s="402"/>
      <c r="B201" s="402"/>
      <c r="C201" s="402"/>
    </row>
    <row r="202" spans="1:3" x14ac:dyDescent="0.2">
      <c r="A202" s="402"/>
      <c r="B202" s="402"/>
      <c r="C202" s="402"/>
    </row>
    <row r="203" spans="1:3" x14ac:dyDescent="0.2">
      <c r="A203" s="402"/>
      <c r="B203" s="402"/>
      <c r="C203" s="402"/>
    </row>
    <row r="204" spans="1:3" x14ac:dyDescent="0.2">
      <c r="A204" s="402"/>
      <c r="B204" s="402"/>
      <c r="C204" s="402"/>
    </row>
    <row r="205" spans="1:3" x14ac:dyDescent="0.2">
      <c r="A205" s="402"/>
      <c r="B205" s="402"/>
      <c r="C205" s="402"/>
    </row>
    <row r="206" spans="1:3" x14ac:dyDescent="0.2">
      <c r="A206" s="402"/>
      <c r="B206" s="402"/>
      <c r="C206" s="402"/>
    </row>
    <row r="207" spans="1:3" x14ac:dyDescent="0.2">
      <c r="A207" s="402"/>
      <c r="B207" s="402"/>
      <c r="C207" s="402"/>
    </row>
    <row r="208" spans="1:3" x14ac:dyDescent="0.2">
      <c r="A208" s="402"/>
      <c r="B208" s="402"/>
      <c r="C208" s="402"/>
    </row>
    <row r="209" spans="1:3" x14ac:dyDescent="0.2">
      <c r="A209" s="402"/>
      <c r="B209" s="402"/>
      <c r="C209" s="402"/>
    </row>
    <row r="210" spans="1:3" x14ac:dyDescent="0.2">
      <c r="A210" s="402"/>
      <c r="B210" s="402"/>
      <c r="C210" s="402"/>
    </row>
    <row r="211" spans="1:3" x14ac:dyDescent="0.2">
      <c r="A211" s="402"/>
      <c r="B211" s="402"/>
      <c r="C211" s="402"/>
    </row>
    <row r="212" spans="1:3" x14ac:dyDescent="0.2">
      <c r="A212" s="402"/>
      <c r="B212" s="402"/>
      <c r="C212" s="402"/>
    </row>
    <row r="213" spans="1:3" x14ac:dyDescent="0.2">
      <c r="A213" s="402"/>
      <c r="B213" s="402"/>
      <c r="C213" s="402"/>
    </row>
    <row r="214" spans="1:3" x14ac:dyDescent="0.2">
      <c r="A214" s="402"/>
      <c r="B214" s="402"/>
      <c r="C214" s="402"/>
    </row>
    <row r="215" spans="1:3" x14ac:dyDescent="0.2">
      <c r="A215" s="402"/>
      <c r="B215" s="402"/>
      <c r="C215" s="402"/>
    </row>
    <row r="216" spans="1:3" x14ac:dyDescent="0.2">
      <c r="A216" s="402"/>
      <c r="B216" s="402"/>
      <c r="C216" s="402"/>
    </row>
    <row r="217" spans="1:3" x14ac:dyDescent="0.2">
      <c r="A217" s="402"/>
      <c r="B217" s="402"/>
      <c r="C217" s="402"/>
    </row>
    <row r="218" spans="1:3" x14ac:dyDescent="0.2">
      <c r="A218" s="402"/>
      <c r="B218" s="402"/>
      <c r="C218" s="402"/>
    </row>
    <row r="219" spans="1:3" x14ac:dyDescent="0.2">
      <c r="A219" s="402"/>
      <c r="B219" s="402"/>
      <c r="C219" s="402"/>
    </row>
    <row r="220" spans="1:3" x14ac:dyDescent="0.2">
      <c r="A220" s="402"/>
      <c r="B220" s="402"/>
      <c r="C220" s="402"/>
    </row>
    <row r="221" spans="1:3" x14ac:dyDescent="0.2">
      <c r="A221" s="402"/>
      <c r="B221" s="402"/>
      <c r="C221" s="402"/>
    </row>
    <row r="222" spans="1:3" x14ac:dyDescent="0.2">
      <c r="A222" s="402"/>
      <c r="B222" s="402"/>
      <c r="C222" s="402"/>
    </row>
    <row r="223" spans="1:3" x14ac:dyDescent="0.2">
      <c r="A223" s="402"/>
      <c r="B223" s="402"/>
      <c r="C223" s="402"/>
    </row>
    <row r="224" spans="1:3" x14ac:dyDescent="0.2">
      <c r="A224" s="402"/>
      <c r="B224" s="402"/>
      <c r="C224" s="402"/>
    </row>
    <row r="225" spans="1:3" x14ac:dyDescent="0.2">
      <c r="A225" s="402"/>
      <c r="B225" s="402"/>
      <c r="C225" s="402"/>
    </row>
    <row r="226" spans="1:3" x14ac:dyDescent="0.2">
      <c r="A226" s="402"/>
      <c r="B226" s="402"/>
      <c r="C226" s="402"/>
    </row>
    <row r="227" spans="1:3" x14ac:dyDescent="0.2">
      <c r="A227" s="402"/>
      <c r="B227" s="402"/>
      <c r="C227" s="402"/>
    </row>
    <row r="228" spans="1:3" x14ac:dyDescent="0.2">
      <c r="A228" s="402"/>
      <c r="B228" s="402"/>
      <c r="C228" s="402"/>
    </row>
    <row r="229" spans="1:3" x14ac:dyDescent="0.2">
      <c r="A229" s="402"/>
      <c r="B229" s="402"/>
      <c r="C229" s="402"/>
    </row>
    <row r="230" spans="1:3" x14ac:dyDescent="0.2">
      <c r="A230" s="402"/>
      <c r="B230" s="402"/>
      <c r="C230" s="402"/>
    </row>
    <row r="231" spans="1:3" x14ac:dyDescent="0.2">
      <c r="A231" s="402"/>
      <c r="B231" s="402"/>
      <c r="C231" s="402"/>
    </row>
    <row r="232" spans="1:3" x14ac:dyDescent="0.2">
      <c r="A232" s="402"/>
      <c r="B232" s="402"/>
      <c r="C232" s="402"/>
    </row>
    <row r="233" spans="1:3" x14ac:dyDescent="0.2">
      <c r="A233" s="402"/>
      <c r="B233" s="402"/>
      <c r="C233" s="402"/>
    </row>
    <row r="234" spans="1:3" x14ac:dyDescent="0.2">
      <c r="A234" s="402"/>
      <c r="B234" s="402"/>
      <c r="C234" s="402"/>
    </row>
    <row r="235" spans="1:3" x14ac:dyDescent="0.2">
      <c r="A235" s="402"/>
      <c r="B235" s="402"/>
      <c r="C235" s="402"/>
    </row>
    <row r="236" spans="1:3" x14ac:dyDescent="0.2">
      <c r="A236" s="402"/>
      <c r="B236" s="402"/>
      <c r="C236" s="402"/>
    </row>
    <row r="237" spans="1:3" x14ac:dyDescent="0.2">
      <c r="A237" s="402"/>
      <c r="B237" s="402"/>
      <c r="C237" s="402"/>
    </row>
    <row r="238" spans="1:3" x14ac:dyDescent="0.2">
      <c r="A238" s="402"/>
      <c r="B238" s="402"/>
      <c r="C238" s="402"/>
    </row>
    <row r="239" spans="1:3" x14ac:dyDescent="0.2">
      <c r="A239" s="402"/>
      <c r="B239" s="402"/>
      <c r="C239" s="402"/>
    </row>
    <row r="240" spans="1:3" x14ac:dyDescent="0.2">
      <c r="A240" s="402"/>
      <c r="B240" s="402"/>
      <c r="C240" s="402"/>
    </row>
    <row r="241" spans="1:3" x14ac:dyDescent="0.2">
      <c r="A241" s="402"/>
      <c r="B241" s="402"/>
      <c r="C241" s="402"/>
    </row>
    <row r="242" spans="1:3" x14ac:dyDescent="0.2">
      <c r="A242" s="402"/>
      <c r="B242" s="402"/>
      <c r="C242" s="402"/>
    </row>
    <row r="243" spans="1:3" x14ac:dyDescent="0.2">
      <c r="A243" s="402"/>
      <c r="B243" s="402"/>
      <c r="C243" s="402"/>
    </row>
    <row r="244" spans="1:3" x14ac:dyDescent="0.2">
      <c r="A244" s="402"/>
      <c r="B244" s="402"/>
      <c r="C244" s="402"/>
    </row>
    <row r="245" spans="1:3" x14ac:dyDescent="0.2">
      <c r="A245" s="402"/>
      <c r="B245" s="402"/>
      <c r="C245" s="402"/>
    </row>
    <row r="246" spans="1:3" x14ac:dyDescent="0.2">
      <c r="A246" s="402"/>
      <c r="B246" s="402"/>
      <c r="C246" s="402"/>
    </row>
    <row r="247" spans="1:3" x14ac:dyDescent="0.2">
      <c r="A247" s="402"/>
      <c r="B247" s="402"/>
      <c r="C247" s="402"/>
    </row>
    <row r="248" spans="1:3" x14ac:dyDescent="0.2">
      <c r="A248" s="402"/>
      <c r="B248" s="402"/>
      <c r="C248" s="402"/>
    </row>
    <row r="249" spans="1:3" x14ac:dyDescent="0.2">
      <c r="A249" s="402"/>
      <c r="B249" s="402"/>
      <c r="C249" s="402"/>
    </row>
    <row r="250" spans="1:3" x14ac:dyDescent="0.2">
      <c r="A250" s="402"/>
      <c r="B250" s="402"/>
      <c r="C250" s="402"/>
    </row>
    <row r="251" spans="1:3" x14ac:dyDescent="0.2">
      <c r="A251" s="402"/>
      <c r="B251" s="402"/>
      <c r="C251" s="402"/>
    </row>
    <row r="252" spans="1:3" x14ac:dyDescent="0.2">
      <c r="A252" s="402"/>
      <c r="B252" s="402"/>
      <c r="C252" s="402"/>
    </row>
    <row r="253" spans="1:3" x14ac:dyDescent="0.2">
      <c r="A253" s="402"/>
      <c r="B253" s="402"/>
      <c r="C253" s="402"/>
    </row>
    <row r="254" spans="1:3" x14ac:dyDescent="0.2">
      <c r="A254" s="402"/>
      <c r="B254" s="402"/>
      <c r="C254" s="402"/>
    </row>
    <row r="255" spans="1:3" x14ac:dyDescent="0.2">
      <c r="A255" s="402"/>
      <c r="B255" s="402"/>
      <c r="C255" s="402"/>
    </row>
    <row r="256" spans="1:3" x14ac:dyDescent="0.2">
      <c r="A256" s="402"/>
      <c r="B256" s="402"/>
      <c r="C256" s="402"/>
    </row>
    <row r="257" spans="1:3" x14ac:dyDescent="0.2">
      <c r="A257" s="402"/>
      <c r="B257" s="402"/>
      <c r="C257" s="402"/>
    </row>
    <row r="258" spans="1:3" x14ac:dyDescent="0.2">
      <c r="A258" s="402"/>
      <c r="B258" s="402"/>
      <c r="C258" s="402"/>
    </row>
    <row r="259" spans="1:3" x14ac:dyDescent="0.2">
      <c r="A259" s="402"/>
      <c r="B259" s="402"/>
      <c r="C259" s="402"/>
    </row>
    <row r="260" spans="1:3" x14ac:dyDescent="0.2">
      <c r="A260" s="402"/>
      <c r="B260" s="402"/>
      <c r="C260" s="402"/>
    </row>
    <row r="261" spans="1:3" x14ac:dyDescent="0.2">
      <c r="A261" s="402"/>
      <c r="B261" s="402"/>
      <c r="C261" s="402"/>
    </row>
    <row r="262" spans="1:3" x14ac:dyDescent="0.2">
      <c r="A262" s="402"/>
      <c r="B262" s="402"/>
      <c r="C262" s="402"/>
    </row>
    <row r="263" spans="1:3" x14ac:dyDescent="0.2">
      <c r="A263" s="402"/>
      <c r="B263" s="402"/>
      <c r="C263" s="402"/>
    </row>
    <row r="264" spans="1:3" x14ac:dyDescent="0.2">
      <c r="A264" s="402"/>
      <c r="B264" s="402"/>
      <c r="C264" s="402"/>
    </row>
    <row r="265" spans="1:3" x14ac:dyDescent="0.2">
      <c r="A265" s="402"/>
      <c r="B265" s="402"/>
      <c r="C265" s="402"/>
    </row>
    <row r="266" spans="1:3" x14ac:dyDescent="0.2">
      <c r="A266" s="402"/>
      <c r="B266" s="402"/>
      <c r="C266" s="402"/>
    </row>
    <row r="267" spans="1:3" x14ac:dyDescent="0.2">
      <c r="A267" s="402"/>
      <c r="B267" s="402"/>
      <c r="C267" s="402"/>
    </row>
    <row r="268" spans="1:3" x14ac:dyDescent="0.2">
      <c r="A268" s="402"/>
      <c r="B268" s="402"/>
      <c r="C268" s="402"/>
    </row>
    <row r="269" spans="1:3" x14ac:dyDescent="0.2">
      <c r="A269" s="402"/>
      <c r="B269" s="402"/>
      <c r="C269" s="402"/>
    </row>
    <row r="270" spans="1:3" x14ac:dyDescent="0.2">
      <c r="A270" s="402"/>
      <c r="B270" s="402"/>
      <c r="C270" s="402"/>
    </row>
    <row r="271" spans="1:3" x14ac:dyDescent="0.2">
      <c r="A271" s="402"/>
      <c r="B271" s="402"/>
      <c r="C271" s="402"/>
    </row>
    <row r="272" spans="1:3" x14ac:dyDescent="0.2">
      <c r="A272" s="402"/>
      <c r="B272" s="402"/>
      <c r="C272" s="402"/>
    </row>
    <row r="273" spans="1:3" x14ac:dyDescent="0.2">
      <c r="A273" s="402"/>
      <c r="B273" s="402"/>
      <c r="C273" s="402"/>
    </row>
    <row r="274" spans="1:3" x14ac:dyDescent="0.2">
      <c r="A274" s="402"/>
      <c r="B274" s="402"/>
      <c r="C274" s="402"/>
    </row>
    <row r="275" spans="1:3" x14ac:dyDescent="0.2">
      <c r="A275" s="402"/>
      <c r="B275" s="402"/>
      <c r="C275" s="402"/>
    </row>
    <row r="276" spans="1:3" x14ac:dyDescent="0.2">
      <c r="A276" s="402"/>
      <c r="B276" s="402"/>
      <c r="C276" s="402"/>
    </row>
    <row r="277" spans="1:3" x14ac:dyDescent="0.2">
      <c r="A277" s="402"/>
      <c r="B277" s="402"/>
      <c r="C277" s="402"/>
    </row>
    <row r="278" spans="1:3" x14ac:dyDescent="0.2">
      <c r="A278" s="402"/>
      <c r="B278" s="402"/>
      <c r="C278" s="402"/>
    </row>
    <row r="279" spans="1:3" x14ac:dyDescent="0.2">
      <c r="A279" s="402"/>
      <c r="B279" s="402"/>
      <c r="C279" s="402"/>
    </row>
    <row r="280" spans="1:3" x14ac:dyDescent="0.2">
      <c r="A280" s="402"/>
      <c r="B280" s="402"/>
      <c r="C280" s="402"/>
    </row>
    <row r="281" spans="1:3" x14ac:dyDescent="0.2">
      <c r="A281" s="402"/>
      <c r="B281" s="402"/>
      <c r="C281" s="402"/>
    </row>
    <row r="282" spans="1:3" x14ac:dyDescent="0.2">
      <c r="A282" s="402"/>
      <c r="B282" s="402"/>
      <c r="C282" s="402"/>
    </row>
    <row r="283" spans="1:3" x14ac:dyDescent="0.2">
      <c r="A283" s="402"/>
      <c r="B283" s="402"/>
      <c r="C283" s="402"/>
    </row>
    <row r="284" spans="1:3" x14ac:dyDescent="0.2">
      <c r="A284" s="402"/>
      <c r="B284" s="402"/>
      <c r="C284" s="402"/>
    </row>
    <row r="285" spans="1:3" x14ac:dyDescent="0.2">
      <c r="A285" s="402"/>
      <c r="B285" s="402"/>
      <c r="C285" s="402"/>
    </row>
    <row r="286" spans="1:3" x14ac:dyDescent="0.2">
      <c r="A286" s="402"/>
      <c r="B286" s="402"/>
      <c r="C286" s="402"/>
    </row>
    <row r="287" spans="1:3" x14ac:dyDescent="0.2">
      <c r="A287" s="402"/>
      <c r="B287" s="402"/>
      <c r="C287" s="402"/>
    </row>
    <row r="288" spans="1:3" x14ac:dyDescent="0.2">
      <c r="A288" s="402"/>
      <c r="B288" s="402"/>
      <c r="C288" s="402"/>
    </row>
    <row r="289" spans="1:3" x14ac:dyDescent="0.2">
      <c r="A289" s="402"/>
      <c r="B289" s="402"/>
      <c r="C289" s="402"/>
    </row>
    <row r="290" spans="1:3" x14ac:dyDescent="0.2">
      <c r="A290" s="402"/>
      <c r="B290" s="402"/>
      <c r="C290" s="402"/>
    </row>
    <row r="291" spans="1:3" x14ac:dyDescent="0.2">
      <c r="A291" s="402"/>
      <c r="B291" s="402"/>
      <c r="C291" s="402"/>
    </row>
    <row r="292" spans="1:3" x14ac:dyDescent="0.2">
      <c r="A292" s="402"/>
      <c r="B292" s="402"/>
      <c r="C292" s="402"/>
    </row>
    <row r="293" spans="1:3" x14ac:dyDescent="0.2">
      <c r="A293" s="402"/>
      <c r="B293" s="402"/>
      <c r="C293" s="402"/>
    </row>
    <row r="294" spans="1:3" x14ac:dyDescent="0.2">
      <c r="A294" s="402"/>
      <c r="B294" s="402"/>
      <c r="C294" s="402"/>
    </row>
    <row r="295" spans="1:3" x14ac:dyDescent="0.2">
      <c r="A295" s="402"/>
      <c r="B295" s="402"/>
      <c r="C295" s="402"/>
    </row>
    <row r="296" spans="1:3" x14ac:dyDescent="0.2">
      <c r="A296" s="402"/>
      <c r="B296" s="402"/>
      <c r="C296" s="402"/>
    </row>
    <row r="297" spans="1:3" x14ac:dyDescent="0.2">
      <c r="A297" s="402"/>
      <c r="B297" s="402"/>
      <c r="C297" s="402"/>
    </row>
    <row r="298" spans="1:3" x14ac:dyDescent="0.2">
      <c r="A298" s="402"/>
      <c r="B298" s="402"/>
      <c r="C298" s="402"/>
    </row>
    <row r="299" spans="1:3" x14ac:dyDescent="0.2">
      <c r="A299" s="402"/>
      <c r="B299" s="402"/>
      <c r="C299" s="402"/>
    </row>
    <row r="300" spans="1:3" x14ac:dyDescent="0.2">
      <c r="A300" s="402"/>
      <c r="B300" s="402"/>
      <c r="C300" s="402"/>
    </row>
    <row r="301" spans="1:3" x14ac:dyDescent="0.2">
      <c r="A301" s="402"/>
      <c r="B301" s="402"/>
      <c r="C301" s="402"/>
    </row>
    <row r="302" spans="1:3" x14ac:dyDescent="0.2">
      <c r="A302" s="402"/>
      <c r="B302" s="402"/>
      <c r="C302" s="402"/>
    </row>
    <row r="303" spans="1:3" x14ac:dyDescent="0.2">
      <c r="A303" s="402"/>
      <c r="B303" s="402"/>
      <c r="C303" s="402"/>
    </row>
    <row r="304" spans="1:3" x14ac:dyDescent="0.2">
      <c r="A304" s="402"/>
      <c r="B304" s="402"/>
      <c r="C304" s="402"/>
    </row>
    <row r="305" spans="1:3" x14ac:dyDescent="0.2">
      <c r="A305" s="402"/>
      <c r="B305" s="402"/>
      <c r="C305" s="402"/>
    </row>
    <row r="306" spans="1:3" x14ac:dyDescent="0.2">
      <c r="A306" s="402"/>
      <c r="B306" s="402"/>
      <c r="C306" s="402"/>
    </row>
    <row r="307" spans="1:3" x14ac:dyDescent="0.2">
      <c r="A307" s="402"/>
      <c r="B307" s="402"/>
      <c r="C307" s="402"/>
    </row>
    <row r="308" spans="1:3" x14ac:dyDescent="0.2">
      <c r="A308" s="402"/>
      <c r="B308" s="402"/>
      <c r="C308" s="402"/>
    </row>
    <row r="309" spans="1:3" x14ac:dyDescent="0.2">
      <c r="A309" s="402"/>
      <c r="B309" s="402"/>
      <c r="C309" s="402"/>
    </row>
    <row r="310" spans="1:3" x14ac:dyDescent="0.2">
      <c r="A310" s="402"/>
      <c r="B310" s="402"/>
      <c r="C310" s="402"/>
    </row>
    <row r="311" spans="1:3" x14ac:dyDescent="0.2">
      <c r="A311" s="402"/>
      <c r="B311" s="402"/>
      <c r="C311" s="402"/>
    </row>
    <row r="312" spans="1:3" x14ac:dyDescent="0.2">
      <c r="A312" s="402"/>
      <c r="B312" s="402"/>
      <c r="C312" s="402"/>
    </row>
    <row r="313" spans="1:3" x14ac:dyDescent="0.2">
      <c r="A313" s="402"/>
      <c r="B313" s="402"/>
      <c r="C313" s="402"/>
    </row>
    <row r="314" spans="1:3" x14ac:dyDescent="0.2">
      <c r="A314" s="402"/>
      <c r="B314" s="402"/>
      <c r="C314" s="402"/>
    </row>
    <row r="315" spans="1:3" x14ac:dyDescent="0.2">
      <c r="A315" s="402"/>
      <c r="B315" s="402"/>
      <c r="C315" s="402"/>
    </row>
    <row r="316" spans="1:3" x14ac:dyDescent="0.2">
      <c r="A316" s="402"/>
      <c r="B316" s="402"/>
      <c r="C316" s="402"/>
    </row>
    <row r="317" spans="1:3" x14ac:dyDescent="0.2">
      <c r="A317" s="402"/>
      <c r="B317" s="402"/>
      <c r="C317" s="402"/>
    </row>
    <row r="318" spans="1:3" x14ac:dyDescent="0.2">
      <c r="A318" s="402"/>
      <c r="B318" s="402"/>
      <c r="C318" s="402"/>
    </row>
    <row r="319" spans="1:3" x14ac:dyDescent="0.2">
      <c r="A319" s="402"/>
      <c r="B319" s="402"/>
      <c r="C319" s="402"/>
    </row>
    <row r="320" spans="1:3" x14ac:dyDescent="0.2">
      <c r="A320" s="402"/>
      <c r="B320" s="402"/>
      <c r="C320" s="402"/>
    </row>
    <row r="321" spans="1:3" x14ac:dyDescent="0.2">
      <c r="A321" s="402"/>
      <c r="B321" s="402"/>
      <c r="C321" s="402"/>
    </row>
    <row r="322" spans="1:3" x14ac:dyDescent="0.2">
      <c r="A322" s="402"/>
      <c r="B322" s="402"/>
      <c r="C322" s="402"/>
    </row>
    <row r="323" spans="1:3" x14ac:dyDescent="0.2">
      <c r="A323" s="402"/>
      <c r="B323" s="402"/>
      <c r="C323" s="402"/>
    </row>
    <row r="324" spans="1:3" x14ac:dyDescent="0.2">
      <c r="A324" s="402"/>
      <c r="B324" s="402"/>
      <c r="C324" s="402"/>
    </row>
    <row r="325" spans="1:3" x14ac:dyDescent="0.2">
      <c r="A325" s="402"/>
      <c r="B325" s="402"/>
      <c r="C325" s="402"/>
    </row>
    <row r="326" spans="1:3" x14ac:dyDescent="0.2">
      <c r="A326" s="402"/>
      <c r="B326" s="402"/>
      <c r="C326" s="402"/>
    </row>
    <row r="327" spans="1:3" x14ac:dyDescent="0.2">
      <c r="A327" s="402"/>
      <c r="B327" s="402"/>
      <c r="C327" s="402"/>
    </row>
    <row r="328" spans="1:3" x14ac:dyDescent="0.2">
      <c r="A328" s="402"/>
      <c r="B328" s="402"/>
      <c r="C328" s="402"/>
    </row>
    <row r="329" spans="1:3" x14ac:dyDescent="0.2">
      <c r="A329" s="402"/>
      <c r="B329" s="402"/>
      <c r="C329" s="402"/>
    </row>
    <row r="330" spans="1:3" x14ac:dyDescent="0.2">
      <c r="A330" s="402"/>
      <c r="B330" s="402"/>
      <c r="C330" s="402"/>
    </row>
    <row r="331" spans="1:3" x14ac:dyDescent="0.2">
      <c r="A331" s="402"/>
      <c r="B331" s="402"/>
      <c r="C331" s="402"/>
    </row>
    <row r="332" spans="1:3" x14ac:dyDescent="0.2">
      <c r="A332" s="402"/>
      <c r="B332" s="402"/>
      <c r="C332" s="402"/>
    </row>
    <row r="333" spans="1:3" x14ac:dyDescent="0.2">
      <c r="A333" s="402"/>
      <c r="B333" s="402"/>
      <c r="C333" s="402"/>
    </row>
    <row r="334" spans="1:3" x14ac:dyDescent="0.2">
      <c r="A334" s="402"/>
      <c r="B334" s="402"/>
      <c r="C334" s="402"/>
    </row>
    <row r="335" spans="1:3" x14ac:dyDescent="0.2">
      <c r="A335" s="402"/>
      <c r="B335" s="402"/>
      <c r="C335" s="402"/>
    </row>
    <row r="336" spans="1:3" x14ac:dyDescent="0.2">
      <c r="A336" s="402"/>
      <c r="B336" s="402"/>
      <c r="C336" s="402"/>
    </row>
    <row r="337" spans="1:3" x14ac:dyDescent="0.2">
      <c r="A337" s="402"/>
      <c r="B337" s="402"/>
      <c r="C337" s="402"/>
    </row>
    <row r="338" spans="1:3" x14ac:dyDescent="0.2">
      <c r="A338" s="402"/>
      <c r="B338" s="402"/>
      <c r="C338" s="402"/>
    </row>
    <row r="339" spans="1:3" x14ac:dyDescent="0.2">
      <c r="A339" s="402"/>
      <c r="B339" s="402"/>
      <c r="C339" s="402"/>
    </row>
    <row r="340" spans="1:3" x14ac:dyDescent="0.2">
      <c r="A340" s="402"/>
      <c r="B340" s="402"/>
      <c r="C340" s="402"/>
    </row>
    <row r="341" spans="1:3" x14ac:dyDescent="0.2">
      <c r="A341" s="402"/>
      <c r="B341" s="402"/>
      <c r="C341" s="402"/>
    </row>
    <row r="342" spans="1:3" x14ac:dyDescent="0.2">
      <c r="A342" s="402"/>
      <c r="B342" s="402"/>
      <c r="C342" s="402"/>
    </row>
    <row r="343" spans="1:3" x14ac:dyDescent="0.2">
      <c r="A343" s="402"/>
      <c r="B343" s="402"/>
      <c r="C343" s="402"/>
    </row>
    <row r="344" spans="1:3" x14ac:dyDescent="0.2">
      <c r="A344" s="402"/>
      <c r="B344" s="402"/>
      <c r="C344" s="402"/>
    </row>
    <row r="345" spans="1:3" x14ac:dyDescent="0.2">
      <c r="A345" s="402"/>
      <c r="B345" s="402"/>
      <c r="C345" s="402"/>
    </row>
    <row r="346" spans="1:3" x14ac:dyDescent="0.2">
      <c r="A346" s="402"/>
      <c r="B346" s="402"/>
      <c r="C346" s="402"/>
    </row>
    <row r="347" spans="1:3" x14ac:dyDescent="0.2">
      <c r="A347" s="402"/>
      <c r="B347" s="402"/>
      <c r="C347" s="402"/>
    </row>
    <row r="348" spans="1:3" x14ac:dyDescent="0.2">
      <c r="A348" s="402"/>
      <c r="B348" s="402"/>
      <c r="C348" s="402"/>
    </row>
    <row r="349" spans="1:3" x14ac:dyDescent="0.2">
      <c r="A349" s="402"/>
      <c r="B349" s="402"/>
      <c r="C349" s="402"/>
    </row>
    <row r="350" spans="1:3" x14ac:dyDescent="0.2">
      <c r="A350" s="402"/>
      <c r="B350" s="402"/>
      <c r="C350" s="402"/>
    </row>
    <row r="351" spans="1:3" x14ac:dyDescent="0.2">
      <c r="A351" s="402"/>
      <c r="B351" s="402"/>
      <c r="C351" s="402"/>
    </row>
    <row r="352" spans="1:3" x14ac:dyDescent="0.2">
      <c r="A352" s="402"/>
      <c r="B352" s="402"/>
      <c r="C352" s="402"/>
    </row>
    <row r="353" spans="1:3" x14ac:dyDescent="0.2">
      <c r="A353" s="402"/>
      <c r="B353" s="402"/>
      <c r="C353" s="402"/>
    </row>
    <row r="354" spans="1:3" x14ac:dyDescent="0.2">
      <c r="A354" s="402"/>
      <c r="B354" s="402"/>
      <c r="C354" s="402"/>
    </row>
    <row r="355" spans="1:3" x14ac:dyDescent="0.2">
      <c r="A355" s="402"/>
      <c r="B355" s="402"/>
      <c r="C355" s="402"/>
    </row>
    <row r="356" spans="1:3" x14ac:dyDescent="0.2">
      <c r="A356" s="402"/>
      <c r="B356" s="402"/>
      <c r="C356" s="402"/>
    </row>
    <row r="357" spans="1:3" x14ac:dyDescent="0.2">
      <c r="A357" s="402"/>
      <c r="B357" s="402"/>
      <c r="C357" s="402"/>
    </row>
    <row r="358" spans="1:3" x14ac:dyDescent="0.2">
      <c r="A358" s="402"/>
      <c r="B358" s="402"/>
      <c r="C358" s="402"/>
    </row>
    <row r="359" spans="1:3" x14ac:dyDescent="0.2">
      <c r="A359" s="402"/>
      <c r="B359" s="402"/>
      <c r="C359" s="402"/>
    </row>
    <row r="360" spans="1:3" x14ac:dyDescent="0.2">
      <c r="A360" s="402"/>
      <c r="B360" s="402"/>
      <c r="C360" s="402"/>
    </row>
    <row r="361" spans="1:3" x14ac:dyDescent="0.2">
      <c r="A361" s="402"/>
      <c r="B361" s="402"/>
      <c r="C361" s="402"/>
    </row>
    <row r="362" spans="1:3" x14ac:dyDescent="0.2">
      <c r="A362" s="402"/>
      <c r="B362" s="402"/>
      <c r="C362" s="402"/>
    </row>
    <row r="363" spans="1:3" x14ac:dyDescent="0.2">
      <c r="A363" s="402"/>
      <c r="B363" s="402"/>
      <c r="C363" s="402"/>
    </row>
    <row r="364" spans="1:3" x14ac:dyDescent="0.2">
      <c r="A364" s="402"/>
      <c r="B364" s="402"/>
      <c r="C364" s="402"/>
    </row>
    <row r="365" spans="1:3" x14ac:dyDescent="0.2">
      <c r="A365" s="402"/>
      <c r="B365" s="402"/>
      <c r="C365" s="402"/>
    </row>
    <row r="366" spans="1:3" x14ac:dyDescent="0.2">
      <c r="A366" s="402"/>
      <c r="B366" s="402"/>
      <c r="C366" s="402"/>
    </row>
    <row r="367" spans="1:3" x14ac:dyDescent="0.2">
      <c r="A367" s="402"/>
      <c r="B367" s="402"/>
      <c r="C367" s="402"/>
    </row>
    <row r="368" spans="1:3" x14ac:dyDescent="0.2">
      <c r="A368" s="402"/>
      <c r="B368" s="402"/>
      <c r="C368" s="402"/>
    </row>
    <row r="369" spans="1:3" x14ac:dyDescent="0.2">
      <c r="A369" s="402"/>
      <c r="B369" s="402"/>
      <c r="C369" s="402"/>
    </row>
    <row r="370" spans="1:3" x14ac:dyDescent="0.2">
      <c r="A370" s="402"/>
      <c r="B370" s="402"/>
      <c r="C370" s="402"/>
    </row>
    <row r="371" spans="1:3" x14ac:dyDescent="0.2">
      <c r="A371" s="402"/>
      <c r="B371" s="402"/>
      <c r="C371" s="402"/>
    </row>
    <row r="372" spans="1:3" x14ac:dyDescent="0.2">
      <c r="A372" s="402"/>
      <c r="B372" s="402"/>
      <c r="C372" s="402"/>
    </row>
    <row r="373" spans="1:3" x14ac:dyDescent="0.2">
      <c r="A373" s="402"/>
      <c r="B373" s="402"/>
      <c r="C373" s="402"/>
    </row>
    <row r="374" spans="1:3" x14ac:dyDescent="0.2">
      <c r="A374" s="402"/>
      <c r="B374" s="402"/>
      <c r="C374" s="402"/>
    </row>
    <row r="375" spans="1:3" x14ac:dyDescent="0.2">
      <c r="A375" s="402"/>
      <c r="B375" s="402"/>
      <c r="C375" s="402"/>
    </row>
    <row r="376" spans="1:3" x14ac:dyDescent="0.2">
      <c r="A376" s="402"/>
      <c r="B376" s="402"/>
      <c r="C376" s="402"/>
    </row>
    <row r="377" spans="1:3" x14ac:dyDescent="0.2">
      <c r="A377" s="402"/>
      <c r="B377" s="402"/>
      <c r="C377" s="402"/>
    </row>
    <row r="378" spans="1:3" x14ac:dyDescent="0.2">
      <c r="A378" s="402"/>
      <c r="B378" s="402"/>
      <c r="C378" s="402"/>
    </row>
    <row r="379" spans="1:3" x14ac:dyDescent="0.2">
      <c r="A379" s="402"/>
      <c r="B379" s="402"/>
      <c r="C379" s="402"/>
    </row>
    <row r="380" spans="1:3" x14ac:dyDescent="0.2">
      <c r="A380" s="402"/>
      <c r="B380" s="402"/>
      <c r="C380" s="402"/>
    </row>
    <row r="381" spans="1:3" x14ac:dyDescent="0.2">
      <c r="A381" s="402"/>
      <c r="B381" s="402"/>
      <c r="C381" s="402"/>
    </row>
    <row r="382" spans="1:3" x14ac:dyDescent="0.2">
      <c r="A382" s="402"/>
      <c r="B382" s="402"/>
      <c r="C382" s="402"/>
    </row>
    <row r="383" spans="1:3" x14ac:dyDescent="0.2">
      <c r="A383" s="402"/>
      <c r="B383" s="402"/>
      <c r="C383" s="402"/>
    </row>
    <row r="384" spans="1:3" x14ac:dyDescent="0.2">
      <c r="A384" s="402"/>
      <c r="B384" s="402"/>
      <c r="C384" s="402"/>
    </row>
    <row r="385" spans="1:3" x14ac:dyDescent="0.2">
      <c r="A385" s="402"/>
      <c r="B385" s="402"/>
      <c r="C385" s="402"/>
    </row>
    <row r="386" spans="1:3" x14ac:dyDescent="0.2">
      <c r="A386" s="402"/>
      <c r="B386" s="402"/>
      <c r="C386" s="402"/>
    </row>
    <row r="387" spans="1:3" x14ac:dyDescent="0.2">
      <c r="A387" s="402"/>
      <c r="B387" s="402"/>
      <c r="C387" s="402"/>
    </row>
    <row r="388" spans="1:3" x14ac:dyDescent="0.2">
      <c r="A388" s="402"/>
      <c r="B388" s="402"/>
      <c r="C388" s="402"/>
    </row>
    <row r="389" spans="1:3" x14ac:dyDescent="0.2">
      <c r="A389" s="402"/>
      <c r="B389" s="402"/>
      <c r="C389" s="402"/>
    </row>
    <row r="390" spans="1:3" x14ac:dyDescent="0.2">
      <c r="A390" s="402"/>
      <c r="B390" s="402"/>
      <c r="C390" s="402"/>
    </row>
    <row r="391" spans="1:3" x14ac:dyDescent="0.2">
      <c r="A391" s="402"/>
      <c r="B391" s="402"/>
      <c r="C391" s="402"/>
    </row>
    <row r="392" spans="1:3" x14ac:dyDescent="0.2">
      <c r="A392" s="402"/>
      <c r="B392" s="402"/>
      <c r="C392" s="402"/>
    </row>
    <row r="393" spans="1:3" x14ac:dyDescent="0.2">
      <c r="A393" s="402"/>
      <c r="B393" s="402"/>
      <c r="C393" s="402"/>
    </row>
    <row r="394" spans="1:3" x14ac:dyDescent="0.2">
      <c r="A394" s="402"/>
      <c r="B394" s="402"/>
      <c r="C394" s="402"/>
    </row>
    <row r="395" spans="1:3" x14ac:dyDescent="0.2">
      <c r="A395" s="402"/>
      <c r="B395" s="402"/>
      <c r="C395" s="402"/>
    </row>
    <row r="396" spans="1:3" x14ac:dyDescent="0.2">
      <c r="A396" s="402"/>
      <c r="B396" s="402"/>
      <c r="C396" s="402"/>
    </row>
    <row r="397" spans="1:3" x14ac:dyDescent="0.2">
      <c r="A397" s="402"/>
      <c r="B397" s="402"/>
      <c r="C397" s="402"/>
    </row>
    <row r="398" spans="1:3" x14ac:dyDescent="0.2">
      <c r="A398" s="402"/>
      <c r="B398" s="402"/>
      <c r="C398" s="402"/>
    </row>
    <row r="399" spans="1:3" x14ac:dyDescent="0.2">
      <c r="A399" s="402"/>
      <c r="B399" s="402"/>
      <c r="C399" s="402"/>
    </row>
    <row r="400" spans="1:3" x14ac:dyDescent="0.2">
      <c r="A400" s="402"/>
      <c r="B400" s="402"/>
      <c r="C400" s="402"/>
    </row>
    <row r="401" spans="1:3" x14ac:dyDescent="0.2">
      <c r="A401" s="402"/>
      <c r="B401" s="402"/>
      <c r="C401" s="402"/>
    </row>
    <row r="402" spans="1:3" x14ac:dyDescent="0.2">
      <c r="A402" s="402"/>
      <c r="B402" s="402"/>
      <c r="C402" s="402"/>
    </row>
    <row r="403" spans="1:3" x14ac:dyDescent="0.2">
      <c r="A403" s="402"/>
      <c r="B403" s="402"/>
      <c r="C403" s="402"/>
    </row>
    <row r="404" spans="1:3" x14ac:dyDescent="0.2">
      <c r="A404" s="402"/>
      <c r="B404" s="402"/>
      <c r="C404" s="402"/>
    </row>
    <row r="405" spans="1:3" x14ac:dyDescent="0.2">
      <c r="A405" s="402"/>
      <c r="B405" s="402"/>
      <c r="C405" s="402"/>
    </row>
    <row r="406" spans="1:3" x14ac:dyDescent="0.2">
      <c r="A406" s="402"/>
      <c r="B406" s="402"/>
      <c r="C406" s="402"/>
    </row>
    <row r="407" spans="1:3" x14ac:dyDescent="0.2">
      <c r="A407" s="402"/>
      <c r="B407" s="402"/>
      <c r="C407" s="402"/>
    </row>
    <row r="408" spans="1:3" x14ac:dyDescent="0.2">
      <c r="A408" s="402"/>
      <c r="B408" s="402"/>
      <c r="C408" s="402"/>
    </row>
    <row r="409" spans="1:3" x14ac:dyDescent="0.2">
      <c r="A409" s="402"/>
      <c r="B409" s="402"/>
      <c r="C409" s="402"/>
    </row>
    <row r="410" spans="1:3" x14ac:dyDescent="0.2">
      <c r="A410" s="402"/>
      <c r="B410" s="402"/>
      <c r="C410" s="402"/>
    </row>
    <row r="411" spans="1:3" x14ac:dyDescent="0.2">
      <c r="A411" s="402"/>
      <c r="B411" s="402"/>
      <c r="C411" s="402"/>
    </row>
    <row r="412" spans="1:3" x14ac:dyDescent="0.2">
      <c r="A412" s="402"/>
      <c r="B412" s="402"/>
      <c r="C412" s="402"/>
    </row>
    <row r="413" spans="1:3" x14ac:dyDescent="0.2">
      <c r="A413" s="402"/>
      <c r="B413" s="402"/>
      <c r="C413" s="402"/>
    </row>
    <row r="414" spans="1:3" x14ac:dyDescent="0.2">
      <c r="A414" s="402"/>
      <c r="B414" s="402"/>
      <c r="C414" s="402"/>
    </row>
    <row r="415" spans="1:3" x14ac:dyDescent="0.2">
      <c r="A415" s="402"/>
      <c r="B415" s="402"/>
      <c r="C415" s="402"/>
    </row>
    <row r="416" spans="1:3" x14ac:dyDescent="0.2">
      <c r="A416" s="402"/>
      <c r="B416" s="402"/>
      <c r="C416" s="402"/>
    </row>
    <row r="417" spans="1:3" x14ac:dyDescent="0.2">
      <c r="A417" s="402"/>
      <c r="B417" s="402"/>
      <c r="C417" s="402"/>
    </row>
    <row r="418" spans="1:3" x14ac:dyDescent="0.2">
      <c r="A418" s="402"/>
      <c r="B418" s="402"/>
      <c r="C418" s="402"/>
    </row>
    <row r="419" spans="1:3" x14ac:dyDescent="0.2">
      <c r="A419" s="402"/>
      <c r="B419" s="402"/>
      <c r="C419" s="402"/>
    </row>
    <row r="420" spans="1:3" x14ac:dyDescent="0.2">
      <c r="A420" s="402"/>
      <c r="B420" s="402"/>
      <c r="C420" s="402"/>
    </row>
    <row r="421" spans="1:3" x14ac:dyDescent="0.2">
      <c r="A421" s="402"/>
      <c r="B421" s="402"/>
      <c r="C421" s="402"/>
    </row>
    <row r="422" spans="1:3" x14ac:dyDescent="0.2">
      <c r="A422" s="402"/>
      <c r="B422" s="402"/>
      <c r="C422" s="402"/>
    </row>
    <row r="423" spans="1:3" x14ac:dyDescent="0.2">
      <c r="A423" s="402"/>
      <c r="B423" s="402"/>
      <c r="C423" s="402"/>
    </row>
    <row r="424" spans="1:3" x14ac:dyDescent="0.2">
      <c r="A424" s="402"/>
      <c r="B424" s="402"/>
      <c r="C424" s="402"/>
    </row>
    <row r="425" spans="1:3" x14ac:dyDescent="0.2">
      <c r="A425" s="402"/>
      <c r="B425" s="402"/>
      <c r="C425" s="402"/>
    </row>
    <row r="426" spans="1:3" x14ac:dyDescent="0.2">
      <c r="A426" s="402"/>
      <c r="B426" s="402"/>
      <c r="C426" s="402"/>
    </row>
    <row r="427" spans="1:3" x14ac:dyDescent="0.2">
      <c r="A427" s="402"/>
      <c r="B427" s="402"/>
      <c r="C427" s="402"/>
    </row>
    <row r="428" spans="1:3" x14ac:dyDescent="0.2">
      <c r="A428" s="402"/>
      <c r="B428" s="402"/>
      <c r="C428" s="402"/>
    </row>
    <row r="429" spans="1:3" x14ac:dyDescent="0.2">
      <c r="A429" s="402"/>
      <c r="B429" s="402"/>
      <c r="C429" s="402"/>
    </row>
    <row r="430" spans="1:3" x14ac:dyDescent="0.2">
      <c r="A430" s="402"/>
      <c r="B430" s="402"/>
      <c r="C430" s="402"/>
    </row>
    <row r="431" spans="1:3" x14ac:dyDescent="0.2">
      <c r="A431" s="402"/>
      <c r="B431" s="402"/>
      <c r="C431" s="402"/>
    </row>
    <row r="432" spans="1:3" x14ac:dyDescent="0.2">
      <c r="A432" s="402"/>
      <c r="B432" s="402"/>
      <c r="C432" s="402"/>
    </row>
    <row r="433" spans="1:3" x14ac:dyDescent="0.2">
      <c r="A433" s="402"/>
      <c r="B433" s="402"/>
      <c r="C433" s="402"/>
    </row>
    <row r="434" spans="1:3" x14ac:dyDescent="0.2">
      <c r="A434" s="402"/>
      <c r="B434" s="402"/>
      <c r="C434" s="402"/>
    </row>
    <row r="435" spans="1:3" x14ac:dyDescent="0.2">
      <c r="A435" s="402"/>
      <c r="B435" s="402"/>
      <c r="C435" s="402"/>
    </row>
    <row r="436" spans="1:3" x14ac:dyDescent="0.2">
      <c r="A436" s="402"/>
      <c r="B436" s="402"/>
      <c r="C436" s="402"/>
    </row>
    <row r="437" spans="1:3" x14ac:dyDescent="0.2">
      <c r="A437" s="402"/>
      <c r="B437" s="402"/>
      <c r="C437" s="402"/>
    </row>
    <row r="438" spans="1:3" x14ac:dyDescent="0.2">
      <c r="A438" s="402"/>
      <c r="B438" s="402"/>
      <c r="C438" s="402"/>
    </row>
    <row r="439" spans="1:3" x14ac:dyDescent="0.2">
      <c r="A439" s="402"/>
      <c r="B439" s="402"/>
      <c r="C439" s="402"/>
    </row>
    <row r="440" spans="1:3" x14ac:dyDescent="0.2">
      <c r="A440" s="402"/>
      <c r="B440" s="402"/>
      <c r="C440" s="402"/>
    </row>
    <row r="441" spans="1:3" x14ac:dyDescent="0.2">
      <c r="A441" s="402"/>
      <c r="B441" s="402"/>
      <c r="C441" s="402"/>
    </row>
    <row r="442" spans="1:3" x14ac:dyDescent="0.2">
      <c r="A442" s="402"/>
      <c r="B442" s="402"/>
      <c r="C442" s="402"/>
    </row>
    <row r="443" spans="1:3" x14ac:dyDescent="0.2">
      <c r="A443" s="402"/>
      <c r="B443" s="402"/>
      <c r="C443" s="402"/>
    </row>
    <row r="444" spans="1:3" x14ac:dyDescent="0.2">
      <c r="A444" s="402"/>
      <c r="B444" s="402"/>
      <c r="C444" s="402"/>
    </row>
    <row r="445" spans="1:3" x14ac:dyDescent="0.2">
      <c r="A445" s="402"/>
      <c r="B445" s="402"/>
      <c r="C445" s="402"/>
    </row>
    <row r="446" spans="1:3" x14ac:dyDescent="0.2">
      <c r="A446" s="402"/>
      <c r="B446" s="402"/>
      <c r="C446" s="402"/>
    </row>
    <row r="447" spans="1:3" x14ac:dyDescent="0.2">
      <c r="A447" s="402"/>
      <c r="B447" s="402"/>
      <c r="C447" s="402"/>
    </row>
    <row r="448" spans="1:3" x14ac:dyDescent="0.2">
      <c r="A448" s="402"/>
      <c r="B448" s="402"/>
      <c r="C448" s="402"/>
    </row>
    <row r="449" spans="1:3" x14ac:dyDescent="0.2">
      <c r="A449" s="402"/>
      <c r="B449" s="402"/>
      <c r="C449" s="402"/>
    </row>
    <row r="450" spans="1:3" x14ac:dyDescent="0.2">
      <c r="A450" s="402"/>
      <c r="B450" s="402"/>
      <c r="C450" s="402"/>
    </row>
    <row r="451" spans="1:3" x14ac:dyDescent="0.2">
      <c r="A451" s="402"/>
      <c r="B451" s="402"/>
      <c r="C451" s="402"/>
    </row>
    <row r="452" spans="1:3" x14ac:dyDescent="0.2">
      <c r="A452" s="402"/>
      <c r="B452" s="402"/>
      <c r="C452" s="402"/>
    </row>
    <row r="453" spans="1:3" x14ac:dyDescent="0.2">
      <c r="A453" s="402"/>
      <c r="B453" s="402"/>
      <c r="C453" s="402"/>
    </row>
    <row r="454" spans="1:3" x14ac:dyDescent="0.2">
      <c r="A454" s="402"/>
      <c r="B454" s="402"/>
      <c r="C454" s="402"/>
    </row>
    <row r="455" spans="1:3" x14ac:dyDescent="0.2">
      <c r="A455" s="402"/>
      <c r="B455" s="402"/>
      <c r="C455" s="402"/>
    </row>
    <row r="456" spans="1:3" x14ac:dyDescent="0.2">
      <c r="A456" s="402"/>
      <c r="B456" s="402"/>
      <c r="C456" s="402"/>
    </row>
    <row r="457" spans="1:3" x14ac:dyDescent="0.2">
      <c r="A457" s="402"/>
      <c r="B457" s="402"/>
      <c r="C457" s="402"/>
    </row>
    <row r="458" spans="1:3" x14ac:dyDescent="0.2">
      <c r="A458" s="402"/>
      <c r="B458" s="402"/>
      <c r="C458" s="402"/>
    </row>
    <row r="459" spans="1:3" x14ac:dyDescent="0.2">
      <c r="A459" s="402"/>
      <c r="B459" s="402"/>
      <c r="C459" s="402"/>
    </row>
    <row r="460" spans="1:3" x14ac:dyDescent="0.2">
      <c r="A460" s="402"/>
      <c r="B460" s="402"/>
      <c r="C460" s="402"/>
    </row>
    <row r="461" spans="1:3" x14ac:dyDescent="0.2">
      <c r="A461" s="402"/>
      <c r="B461" s="402"/>
      <c r="C461" s="402"/>
    </row>
    <row r="462" spans="1:3" x14ac:dyDescent="0.2">
      <c r="A462" s="402"/>
      <c r="B462" s="402"/>
      <c r="C462" s="402"/>
    </row>
    <row r="463" spans="1:3" x14ac:dyDescent="0.2">
      <c r="A463" s="402"/>
      <c r="B463" s="402"/>
      <c r="C463" s="402"/>
    </row>
    <row r="464" spans="1:3" x14ac:dyDescent="0.2">
      <c r="A464" s="402"/>
      <c r="B464" s="402"/>
      <c r="C464" s="402"/>
    </row>
    <row r="465" spans="1:3" x14ac:dyDescent="0.2">
      <c r="A465" s="402"/>
      <c r="B465" s="402"/>
      <c r="C465" s="402"/>
    </row>
    <row r="466" spans="1:3" x14ac:dyDescent="0.2">
      <c r="A466" s="402"/>
      <c r="B466" s="402"/>
      <c r="C466" s="402"/>
    </row>
    <row r="467" spans="1:3" x14ac:dyDescent="0.2">
      <c r="A467" s="402"/>
      <c r="B467" s="402"/>
      <c r="C467" s="402"/>
    </row>
    <row r="468" spans="1:3" x14ac:dyDescent="0.2">
      <c r="A468" s="402"/>
      <c r="B468" s="402"/>
      <c r="C468" s="402"/>
    </row>
    <row r="469" spans="1:3" x14ac:dyDescent="0.2">
      <c r="A469" s="402"/>
      <c r="B469" s="402"/>
      <c r="C469" s="402"/>
    </row>
    <row r="470" spans="1:3" x14ac:dyDescent="0.2">
      <c r="A470" s="402"/>
      <c r="B470" s="402"/>
      <c r="C470" s="402"/>
    </row>
    <row r="471" spans="1:3" x14ac:dyDescent="0.2">
      <c r="A471" s="402"/>
      <c r="B471" s="402"/>
      <c r="C471" s="402"/>
    </row>
    <row r="472" spans="1:3" x14ac:dyDescent="0.2">
      <c r="A472" s="402"/>
      <c r="B472" s="402"/>
      <c r="C472" s="402"/>
    </row>
    <row r="473" spans="1:3" x14ac:dyDescent="0.2">
      <c r="A473" s="402"/>
      <c r="B473" s="402"/>
      <c r="C473" s="402"/>
    </row>
    <row r="474" spans="1:3" x14ac:dyDescent="0.2">
      <c r="A474" s="402"/>
      <c r="B474" s="402"/>
      <c r="C474" s="402"/>
    </row>
    <row r="475" spans="1:3" x14ac:dyDescent="0.2">
      <c r="A475" s="402"/>
      <c r="B475" s="402"/>
      <c r="C475" s="402"/>
    </row>
    <row r="476" spans="1:3" x14ac:dyDescent="0.2">
      <c r="A476" s="402"/>
      <c r="B476" s="402"/>
      <c r="C476" s="402"/>
    </row>
    <row r="477" spans="1:3" x14ac:dyDescent="0.2">
      <c r="A477" s="402"/>
      <c r="B477" s="402"/>
      <c r="C477" s="402"/>
    </row>
    <row r="478" spans="1:3" x14ac:dyDescent="0.2">
      <c r="A478" s="402"/>
      <c r="B478" s="402"/>
      <c r="C478" s="402"/>
    </row>
    <row r="479" spans="1:3" x14ac:dyDescent="0.2">
      <c r="A479" s="402"/>
      <c r="B479" s="402"/>
      <c r="C479" s="402"/>
    </row>
    <row r="480" spans="1:3" x14ac:dyDescent="0.2">
      <c r="A480" s="402"/>
      <c r="B480" s="402"/>
      <c r="C480" s="402"/>
    </row>
    <row r="481" spans="1:3" x14ac:dyDescent="0.2">
      <c r="A481" s="402"/>
      <c r="B481" s="402"/>
      <c r="C481" s="402"/>
    </row>
    <row r="482" spans="1:3" x14ac:dyDescent="0.2">
      <c r="A482" s="402"/>
      <c r="B482" s="402"/>
      <c r="C482" s="402"/>
    </row>
    <row r="483" spans="1:3" x14ac:dyDescent="0.2">
      <c r="A483" s="402"/>
      <c r="B483" s="402"/>
      <c r="C483" s="402"/>
    </row>
    <row r="484" spans="1:3" x14ac:dyDescent="0.2">
      <c r="A484" s="402"/>
      <c r="B484" s="402"/>
      <c r="C484" s="402"/>
    </row>
    <row r="485" spans="1:3" x14ac:dyDescent="0.2">
      <c r="A485" s="402"/>
      <c r="B485" s="402"/>
      <c r="C485" s="402"/>
    </row>
    <row r="486" spans="1:3" x14ac:dyDescent="0.2">
      <c r="A486" s="402"/>
      <c r="B486" s="402"/>
      <c r="C486" s="402"/>
    </row>
    <row r="487" spans="1:3" x14ac:dyDescent="0.2">
      <c r="A487" s="402"/>
      <c r="B487" s="402"/>
      <c r="C487" s="402"/>
    </row>
    <row r="488" spans="1:3" x14ac:dyDescent="0.2">
      <c r="A488" s="402"/>
      <c r="B488" s="402"/>
      <c r="C488" s="402"/>
    </row>
    <row r="489" spans="1:3" x14ac:dyDescent="0.2">
      <c r="A489" s="402"/>
      <c r="B489" s="402"/>
      <c r="C489" s="402"/>
    </row>
    <row r="490" spans="1:3" x14ac:dyDescent="0.2">
      <c r="A490" s="402"/>
      <c r="B490" s="402"/>
      <c r="C490" s="402"/>
    </row>
    <row r="491" spans="1:3" x14ac:dyDescent="0.2">
      <c r="A491" s="402"/>
      <c r="B491" s="402"/>
      <c r="C491" s="402"/>
    </row>
    <row r="492" spans="1:3" x14ac:dyDescent="0.2">
      <c r="A492" s="402"/>
      <c r="B492" s="402"/>
      <c r="C492" s="402"/>
    </row>
    <row r="493" spans="1:3" x14ac:dyDescent="0.2">
      <c r="A493" s="402"/>
      <c r="B493" s="402"/>
      <c r="C493" s="402"/>
    </row>
    <row r="494" spans="1:3" x14ac:dyDescent="0.2">
      <c r="A494" s="402"/>
      <c r="B494" s="402"/>
      <c r="C494" s="402"/>
    </row>
    <row r="495" spans="1:3" x14ac:dyDescent="0.2">
      <c r="A495" s="402"/>
      <c r="B495" s="402"/>
      <c r="C495" s="402"/>
    </row>
    <row r="496" spans="1:3" x14ac:dyDescent="0.2">
      <c r="A496" s="402"/>
      <c r="B496" s="402"/>
      <c r="C496" s="402"/>
    </row>
    <row r="497" spans="1:3" x14ac:dyDescent="0.2">
      <c r="A497" s="402"/>
      <c r="B497" s="402"/>
      <c r="C497" s="402"/>
    </row>
    <row r="498" spans="1:3" x14ac:dyDescent="0.2">
      <c r="A498" s="402"/>
      <c r="B498" s="402"/>
      <c r="C498" s="402"/>
    </row>
    <row r="499" spans="1:3" x14ac:dyDescent="0.2">
      <c r="A499" s="402"/>
      <c r="B499" s="402"/>
      <c r="C499" s="402"/>
    </row>
    <row r="500" spans="1:3" x14ac:dyDescent="0.2">
      <c r="A500" s="402"/>
      <c r="B500" s="402"/>
      <c r="C500" s="402"/>
    </row>
    <row r="501" spans="1:3" x14ac:dyDescent="0.2">
      <c r="A501" s="402"/>
      <c r="B501" s="402"/>
      <c r="C501" s="402"/>
    </row>
    <row r="502" spans="1:3" x14ac:dyDescent="0.2">
      <c r="A502" s="402"/>
      <c r="B502" s="402"/>
      <c r="C502" s="402"/>
    </row>
    <row r="503" spans="1:3" x14ac:dyDescent="0.2">
      <c r="A503" s="402"/>
      <c r="B503" s="402"/>
      <c r="C503" s="402"/>
    </row>
    <row r="504" spans="1:3" x14ac:dyDescent="0.2">
      <c r="A504" s="402"/>
      <c r="B504" s="402"/>
      <c r="C504" s="402"/>
    </row>
    <row r="505" spans="1:3" x14ac:dyDescent="0.2">
      <c r="A505" s="402"/>
      <c r="B505" s="402"/>
      <c r="C505" s="402"/>
    </row>
    <row r="506" spans="1:3" x14ac:dyDescent="0.2">
      <c r="A506" s="402"/>
      <c r="B506" s="402"/>
      <c r="C506" s="402"/>
    </row>
    <row r="507" spans="1:3" x14ac:dyDescent="0.2">
      <c r="A507" s="402"/>
      <c r="B507" s="402"/>
      <c r="C507" s="402"/>
    </row>
    <row r="508" spans="1:3" x14ac:dyDescent="0.2">
      <c r="A508" s="402"/>
      <c r="B508" s="402"/>
      <c r="C508" s="402"/>
    </row>
    <row r="509" spans="1:3" x14ac:dyDescent="0.2">
      <c r="A509" s="402"/>
      <c r="B509" s="402"/>
      <c r="C509" s="402"/>
    </row>
    <row r="510" spans="1:3" x14ac:dyDescent="0.2">
      <c r="A510" s="402"/>
      <c r="B510" s="402"/>
      <c r="C510" s="402"/>
    </row>
    <row r="511" spans="1:3" x14ac:dyDescent="0.2">
      <c r="A511" s="402"/>
      <c r="B511" s="402"/>
      <c r="C511" s="402"/>
    </row>
    <row r="512" spans="1:3" x14ac:dyDescent="0.2">
      <c r="A512" s="402"/>
      <c r="B512" s="402"/>
      <c r="C512" s="402"/>
    </row>
    <row r="513" spans="1:3" x14ac:dyDescent="0.2">
      <c r="A513" s="402"/>
      <c r="B513" s="402"/>
      <c r="C513" s="402"/>
    </row>
    <row r="514" spans="1:3" x14ac:dyDescent="0.2">
      <c r="A514" s="402"/>
      <c r="B514" s="402"/>
      <c r="C514" s="402"/>
    </row>
    <row r="515" spans="1:3" x14ac:dyDescent="0.2">
      <c r="A515" s="402"/>
      <c r="B515" s="402"/>
      <c r="C515" s="402"/>
    </row>
    <row r="516" spans="1:3" x14ac:dyDescent="0.2">
      <c r="A516" s="402"/>
      <c r="B516" s="402"/>
      <c r="C516" s="402"/>
    </row>
    <row r="517" spans="1:3" x14ac:dyDescent="0.2">
      <c r="A517" s="402"/>
      <c r="B517" s="402"/>
      <c r="C517" s="402"/>
    </row>
    <row r="518" spans="1:3" x14ac:dyDescent="0.2">
      <c r="A518" s="402"/>
      <c r="B518" s="402"/>
      <c r="C518" s="402"/>
    </row>
    <row r="519" spans="1:3" x14ac:dyDescent="0.2">
      <c r="A519" s="402"/>
      <c r="B519" s="402"/>
      <c r="C519" s="402"/>
    </row>
    <row r="520" spans="1:3" x14ac:dyDescent="0.2">
      <c r="A520" s="402"/>
      <c r="B520" s="402"/>
      <c r="C520" s="402"/>
    </row>
    <row r="521" spans="1:3" x14ac:dyDescent="0.2">
      <c r="A521" s="402"/>
      <c r="B521" s="402"/>
      <c r="C521" s="402"/>
    </row>
    <row r="522" spans="1:3" x14ac:dyDescent="0.2">
      <c r="A522" s="402"/>
      <c r="B522" s="402"/>
      <c r="C522" s="402"/>
    </row>
    <row r="523" spans="1:3" x14ac:dyDescent="0.2">
      <c r="A523" s="402"/>
      <c r="B523" s="402"/>
      <c r="C523" s="402"/>
    </row>
    <row r="524" spans="1:3" x14ac:dyDescent="0.2">
      <c r="A524" s="402"/>
      <c r="B524" s="402"/>
      <c r="C524" s="402"/>
    </row>
    <row r="525" spans="1:3" x14ac:dyDescent="0.2">
      <c r="A525" s="402"/>
      <c r="B525" s="402"/>
      <c r="C525" s="402"/>
    </row>
    <row r="526" spans="1:3" x14ac:dyDescent="0.2">
      <c r="A526" s="402"/>
      <c r="B526" s="402"/>
      <c r="C526" s="402"/>
    </row>
    <row r="527" spans="1:3" x14ac:dyDescent="0.2">
      <c r="A527" s="402"/>
      <c r="B527" s="402"/>
      <c r="C527" s="402"/>
    </row>
    <row r="528" spans="1:3" x14ac:dyDescent="0.2">
      <c r="A528" s="402"/>
      <c r="B528" s="402"/>
      <c r="C528" s="402"/>
    </row>
    <row r="529" spans="1:3" x14ac:dyDescent="0.2">
      <c r="A529" s="402"/>
      <c r="B529" s="402"/>
      <c r="C529" s="402"/>
    </row>
    <row r="530" spans="1:3" x14ac:dyDescent="0.2">
      <c r="A530" s="402"/>
      <c r="B530" s="402"/>
      <c r="C530" s="402"/>
    </row>
    <row r="531" spans="1:3" x14ac:dyDescent="0.2">
      <c r="A531" s="402"/>
      <c r="B531" s="402"/>
      <c r="C531" s="402"/>
    </row>
    <row r="532" spans="1:3" x14ac:dyDescent="0.2">
      <c r="A532" s="402"/>
      <c r="B532" s="402"/>
      <c r="C532" s="402"/>
    </row>
    <row r="533" spans="1:3" x14ac:dyDescent="0.2">
      <c r="A533" s="402"/>
      <c r="B533" s="402"/>
      <c r="C533" s="402"/>
    </row>
    <row r="534" spans="1:3" x14ac:dyDescent="0.2">
      <c r="A534" s="402"/>
      <c r="B534" s="402"/>
      <c r="C534" s="402"/>
    </row>
    <row r="535" spans="1:3" x14ac:dyDescent="0.2">
      <c r="A535" s="402"/>
      <c r="B535" s="402"/>
      <c r="C535" s="402"/>
    </row>
    <row r="536" spans="1:3" x14ac:dyDescent="0.2">
      <c r="A536" s="402"/>
      <c r="B536" s="402"/>
      <c r="C536" s="402"/>
    </row>
    <row r="537" spans="1:3" x14ac:dyDescent="0.2">
      <c r="A537" s="402"/>
      <c r="B537" s="402"/>
      <c r="C537" s="402"/>
    </row>
    <row r="538" spans="1:3" x14ac:dyDescent="0.2">
      <c r="A538" s="402"/>
      <c r="B538" s="402"/>
      <c r="C538" s="402"/>
    </row>
    <row r="539" spans="1:3" x14ac:dyDescent="0.2">
      <c r="A539" s="402"/>
      <c r="B539" s="402"/>
      <c r="C539" s="402"/>
    </row>
    <row r="540" spans="1:3" x14ac:dyDescent="0.2">
      <c r="A540" s="402"/>
      <c r="B540" s="402"/>
      <c r="C540" s="402"/>
    </row>
    <row r="541" spans="1:3" x14ac:dyDescent="0.2">
      <c r="A541" s="402"/>
      <c r="B541" s="402"/>
      <c r="C541" s="402"/>
    </row>
    <row r="542" spans="1:3" x14ac:dyDescent="0.2">
      <c r="A542" s="402"/>
      <c r="B542" s="402"/>
      <c r="C542" s="402"/>
    </row>
    <row r="543" spans="1:3" x14ac:dyDescent="0.2">
      <c r="A543" s="402"/>
      <c r="B543" s="402"/>
      <c r="C543" s="402"/>
    </row>
    <row r="544" spans="1:3" x14ac:dyDescent="0.2">
      <c r="A544" s="402"/>
      <c r="B544" s="402"/>
      <c r="C544" s="402"/>
    </row>
    <row r="545" spans="1:3" x14ac:dyDescent="0.2">
      <c r="A545" s="402"/>
      <c r="B545" s="402"/>
      <c r="C545" s="402"/>
    </row>
    <row r="546" spans="1:3" x14ac:dyDescent="0.2">
      <c r="A546" s="402"/>
      <c r="B546" s="402"/>
      <c r="C546" s="402"/>
    </row>
    <row r="547" spans="1:3" x14ac:dyDescent="0.2">
      <c r="A547" s="402"/>
      <c r="B547" s="402"/>
      <c r="C547" s="402"/>
    </row>
    <row r="548" spans="1:3" x14ac:dyDescent="0.2">
      <c r="A548" s="402"/>
      <c r="B548" s="402"/>
      <c r="C548" s="402"/>
    </row>
    <row r="549" spans="1:3" x14ac:dyDescent="0.2">
      <c r="A549" s="402"/>
      <c r="B549" s="402"/>
      <c r="C549" s="402"/>
    </row>
    <row r="550" spans="1:3" x14ac:dyDescent="0.2">
      <c r="A550" s="402"/>
      <c r="B550" s="402"/>
      <c r="C550" s="402"/>
    </row>
    <row r="551" spans="1:3" x14ac:dyDescent="0.2">
      <c r="A551" s="402"/>
      <c r="B551" s="402"/>
      <c r="C551" s="402"/>
    </row>
    <row r="552" spans="1:3" x14ac:dyDescent="0.2">
      <c r="A552" s="402"/>
      <c r="B552" s="402"/>
      <c r="C552" s="402"/>
    </row>
    <row r="553" spans="1:3" x14ac:dyDescent="0.2">
      <c r="A553" s="402"/>
      <c r="B553" s="402"/>
      <c r="C553" s="402"/>
    </row>
    <row r="554" spans="1:3" x14ac:dyDescent="0.2">
      <c r="A554" s="402"/>
      <c r="B554" s="402"/>
      <c r="C554" s="402"/>
    </row>
    <row r="555" spans="1:3" x14ac:dyDescent="0.2">
      <c r="A555" s="402"/>
      <c r="B555" s="402"/>
      <c r="C555" s="402"/>
    </row>
    <row r="556" spans="1:3" x14ac:dyDescent="0.2">
      <c r="A556" s="402"/>
      <c r="B556" s="402"/>
      <c r="C556" s="402"/>
    </row>
    <row r="557" spans="1:3" x14ac:dyDescent="0.2">
      <c r="A557" s="402"/>
      <c r="B557" s="402"/>
      <c r="C557" s="402"/>
    </row>
    <row r="558" spans="1:3" x14ac:dyDescent="0.2">
      <c r="A558" s="402"/>
      <c r="B558" s="402"/>
      <c r="C558" s="402"/>
    </row>
    <row r="559" spans="1:3" x14ac:dyDescent="0.2">
      <c r="A559" s="402"/>
      <c r="B559" s="402"/>
      <c r="C559" s="402"/>
    </row>
    <row r="560" spans="1:3" x14ac:dyDescent="0.2">
      <c r="A560" s="402"/>
      <c r="B560" s="402"/>
      <c r="C560" s="402"/>
    </row>
    <row r="561" spans="1:3" x14ac:dyDescent="0.2">
      <c r="A561" s="402"/>
      <c r="B561" s="402"/>
      <c r="C561" s="402"/>
    </row>
    <row r="562" spans="1:3" x14ac:dyDescent="0.2">
      <c r="A562" s="402"/>
      <c r="B562" s="402"/>
      <c r="C562" s="402"/>
    </row>
    <row r="563" spans="1:3" x14ac:dyDescent="0.2">
      <c r="A563" s="402"/>
      <c r="B563" s="402"/>
      <c r="C563" s="402"/>
    </row>
    <row r="564" spans="1:3" x14ac:dyDescent="0.2">
      <c r="A564" s="402"/>
      <c r="B564" s="402"/>
      <c r="C564" s="402"/>
    </row>
    <row r="565" spans="1:3" x14ac:dyDescent="0.2">
      <c r="A565" s="402"/>
      <c r="B565" s="402"/>
      <c r="C565" s="402"/>
    </row>
    <row r="566" spans="1:3" x14ac:dyDescent="0.2">
      <c r="A566" s="402"/>
      <c r="B566" s="402"/>
      <c r="C566" s="402"/>
    </row>
    <row r="567" spans="1:3" x14ac:dyDescent="0.2">
      <c r="A567" s="402"/>
      <c r="B567" s="402"/>
      <c r="C567" s="402"/>
    </row>
    <row r="568" spans="1:3" x14ac:dyDescent="0.2">
      <c r="A568" s="402"/>
      <c r="B568" s="402"/>
      <c r="C568" s="402"/>
    </row>
    <row r="569" spans="1:3" x14ac:dyDescent="0.2">
      <c r="A569" s="402"/>
      <c r="B569" s="402"/>
      <c r="C569" s="402"/>
    </row>
    <row r="570" spans="1:3" x14ac:dyDescent="0.2">
      <c r="A570" s="402"/>
      <c r="B570" s="402"/>
      <c r="C570" s="402"/>
    </row>
    <row r="571" spans="1:3" x14ac:dyDescent="0.2">
      <c r="A571" s="402"/>
      <c r="B571" s="402"/>
      <c r="C571" s="402"/>
    </row>
    <row r="572" spans="1:3" x14ac:dyDescent="0.2">
      <c r="A572" s="402"/>
      <c r="B572" s="402"/>
      <c r="C572" s="402"/>
    </row>
    <row r="573" spans="1:3" x14ac:dyDescent="0.2">
      <c r="A573" s="402"/>
      <c r="B573" s="402"/>
      <c r="C573" s="402"/>
    </row>
    <row r="574" spans="1:3" x14ac:dyDescent="0.2">
      <c r="A574" s="402"/>
      <c r="B574" s="402"/>
      <c r="C574" s="402"/>
    </row>
    <row r="575" spans="1:3" x14ac:dyDescent="0.2">
      <c r="A575" s="402"/>
      <c r="B575" s="402"/>
      <c r="C575" s="402"/>
    </row>
    <row r="576" spans="1:3" x14ac:dyDescent="0.2">
      <c r="A576" s="402"/>
      <c r="B576" s="402"/>
      <c r="C576" s="402"/>
    </row>
    <row r="577" spans="1:3" x14ac:dyDescent="0.2">
      <c r="A577" s="402"/>
      <c r="B577" s="402"/>
      <c r="C577" s="402"/>
    </row>
    <row r="578" spans="1:3" x14ac:dyDescent="0.2">
      <c r="A578" s="402"/>
      <c r="B578" s="402"/>
      <c r="C578" s="402"/>
    </row>
    <row r="579" spans="1:3" x14ac:dyDescent="0.2">
      <c r="A579" s="402"/>
      <c r="B579" s="402"/>
      <c r="C579" s="402"/>
    </row>
    <row r="580" spans="1:3" x14ac:dyDescent="0.2">
      <c r="A580" s="402"/>
      <c r="B580" s="402"/>
      <c r="C580" s="402"/>
    </row>
    <row r="581" spans="1:3" x14ac:dyDescent="0.2">
      <c r="A581" s="402"/>
      <c r="B581" s="402"/>
      <c r="C581" s="402"/>
    </row>
    <row r="582" spans="1:3" x14ac:dyDescent="0.2">
      <c r="A582" s="402"/>
      <c r="B582" s="402"/>
      <c r="C582" s="402"/>
    </row>
    <row r="583" spans="1:3" x14ac:dyDescent="0.2">
      <c r="A583" s="402"/>
      <c r="B583" s="402"/>
      <c r="C583" s="402"/>
    </row>
    <row r="584" spans="1:3" x14ac:dyDescent="0.2">
      <c r="A584" s="402"/>
      <c r="B584" s="402"/>
      <c r="C584" s="402"/>
    </row>
    <row r="585" spans="1:3" x14ac:dyDescent="0.2">
      <c r="A585" s="402"/>
      <c r="B585" s="402"/>
      <c r="C585" s="402"/>
    </row>
    <row r="586" spans="1:3" x14ac:dyDescent="0.2">
      <c r="A586" s="402"/>
      <c r="B586" s="402"/>
      <c r="C586" s="402"/>
    </row>
    <row r="587" spans="1:3" x14ac:dyDescent="0.2">
      <c r="A587" s="402"/>
      <c r="B587" s="402"/>
      <c r="C587" s="402"/>
    </row>
    <row r="588" spans="1:3" x14ac:dyDescent="0.2">
      <c r="A588" s="402"/>
      <c r="B588" s="402"/>
      <c r="C588" s="402"/>
    </row>
    <row r="589" spans="1:3" x14ac:dyDescent="0.2">
      <c r="A589" s="402"/>
      <c r="B589" s="402"/>
      <c r="C589" s="402"/>
    </row>
    <row r="590" spans="1:3" x14ac:dyDescent="0.2">
      <c r="A590" s="402"/>
      <c r="B590" s="402"/>
      <c r="C590" s="402"/>
    </row>
    <row r="591" spans="1:3" x14ac:dyDescent="0.2">
      <c r="A591" s="402"/>
      <c r="B591" s="402"/>
      <c r="C591" s="402"/>
    </row>
    <row r="592" spans="1:3" x14ac:dyDescent="0.2">
      <c r="A592" s="402"/>
      <c r="B592" s="402"/>
      <c r="C592" s="402"/>
    </row>
    <row r="593" spans="1:3" x14ac:dyDescent="0.2">
      <c r="A593" s="402"/>
      <c r="B593" s="402"/>
      <c r="C593" s="402"/>
    </row>
    <row r="594" spans="1:3" x14ac:dyDescent="0.2">
      <c r="A594" s="402"/>
      <c r="B594" s="402"/>
      <c r="C594" s="402"/>
    </row>
    <row r="595" spans="1:3" x14ac:dyDescent="0.2">
      <c r="A595" s="402"/>
      <c r="B595" s="402"/>
      <c r="C595" s="402"/>
    </row>
    <row r="596" spans="1:3" x14ac:dyDescent="0.2">
      <c r="A596" s="402"/>
      <c r="B596" s="402"/>
      <c r="C596" s="402"/>
    </row>
    <row r="597" spans="1:3" x14ac:dyDescent="0.2">
      <c r="A597" s="402"/>
      <c r="B597" s="402"/>
      <c r="C597" s="402"/>
    </row>
    <row r="598" spans="1:3" x14ac:dyDescent="0.2">
      <c r="A598" s="402"/>
      <c r="B598" s="402"/>
      <c r="C598" s="402"/>
    </row>
    <row r="599" spans="1:3" x14ac:dyDescent="0.2">
      <c r="A599" s="402"/>
      <c r="B599" s="402"/>
      <c r="C599" s="402"/>
    </row>
    <row r="600" spans="1:3" x14ac:dyDescent="0.2">
      <c r="A600" s="402"/>
      <c r="B600" s="402"/>
      <c r="C600" s="402"/>
    </row>
    <row r="601" spans="1:3" x14ac:dyDescent="0.2">
      <c r="A601" s="402"/>
      <c r="B601" s="402"/>
      <c r="C601" s="402"/>
    </row>
    <row r="602" spans="1:3" x14ac:dyDescent="0.2">
      <c r="A602" s="402"/>
      <c r="B602" s="402"/>
      <c r="C602" s="402"/>
    </row>
    <row r="603" spans="1:3" x14ac:dyDescent="0.2">
      <c r="A603" s="402"/>
      <c r="B603" s="402"/>
      <c r="C603" s="402"/>
    </row>
    <row r="604" spans="1:3" x14ac:dyDescent="0.2">
      <c r="A604" s="402"/>
      <c r="B604" s="402"/>
      <c r="C604" s="402"/>
    </row>
    <row r="605" spans="1:3" x14ac:dyDescent="0.2">
      <c r="A605" s="402"/>
      <c r="B605" s="402"/>
      <c r="C605" s="402"/>
    </row>
    <row r="606" spans="1:3" x14ac:dyDescent="0.2">
      <c r="A606" s="402"/>
      <c r="B606" s="402"/>
      <c r="C606" s="402"/>
    </row>
    <row r="607" spans="1:3" x14ac:dyDescent="0.2">
      <c r="A607" s="402"/>
      <c r="B607" s="402"/>
      <c r="C607" s="402"/>
    </row>
    <row r="608" spans="1:3" x14ac:dyDescent="0.2">
      <c r="A608" s="402"/>
      <c r="B608" s="402"/>
      <c r="C608" s="402"/>
    </row>
    <row r="609" spans="1:3" x14ac:dyDescent="0.2">
      <c r="A609" s="402"/>
      <c r="B609" s="402"/>
      <c r="C609" s="402"/>
    </row>
    <row r="610" spans="1:3" x14ac:dyDescent="0.2">
      <c r="A610" s="402"/>
      <c r="B610" s="402"/>
      <c r="C610" s="402"/>
    </row>
    <row r="611" spans="1:3" x14ac:dyDescent="0.2">
      <c r="A611" s="402"/>
      <c r="B611" s="402"/>
      <c r="C611" s="402"/>
    </row>
    <row r="612" spans="1:3" x14ac:dyDescent="0.2">
      <c r="A612" s="402"/>
      <c r="B612" s="402"/>
      <c r="C612" s="402"/>
    </row>
    <row r="613" spans="1:3" x14ac:dyDescent="0.2">
      <c r="A613" s="402"/>
      <c r="B613" s="402"/>
      <c r="C613" s="402"/>
    </row>
    <row r="614" spans="1:3" x14ac:dyDescent="0.2">
      <c r="A614" s="402"/>
      <c r="B614" s="402"/>
      <c r="C614" s="402"/>
    </row>
    <row r="615" spans="1:3" x14ac:dyDescent="0.2">
      <c r="A615" s="402"/>
      <c r="B615" s="402"/>
      <c r="C615" s="402"/>
    </row>
    <row r="616" spans="1:3" x14ac:dyDescent="0.2">
      <c r="A616" s="402"/>
      <c r="B616" s="402"/>
      <c r="C616" s="402"/>
    </row>
    <row r="617" spans="1:3" x14ac:dyDescent="0.2">
      <c r="A617" s="402"/>
      <c r="B617" s="402"/>
      <c r="C617" s="402"/>
    </row>
    <row r="618" spans="1:3" x14ac:dyDescent="0.2">
      <c r="A618" s="402"/>
      <c r="B618" s="402"/>
      <c r="C618" s="402"/>
    </row>
    <row r="619" spans="1:3" x14ac:dyDescent="0.2">
      <c r="A619" s="402"/>
      <c r="B619" s="402"/>
      <c r="C619" s="402"/>
    </row>
    <row r="620" spans="1:3" x14ac:dyDescent="0.2">
      <c r="A620" s="402"/>
      <c r="B620" s="402"/>
      <c r="C620" s="402"/>
    </row>
    <row r="621" spans="1:3" x14ac:dyDescent="0.2">
      <c r="A621" s="402"/>
      <c r="B621" s="402"/>
      <c r="C621" s="402"/>
    </row>
    <row r="622" spans="1:3" x14ac:dyDescent="0.2">
      <c r="A622" s="402"/>
      <c r="B622" s="402"/>
      <c r="C622" s="402"/>
    </row>
    <row r="623" spans="1:3" x14ac:dyDescent="0.2">
      <c r="A623" s="402"/>
      <c r="B623" s="402"/>
      <c r="C623" s="402"/>
    </row>
    <row r="624" spans="1:3" x14ac:dyDescent="0.2">
      <c r="A624" s="402"/>
      <c r="B624" s="402"/>
      <c r="C624" s="402"/>
    </row>
    <row r="625" spans="1:3" x14ac:dyDescent="0.2">
      <c r="A625" s="402"/>
      <c r="B625" s="402"/>
      <c r="C625" s="402"/>
    </row>
    <row r="626" spans="1:3" x14ac:dyDescent="0.2">
      <c r="A626" s="402"/>
      <c r="B626" s="402"/>
      <c r="C626" s="402"/>
    </row>
    <row r="627" spans="1:3" x14ac:dyDescent="0.2">
      <c r="A627" s="402"/>
      <c r="B627" s="402"/>
      <c r="C627" s="402"/>
    </row>
    <row r="628" spans="1:3" x14ac:dyDescent="0.2">
      <c r="A628" s="402"/>
      <c r="B628" s="402"/>
      <c r="C628" s="402"/>
    </row>
    <row r="629" spans="1:3" x14ac:dyDescent="0.2">
      <c r="A629" s="402"/>
      <c r="B629" s="402"/>
      <c r="C629" s="402"/>
    </row>
    <row r="630" spans="1:3" x14ac:dyDescent="0.2">
      <c r="A630" s="402"/>
      <c r="B630" s="402"/>
      <c r="C630" s="402"/>
    </row>
    <row r="631" spans="1:3" x14ac:dyDescent="0.2">
      <c r="A631" s="402"/>
      <c r="B631" s="402"/>
      <c r="C631" s="402"/>
    </row>
    <row r="632" spans="1:3" x14ac:dyDescent="0.2">
      <c r="A632" s="402"/>
      <c r="B632" s="402"/>
      <c r="C632" s="402"/>
    </row>
    <row r="633" spans="1:3" x14ac:dyDescent="0.2">
      <c r="A633" s="402"/>
      <c r="B633" s="402"/>
      <c r="C633" s="402"/>
    </row>
    <row r="634" spans="1:3" x14ac:dyDescent="0.2">
      <c r="A634" s="402"/>
      <c r="B634" s="402"/>
      <c r="C634" s="402"/>
    </row>
    <row r="635" spans="1:3" x14ac:dyDescent="0.2">
      <c r="A635" s="402"/>
      <c r="B635" s="402"/>
      <c r="C635" s="402"/>
    </row>
    <row r="636" spans="1:3" x14ac:dyDescent="0.2">
      <c r="A636" s="402"/>
      <c r="B636" s="402"/>
      <c r="C636" s="402"/>
    </row>
    <row r="637" spans="1:3" x14ac:dyDescent="0.2">
      <c r="A637" s="402"/>
      <c r="B637" s="402"/>
      <c r="C637" s="402"/>
    </row>
    <row r="638" spans="1:3" x14ac:dyDescent="0.2">
      <c r="A638" s="402"/>
      <c r="B638" s="402"/>
      <c r="C638" s="402"/>
    </row>
    <row r="639" spans="1:3" x14ac:dyDescent="0.2">
      <c r="A639" s="402"/>
      <c r="B639" s="402"/>
      <c r="C639" s="402"/>
    </row>
    <row r="640" spans="1:3" x14ac:dyDescent="0.2">
      <c r="A640" s="402"/>
      <c r="B640" s="402"/>
      <c r="C640" s="402"/>
    </row>
    <row r="641" spans="1:3" x14ac:dyDescent="0.2">
      <c r="A641" s="402"/>
      <c r="B641" s="402"/>
      <c r="C641" s="402"/>
    </row>
    <row r="642" spans="1:3" x14ac:dyDescent="0.2">
      <c r="A642" s="402"/>
      <c r="B642" s="402"/>
      <c r="C642" s="402"/>
    </row>
    <row r="643" spans="1:3" x14ac:dyDescent="0.2">
      <c r="A643" s="402"/>
      <c r="B643" s="402"/>
      <c r="C643" s="402"/>
    </row>
    <row r="644" spans="1:3" x14ac:dyDescent="0.2">
      <c r="A644" s="402"/>
      <c r="B644" s="402"/>
      <c r="C644" s="402"/>
    </row>
    <row r="645" spans="1:3" x14ac:dyDescent="0.2">
      <c r="A645" s="402"/>
      <c r="B645" s="402"/>
      <c r="C645" s="402"/>
    </row>
    <row r="646" spans="1:3" x14ac:dyDescent="0.2">
      <c r="A646" s="402"/>
      <c r="B646" s="402"/>
      <c r="C646" s="402"/>
    </row>
    <row r="647" spans="1:3" x14ac:dyDescent="0.2">
      <c r="A647" s="402"/>
      <c r="B647" s="402"/>
      <c r="C647" s="402"/>
    </row>
    <row r="648" spans="1:3" x14ac:dyDescent="0.2">
      <c r="A648" s="402"/>
      <c r="B648" s="402"/>
      <c r="C648" s="402"/>
    </row>
    <row r="649" spans="1:3" x14ac:dyDescent="0.2">
      <c r="A649" s="402"/>
      <c r="B649" s="402"/>
      <c r="C649" s="402"/>
    </row>
    <row r="650" spans="1:3" x14ac:dyDescent="0.2">
      <c r="A650" s="402"/>
      <c r="B650" s="402"/>
      <c r="C650" s="402"/>
    </row>
    <row r="651" spans="1:3" x14ac:dyDescent="0.2">
      <c r="A651" s="402"/>
      <c r="B651" s="402"/>
      <c r="C651" s="402"/>
    </row>
    <row r="652" spans="1:3" x14ac:dyDescent="0.2">
      <c r="A652" s="402"/>
      <c r="B652" s="402"/>
      <c r="C652" s="402"/>
    </row>
    <row r="653" spans="1:3" x14ac:dyDescent="0.2">
      <c r="A653" s="402"/>
      <c r="B653" s="402"/>
      <c r="C653" s="402"/>
    </row>
    <row r="654" spans="1:3" x14ac:dyDescent="0.2">
      <c r="A654" s="402"/>
      <c r="B654" s="402"/>
      <c r="C654" s="402"/>
    </row>
    <row r="655" spans="1:3" x14ac:dyDescent="0.2">
      <c r="A655" s="402"/>
      <c r="B655" s="402"/>
      <c r="C655" s="402"/>
    </row>
    <row r="656" spans="1:3" x14ac:dyDescent="0.2">
      <c r="A656" s="402"/>
      <c r="B656" s="402"/>
      <c r="C656" s="402"/>
    </row>
    <row r="657" spans="1:3" x14ac:dyDescent="0.2">
      <c r="A657" s="402"/>
      <c r="B657" s="402"/>
      <c r="C657" s="402"/>
    </row>
    <row r="658" spans="1:3" x14ac:dyDescent="0.2">
      <c r="A658" s="402"/>
      <c r="B658" s="402"/>
      <c r="C658" s="402"/>
    </row>
    <row r="659" spans="1:3" x14ac:dyDescent="0.2">
      <c r="A659" s="402"/>
      <c r="B659" s="402"/>
      <c r="C659" s="402"/>
    </row>
    <row r="660" spans="1:3" x14ac:dyDescent="0.2">
      <c r="A660" s="402"/>
      <c r="B660" s="402"/>
      <c r="C660" s="402"/>
    </row>
    <row r="661" spans="1:3" x14ac:dyDescent="0.2">
      <c r="A661" s="402"/>
      <c r="B661" s="402"/>
      <c r="C661" s="402"/>
    </row>
    <row r="662" spans="1:3" x14ac:dyDescent="0.2">
      <c r="A662" s="402"/>
      <c r="B662" s="402"/>
      <c r="C662" s="402"/>
    </row>
    <row r="663" spans="1:3" x14ac:dyDescent="0.2">
      <c r="A663" s="402"/>
      <c r="B663" s="402"/>
      <c r="C663" s="402"/>
    </row>
    <row r="664" spans="1:3" x14ac:dyDescent="0.2">
      <c r="A664" s="402"/>
      <c r="B664" s="402"/>
      <c r="C664" s="402"/>
    </row>
    <row r="665" spans="1:3" x14ac:dyDescent="0.2">
      <c r="A665" s="402"/>
      <c r="B665" s="402"/>
      <c r="C665" s="402"/>
    </row>
    <row r="666" spans="1:3" x14ac:dyDescent="0.2">
      <c r="A666" s="402"/>
      <c r="B666" s="402"/>
      <c r="C666" s="402"/>
    </row>
    <row r="667" spans="1:3" x14ac:dyDescent="0.2">
      <c r="A667" s="402"/>
      <c r="B667" s="402"/>
      <c r="C667" s="402"/>
    </row>
    <row r="668" spans="1:3" x14ac:dyDescent="0.2">
      <c r="A668" s="402"/>
      <c r="B668" s="402"/>
      <c r="C668" s="402"/>
    </row>
    <row r="669" spans="1:3" x14ac:dyDescent="0.2">
      <c r="A669" s="402"/>
      <c r="B669" s="402"/>
      <c r="C669" s="402"/>
    </row>
    <row r="670" spans="1:3" x14ac:dyDescent="0.2">
      <c r="A670" s="402"/>
      <c r="B670" s="402"/>
      <c r="C670" s="402"/>
    </row>
    <row r="671" spans="1:3" x14ac:dyDescent="0.2">
      <c r="A671" s="402"/>
      <c r="B671" s="402"/>
      <c r="C671" s="402"/>
    </row>
    <row r="672" spans="1:3" x14ac:dyDescent="0.2">
      <c r="A672" s="402"/>
      <c r="B672" s="402"/>
      <c r="C672" s="402"/>
    </row>
    <row r="673" spans="1:3" x14ac:dyDescent="0.2">
      <c r="A673" s="402"/>
      <c r="B673" s="402"/>
      <c r="C673" s="402"/>
    </row>
    <row r="674" spans="1:3" x14ac:dyDescent="0.2">
      <c r="A674" s="402"/>
      <c r="B674" s="402"/>
      <c r="C674" s="402"/>
    </row>
    <row r="675" spans="1:3" x14ac:dyDescent="0.2">
      <c r="A675" s="402"/>
      <c r="B675" s="402"/>
      <c r="C675" s="402"/>
    </row>
    <row r="676" spans="1:3" x14ac:dyDescent="0.2">
      <c r="A676" s="402"/>
      <c r="B676" s="402"/>
      <c r="C676" s="402"/>
    </row>
    <row r="677" spans="1:3" x14ac:dyDescent="0.2">
      <c r="A677" s="402"/>
      <c r="B677" s="402"/>
      <c r="C677" s="402"/>
    </row>
    <row r="678" spans="1:3" x14ac:dyDescent="0.2">
      <c r="A678" s="402"/>
      <c r="B678" s="402"/>
      <c r="C678" s="402"/>
    </row>
    <row r="679" spans="1:3" x14ac:dyDescent="0.2">
      <c r="A679" s="402"/>
      <c r="B679" s="402"/>
      <c r="C679" s="402"/>
    </row>
    <row r="680" spans="1:3" x14ac:dyDescent="0.2">
      <c r="A680" s="402"/>
      <c r="B680" s="402"/>
      <c r="C680" s="402"/>
    </row>
    <row r="681" spans="1:3" x14ac:dyDescent="0.2">
      <c r="A681" s="402"/>
      <c r="B681" s="402"/>
      <c r="C681" s="402"/>
    </row>
    <row r="682" spans="1:3" x14ac:dyDescent="0.2">
      <c r="A682" s="402"/>
      <c r="B682" s="402"/>
      <c r="C682" s="402"/>
    </row>
    <row r="683" spans="1:3" x14ac:dyDescent="0.2">
      <c r="A683" s="402"/>
      <c r="B683" s="402"/>
      <c r="C683" s="402"/>
    </row>
    <row r="684" spans="1:3" x14ac:dyDescent="0.2">
      <c r="A684" s="402"/>
      <c r="B684" s="402"/>
      <c r="C684" s="402"/>
    </row>
    <row r="685" spans="1:3" x14ac:dyDescent="0.2">
      <c r="A685" s="402"/>
      <c r="B685" s="402"/>
      <c r="C685" s="402"/>
    </row>
    <row r="686" spans="1:3" x14ac:dyDescent="0.2">
      <c r="A686" s="402"/>
      <c r="B686" s="402"/>
      <c r="C686" s="402"/>
    </row>
    <row r="687" spans="1:3" x14ac:dyDescent="0.2">
      <c r="A687" s="402"/>
      <c r="B687" s="402"/>
      <c r="C687" s="402"/>
    </row>
    <row r="688" spans="1:3" x14ac:dyDescent="0.2">
      <c r="A688" s="402"/>
      <c r="B688" s="402"/>
      <c r="C688" s="402"/>
    </row>
    <row r="689" spans="1:3" x14ac:dyDescent="0.2">
      <c r="A689" s="402"/>
      <c r="B689" s="402"/>
      <c r="C689" s="402"/>
    </row>
    <row r="690" spans="1:3" x14ac:dyDescent="0.2">
      <c r="A690" s="402"/>
      <c r="B690" s="402"/>
      <c r="C690" s="402"/>
    </row>
    <row r="691" spans="1:3" x14ac:dyDescent="0.2">
      <c r="A691" s="402"/>
      <c r="B691" s="402"/>
      <c r="C691" s="402"/>
    </row>
    <row r="692" spans="1:3" x14ac:dyDescent="0.2">
      <c r="A692" s="402"/>
      <c r="B692" s="402"/>
      <c r="C692" s="402"/>
    </row>
    <row r="693" spans="1:3" x14ac:dyDescent="0.2">
      <c r="A693" s="402"/>
      <c r="B693" s="402"/>
      <c r="C693" s="402"/>
    </row>
    <row r="694" spans="1:3" x14ac:dyDescent="0.2">
      <c r="A694" s="402"/>
      <c r="B694" s="402"/>
      <c r="C694" s="402"/>
    </row>
    <row r="695" spans="1:3" x14ac:dyDescent="0.2">
      <c r="A695" s="402"/>
      <c r="B695" s="402"/>
      <c r="C695" s="402"/>
    </row>
    <row r="696" spans="1:3" x14ac:dyDescent="0.2">
      <c r="A696" s="402"/>
      <c r="B696" s="402"/>
      <c r="C696" s="402"/>
    </row>
    <row r="697" spans="1:3" x14ac:dyDescent="0.2">
      <c r="A697" s="402"/>
      <c r="B697" s="402"/>
      <c r="C697" s="402"/>
    </row>
    <row r="698" spans="1:3" x14ac:dyDescent="0.2">
      <c r="A698" s="402"/>
      <c r="B698" s="402"/>
      <c r="C698" s="402"/>
    </row>
    <row r="699" spans="1:3" x14ac:dyDescent="0.2">
      <c r="A699" s="402"/>
      <c r="B699" s="402"/>
      <c r="C699" s="402"/>
    </row>
    <row r="700" spans="1:3" x14ac:dyDescent="0.2">
      <c r="A700" s="402"/>
      <c r="B700" s="402"/>
      <c r="C700" s="402"/>
    </row>
    <row r="701" spans="1:3" x14ac:dyDescent="0.2">
      <c r="A701" s="402"/>
      <c r="B701" s="402"/>
      <c r="C701" s="402"/>
    </row>
    <row r="702" spans="1:3" x14ac:dyDescent="0.2">
      <c r="A702" s="402"/>
      <c r="B702" s="402"/>
      <c r="C702" s="402"/>
    </row>
    <row r="703" spans="1:3" x14ac:dyDescent="0.2">
      <c r="A703" s="402"/>
      <c r="B703" s="402"/>
      <c r="C703" s="402"/>
    </row>
    <row r="704" spans="1:3" x14ac:dyDescent="0.2">
      <c r="A704" s="402"/>
      <c r="B704" s="402"/>
      <c r="C704" s="402"/>
    </row>
    <row r="705" spans="1:3" x14ac:dyDescent="0.2">
      <c r="A705" s="402"/>
      <c r="B705" s="402"/>
      <c r="C705" s="402"/>
    </row>
    <row r="706" spans="1:3" x14ac:dyDescent="0.2">
      <c r="A706" s="402"/>
      <c r="B706" s="402"/>
      <c r="C706" s="402"/>
    </row>
    <row r="707" spans="1:3" x14ac:dyDescent="0.2">
      <c r="A707" s="402"/>
      <c r="B707" s="402"/>
      <c r="C707" s="402"/>
    </row>
    <row r="708" spans="1:3" x14ac:dyDescent="0.2">
      <c r="A708" s="402"/>
      <c r="B708" s="402"/>
      <c r="C708" s="402"/>
    </row>
    <row r="709" spans="1:3" x14ac:dyDescent="0.2">
      <c r="A709" s="402"/>
      <c r="B709" s="402"/>
      <c r="C709" s="402"/>
    </row>
    <row r="710" spans="1:3" x14ac:dyDescent="0.2">
      <c r="A710" s="402"/>
      <c r="B710" s="402"/>
      <c r="C710" s="402"/>
    </row>
    <row r="711" spans="1:3" x14ac:dyDescent="0.2">
      <c r="A711" s="402"/>
      <c r="B711" s="402"/>
      <c r="C711" s="402"/>
    </row>
    <row r="712" spans="1:3" x14ac:dyDescent="0.2">
      <c r="A712" s="402"/>
      <c r="B712" s="402"/>
      <c r="C712" s="402"/>
    </row>
    <row r="713" spans="1:3" x14ac:dyDescent="0.2">
      <c r="A713" s="402"/>
      <c r="B713" s="402"/>
      <c r="C713" s="402"/>
    </row>
    <row r="714" spans="1:3" x14ac:dyDescent="0.2">
      <c r="A714" s="402"/>
      <c r="B714" s="402"/>
      <c r="C714" s="402"/>
    </row>
    <row r="715" spans="1:3" x14ac:dyDescent="0.2">
      <c r="A715" s="402"/>
      <c r="B715" s="402"/>
      <c r="C715" s="402"/>
    </row>
    <row r="716" spans="1:3" x14ac:dyDescent="0.2">
      <c r="A716" s="402"/>
      <c r="B716" s="402"/>
      <c r="C716" s="402"/>
    </row>
    <row r="717" spans="1:3" x14ac:dyDescent="0.2">
      <c r="A717" s="402"/>
      <c r="B717" s="402"/>
      <c r="C717" s="402"/>
    </row>
    <row r="718" spans="1:3" x14ac:dyDescent="0.2">
      <c r="A718" s="402"/>
      <c r="B718" s="402"/>
      <c r="C718" s="402"/>
    </row>
    <row r="719" spans="1:3" x14ac:dyDescent="0.2">
      <c r="A719" s="402"/>
      <c r="B719" s="402"/>
      <c r="C719" s="402"/>
    </row>
    <row r="720" spans="1:3" x14ac:dyDescent="0.2">
      <c r="A720" s="402"/>
      <c r="B720" s="402"/>
      <c r="C720" s="402"/>
    </row>
    <row r="721" spans="1:3" x14ac:dyDescent="0.2">
      <c r="A721" s="402"/>
      <c r="B721" s="402"/>
      <c r="C721" s="402"/>
    </row>
    <row r="722" spans="1:3" x14ac:dyDescent="0.2">
      <c r="A722" s="402"/>
      <c r="B722" s="402"/>
      <c r="C722" s="402"/>
    </row>
    <row r="723" spans="1:3" x14ac:dyDescent="0.2">
      <c r="A723" s="402"/>
      <c r="B723" s="402"/>
      <c r="C723" s="402"/>
    </row>
    <row r="724" spans="1:3" x14ac:dyDescent="0.2">
      <c r="A724" s="402"/>
      <c r="B724" s="402"/>
      <c r="C724" s="402"/>
    </row>
    <row r="725" spans="1:3" x14ac:dyDescent="0.2">
      <c r="A725" s="402"/>
      <c r="B725" s="402"/>
      <c r="C725" s="402"/>
    </row>
    <row r="726" spans="1:3" x14ac:dyDescent="0.2">
      <c r="A726" s="402"/>
      <c r="B726" s="402"/>
      <c r="C726" s="402"/>
    </row>
    <row r="727" spans="1:3" x14ac:dyDescent="0.2">
      <c r="A727" s="402"/>
      <c r="B727" s="402"/>
      <c r="C727" s="402"/>
    </row>
    <row r="728" spans="1:3" x14ac:dyDescent="0.2">
      <c r="A728" s="402"/>
      <c r="B728" s="402"/>
      <c r="C728" s="402"/>
    </row>
    <row r="729" spans="1:3" x14ac:dyDescent="0.2">
      <c r="A729" s="402"/>
      <c r="B729" s="402"/>
      <c r="C729" s="402"/>
    </row>
    <row r="730" spans="1:3" x14ac:dyDescent="0.2">
      <c r="A730" s="402"/>
      <c r="B730" s="402"/>
      <c r="C730" s="402"/>
    </row>
    <row r="731" spans="1:3" x14ac:dyDescent="0.2">
      <c r="A731" s="402"/>
      <c r="B731" s="402"/>
      <c r="C731" s="402"/>
    </row>
    <row r="732" spans="1:3" x14ac:dyDescent="0.2">
      <c r="A732" s="402"/>
      <c r="B732" s="402"/>
      <c r="C732" s="402"/>
    </row>
    <row r="733" spans="1:3" x14ac:dyDescent="0.2">
      <c r="A733" s="402"/>
      <c r="B733" s="402"/>
      <c r="C733" s="402"/>
    </row>
    <row r="734" spans="1:3" x14ac:dyDescent="0.2">
      <c r="A734" s="402"/>
      <c r="B734" s="402"/>
      <c r="C734" s="402"/>
    </row>
    <row r="735" spans="1:3" x14ac:dyDescent="0.2">
      <c r="A735" s="402"/>
      <c r="B735" s="402"/>
      <c r="C735" s="402"/>
    </row>
    <row r="736" spans="1:3" x14ac:dyDescent="0.2">
      <c r="A736" s="402"/>
      <c r="B736" s="402"/>
      <c r="C736" s="402"/>
    </row>
    <row r="737" spans="1:3" x14ac:dyDescent="0.2">
      <c r="A737" s="402"/>
      <c r="B737" s="402"/>
      <c r="C737" s="402"/>
    </row>
    <row r="738" spans="1:3" x14ac:dyDescent="0.2">
      <c r="A738" s="402"/>
      <c r="B738" s="402"/>
      <c r="C738" s="402"/>
    </row>
    <row r="739" spans="1:3" x14ac:dyDescent="0.2">
      <c r="A739" s="402"/>
      <c r="B739" s="402"/>
      <c r="C739" s="402"/>
    </row>
    <row r="740" spans="1:3" x14ac:dyDescent="0.2">
      <c r="A740" s="402"/>
      <c r="B740" s="402"/>
      <c r="C740" s="402"/>
    </row>
    <row r="741" spans="1:3" x14ac:dyDescent="0.2">
      <c r="A741" s="402"/>
      <c r="B741" s="402"/>
      <c r="C741" s="402"/>
    </row>
    <row r="742" spans="1:3" x14ac:dyDescent="0.2">
      <c r="A742" s="402"/>
      <c r="B742" s="402"/>
      <c r="C742" s="402"/>
    </row>
    <row r="743" spans="1:3" x14ac:dyDescent="0.2">
      <c r="A743" s="402"/>
      <c r="B743" s="402"/>
      <c r="C743" s="402"/>
    </row>
    <row r="744" spans="1:3" x14ac:dyDescent="0.2">
      <c r="A744" s="402"/>
      <c r="B744" s="402"/>
      <c r="C744" s="402"/>
    </row>
    <row r="745" spans="1:3" x14ac:dyDescent="0.2">
      <c r="A745" s="402"/>
      <c r="B745" s="402"/>
      <c r="C745" s="402"/>
    </row>
    <row r="746" spans="1:3" x14ac:dyDescent="0.2">
      <c r="A746" s="402"/>
      <c r="B746" s="402"/>
      <c r="C746" s="402"/>
    </row>
    <row r="747" spans="1:3" x14ac:dyDescent="0.2">
      <c r="A747" s="402"/>
      <c r="B747" s="402"/>
      <c r="C747" s="402"/>
    </row>
    <row r="748" spans="1:3" x14ac:dyDescent="0.2">
      <c r="A748" s="402"/>
      <c r="B748" s="402"/>
      <c r="C748" s="402"/>
    </row>
    <row r="749" spans="1:3" x14ac:dyDescent="0.2">
      <c r="A749" s="402"/>
      <c r="B749" s="402"/>
      <c r="C749" s="402"/>
    </row>
    <row r="750" spans="1:3" x14ac:dyDescent="0.2">
      <c r="A750" s="402"/>
      <c r="B750" s="402"/>
      <c r="C750" s="402"/>
    </row>
    <row r="751" spans="1:3" x14ac:dyDescent="0.2">
      <c r="A751" s="402"/>
      <c r="B751" s="402"/>
      <c r="C751" s="402"/>
    </row>
    <row r="752" spans="1:3" x14ac:dyDescent="0.2">
      <c r="A752" s="402"/>
      <c r="B752" s="402"/>
      <c r="C752" s="402"/>
    </row>
    <row r="753" spans="1:3" x14ac:dyDescent="0.2">
      <c r="A753" s="402"/>
      <c r="B753" s="402"/>
      <c r="C753" s="402"/>
    </row>
    <row r="754" spans="1:3" x14ac:dyDescent="0.2">
      <c r="A754" s="402"/>
      <c r="B754" s="402"/>
      <c r="C754" s="402"/>
    </row>
    <row r="755" spans="1:3" x14ac:dyDescent="0.2">
      <c r="A755" s="402"/>
      <c r="B755" s="402"/>
      <c r="C755" s="402"/>
    </row>
    <row r="756" spans="1:3" x14ac:dyDescent="0.2">
      <c r="A756" s="402"/>
      <c r="B756" s="402"/>
      <c r="C756" s="402"/>
    </row>
    <row r="757" spans="1:3" x14ac:dyDescent="0.2">
      <c r="A757" s="402"/>
      <c r="B757" s="402"/>
      <c r="C757" s="402"/>
    </row>
    <row r="758" spans="1:3" x14ac:dyDescent="0.2">
      <c r="A758" s="402"/>
      <c r="B758" s="402"/>
      <c r="C758" s="402"/>
    </row>
    <row r="759" spans="1:3" x14ac:dyDescent="0.2">
      <c r="A759" s="402"/>
      <c r="B759" s="402"/>
      <c r="C759" s="402"/>
    </row>
    <row r="760" spans="1:3" x14ac:dyDescent="0.2">
      <c r="A760" s="402"/>
      <c r="B760" s="402"/>
      <c r="C760" s="402"/>
    </row>
    <row r="761" spans="1:3" x14ac:dyDescent="0.2">
      <c r="A761" s="402"/>
      <c r="B761" s="402"/>
      <c r="C761" s="402"/>
    </row>
    <row r="762" spans="1:3" x14ac:dyDescent="0.2">
      <c r="A762" s="402"/>
      <c r="B762" s="402"/>
      <c r="C762" s="402"/>
    </row>
    <row r="763" spans="1:3" x14ac:dyDescent="0.2">
      <c r="A763" s="402"/>
      <c r="B763" s="402"/>
      <c r="C763" s="402"/>
    </row>
    <row r="764" spans="1:3" x14ac:dyDescent="0.2">
      <c r="A764" s="402"/>
      <c r="B764" s="402"/>
      <c r="C764" s="402"/>
    </row>
    <row r="765" spans="1:3" x14ac:dyDescent="0.2">
      <c r="A765" s="402"/>
      <c r="B765" s="402"/>
      <c r="C765" s="402"/>
    </row>
    <row r="766" spans="1:3" x14ac:dyDescent="0.2">
      <c r="A766" s="402"/>
      <c r="B766" s="402"/>
      <c r="C766" s="402"/>
    </row>
    <row r="767" spans="1:3" x14ac:dyDescent="0.2">
      <c r="A767" s="402"/>
      <c r="B767" s="402"/>
      <c r="C767" s="402"/>
    </row>
    <row r="768" spans="1:3" x14ac:dyDescent="0.2">
      <c r="A768" s="402"/>
      <c r="B768" s="402"/>
      <c r="C768" s="402"/>
    </row>
    <row r="769" spans="1:3" x14ac:dyDescent="0.2">
      <c r="A769" s="402"/>
      <c r="B769" s="402"/>
      <c r="C769" s="402"/>
    </row>
    <row r="770" spans="1:3" x14ac:dyDescent="0.2">
      <c r="A770" s="402"/>
      <c r="B770" s="402"/>
      <c r="C770" s="402"/>
    </row>
    <row r="771" spans="1:3" x14ac:dyDescent="0.2">
      <c r="A771" s="402"/>
      <c r="B771" s="402"/>
      <c r="C771" s="402"/>
    </row>
    <row r="772" spans="1:3" x14ac:dyDescent="0.2">
      <c r="A772" s="402"/>
      <c r="B772" s="402"/>
      <c r="C772" s="402"/>
    </row>
    <row r="773" spans="1:3" x14ac:dyDescent="0.2">
      <c r="A773" s="402"/>
      <c r="B773" s="402"/>
      <c r="C773" s="402"/>
    </row>
    <row r="774" spans="1:3" x14ac:dyDescent="0.2">
      <c r="A774" s="402"/>
      <c r="B774" s="402"/>
      <c r="C774" s="402"/>
    </row>
    <row r="775" spans="1:3" x14ac:dyDescent="0.2">
      <c r="A775" s="402"/>
      <c r="B775" s="402"/>
      <c r="C775" s="402"/>
    </row>
    <row r="776" spans="1:3" x14ac:dyDescent="0.2">
      <c r="A776" s="402"/>
      <c r="B776" s="402"/>
      <c r="C776" s="402"/>
    </row>
    <row r="777" spans="1:3" x14ac:dyDescent="0.2">
      <c r="A777" s="402"/>
      <c r="B777" s="402"/>
      <c r="C777" s="402"/>
    </row>
    <row r="778" spans="1:3" x14ac:dyDescent="0.2">
      <c r="A778" s="402"/>
      <c r="B778" s="402"/>
      <c r="C778" s="402"/>
    </row>
    <row r="779" spans="1:3" x14ac:dyDescent="0.2">
      <c r="A779" s="402"/>
      <c r="B779" s="402"/>
      <c r="C779" s="402"/>
    </row>
    <row r="780" spans="1:3" x14ac:dyDescent="0.2">
      <c r="A780" s="402"/>
      <c r="B780" s="402"/>
      <c r="C780" s="402"/>
    </row>
    <row r="781" spans="1:3" x14ac:dyDescent="0.2">
      <c r="A781" s="402"/>
      <c r="B781" s="402"/>
      <c r="C781" s="402"/>
    </row>
    <row r="782" spans="1:3" x14ac:dyDescent="0.2">
      <c r="A782" s="402"/>
      <c r="B782" s="402"/>
      <c r="C782" s="402"/>
    </row>
    <row r="783" spans="1:3" x14ac:dyDescent="0.2">
      <c r="A783" s="402"/>
      <c r="B783" s="402"/>
      <c r="C783" s="402"/>
    </row>
    <row r="784" spans="1:3" x14ac:dyDescent="0.2">
      <c r="A784" s="402"/>
      <c r="B784" s="402"/>
      <c r="C784" s="402"/>
    </row>
    <row r="785" spans="1:3" x14ac:dyDescent="0.2">
      <c r="A785" s="402"/>
      <c r="B785" s="402"/>
      <c r="C785" s="402"/>
    </row>
    <row r="786" spans="1:3" x14ac:dyDescent="0.2">
      <c r="A786" s="402"/>
      <c r="B786" s="402"/>
      <c r="C786" s="402"/>
    </row>
    <row r="787" spans="1:3" x14ac:dyDescent="0.2">
      <c r="A787" s="402"/>
      <c r="B787" s="402"/>
      <c r="C787" s="402"/>
    </row>
    <row r="788" spans="1:3" x14ac:dyDescent="0.2">
      <c r="A788" s="402"/>
      <c r="B788" s="402"/>
      <c r="C788" s="402"/>
    </row>
    <row r="789" spans="1:3" x14ac:dyDescent="0.2">
      <c r="A789" s="402"/>
      <c r="B789" s="402"/>
      <c r="C789" s="402"/>
    </row>
    <row r="790" spans="1:3" x14ac:dyDescent="0.2">
      <c r="A790" s="402"/>
      <c r="B790" s="402"/>
      <c r="C790" s="402"/>
    </row>
    <row r="791" spans="1:3" x14ac:dyDescent="0.2">
      <c r="A791" s="402"/>
      <c r="B791" s="402"/>
      <c r="C791" s="402"/>
    </row>
    <row r="792" spans="1:3" x14ac:dyDescent="0.2">
      <c r="A792" s="402"/>
      <c r="B792" s="402"/>
      <c r="C792" s="402"/>
    </row>
    <row r="793" spans="1:3" x14ac:dyDescent="0.2">
      <c r="A793" s="402"/>
      <c r="B793" s="402"/>
      <c r="C793" s="402"/>
    </row>
    <row r="794" spans="1:3" x14ac:dyDescent="0.2">
      <c r="A794" s="402"/>
      <c r="B794" s="402"/>
      <c r="C794" s="402"/>
    </row>
    <row r="795" spans="1:3" x14ac:dyDescent="0.2">
      <c r="A795" s="402"/>
      <c r="B795" s="402"/>
      <c r="C795" s="402"/>
    </row>
    <row r="796" spans="1:3" x14ac:dyDescent="0.2">
      <c r="A796" s="402"/>
      <c r="B796" s="402"/>
      <c r="C796" s="402"/>
    </row>
    <row r="797" spans="1:3" x14ac:dyDescent="0.2">
      <c r="A797" s="402"/>
      <c r="B797" s="402"/>
      <c r="C797" s="402"/>
    </row>
    <row r="798" spans="1:3" x14ac:dyDescent="0.2">
      <c r="A798" s="402"/>
      <c r="B798" s="402"/>
      <c r="C798" s="402"/>
    </row>
    <row r="799" spans="1:3" x14ac:dyDescent="0.2">
      <c r="A799" s="402"/>
      <c r="B799" s="402"/>
      <c r="C799" s="402"/>
    </row>
    <row r="800" spans="1:3" x14ac:dyDescent="0.2">
      <c r="A800" s="402"/>
      <c r="B800" s="402"/>
      <c r="C800" s="402"/>
    </row>
    <row r="801" spans="1:3" x14ac:dyDescent="0.2">
      <c r="A801" s="402"/>
      <c r="B801" s="402"/>
      <c r="C801" s="402"/>
    </row>
    <row r="802" spans="1:3" x14ac:dyDescent="0.2">
      <c r="A802" s="402"/>
      <c r="B802" s="402"/>
      <c r="C802" s="402"/>
    </row>
    <row r="803" spans="1:3" x14ac:dyDescent="0.2">
      <c r="A803" s="402"/>
      <c r="B803" s="402"/>
      <c r="C803" s="402"/>
    </row>
    <row r="804" spans="1:3" x14ac:dyDescent="0.2">
      <c r="A804" s="402"/>
      <c r="B804" s="402"/>
      <c r="C804" s="402"/>
    </row>
    <row r="805" spans="1:3" x14ac:dyDescent="0.2">
      <c r="A805" s="402"/>
      <c r="B805" s="402"/>
      <c r="C805" s="402"/>
    </row>
    <row r="806" spans="1:3" x14ac:dyDescent="0.2">
      <c r="A806" s="402"/>
      <c r="B806" s="402"/>
      <c r="C806" s="402"/>
    </row>
    <row r="807" spans="1:3" x14ac:dyDescent="0.2">
      <c r="A807" s="402"/>
      <c r="B807" s="402"/>
      <c r="C807" s="402"/>
    </row>
    <row r="808" spans="1:3" x14ac:dyDescent="0.2">
      <c r="A808" s="402"/>
      <c r="B808" s="402"/>
      <c r="C808" s="402"/>
    </row>
    <row r="809" spans="1:3" x14ac:dyDescent="0.2">
      <c r="A809" s="402"/>
      <c r="B809" s="402"/>
      <c r="C809" s="402"/>
    </row>
    <row r="810" spans="1:3" x14ac:dyDescent="0.2">
      <c r="A810" s="402"/>
      <c r="B810" s="402"/>
      <c r="C810" s="402"/>
    </row>
    <row r="811" spans="1:3" x14ac:dyDescent="0.2">
      <c r="A811" s="402"/>
      <c r="B811" s="402"/>
      <c r="C811" s="402"/>
    </row>
    <row r="812" spans="1:3" x14ac:dyDescent="0.2">
      <c r="A812" s="402"/>
      <c r="B812" s="402"/>
      <c r="C812" s="402"/>
    </row>
    <row r="813" spans="1:3" x14ac:dyDescent="0.2">
      <c r="A813" s="402"/>
      <c r="B813" s="402"/>
      <c r="C813" s="402"/>
    </row>
    <row r="814" spans="1:3" x14ac:dyDescent="0.2">
      <c r="A814" s="402"/>
      <c r="B814" s="402"/>
      <c r="C814" s="402"/>
    </row>
    <row r="815" spans="1:3" x14ac:dyDescent="0.2">
      <c r="A815" s="402"/>
      <c r="B815" s="402"/>
      <c r="C815" s="402"/>
    </row>
    <row r="816" spans="1:3" x14ac:dyDescent="0.2">
      <c r="A816" s="402"/>
      <c r="B816" s="402"/>
      <c r="C816" s="402"/>
    </row>
    <row r="817" spans="1:3" x14ac:dyDescent="0.2">
      <c r="A817" s="402"/>
      <c r="B817" s="402"/>
      <c r="C817" s="402"/>
    </row>
    <row r="818" spans="1:3" x14ac:dyDescent="0.2">
      <c r="A818" s="402"/>
      <c r="B818" s="402"/>
      <c r="C818" s="402"/>
    </row>
    <row r="819" spans="1:3" x14ac:dyDescent="0.2">
      <c r="A819" s="402"/>
      <c r="B819" s="402"/>
      <c r="C819" s="402"/>
    </row>
    <row r="820" spans="1:3" x14ac:dyDescent="0.2">
      <c r="A820" s="402"/>
      <c r="B820" s="402"/>
      <c r="C820" s="402"/>
    </row>
    <row r="821" spans="1:3" x14ac:dyDescent="0.2">
      <c r="A821" s="402"/>
      <c r="B821" s="402"/>
      <c r="C821" s="402"/>
    </row>
    <row r="822" spans="1:3" x14ac:dyDescent="0.2">
      <c r="A822" s="402"/>
      <c r="B822" s="402"/>
      <c r="C822" s="402"/>
    </row>
    <row r="823" spans="1:3" x14ac:dyDescent="0.2">
      <c r="A823" s="402"/>
      <c r="B823" s="402"/>
      <c r="C823" s="402"/>
    </row>
    <row r="824" spans="1:3" x14ac:dyDescent="0.2">
      <c r="A824" s="402"/>
      <c r="B824" s="402"/>
      <c r="C824" s="402"/>
    </row>
    <row r="825" spans="1:3" x14ac:dyDescent="0.2">
      <c r="A825" s="402"/>
      <c r="B825" s="402"/>
      <c r="C825" s="402"/>
    </row>
    <row r="826" spans="1:3" x14ac:dyDescent="0.2">
      <c r="A826" s="402"/>
      <c r="B826" s="402"/>
      <c r="C826" s="402"/>
    </row>
    <row r="827" spans="1:3" x14ac:dyDescent="0.2">
      <c r="A827" s="402"/>
      <c r="B827" s="402"/>
      <c r="C827" s="402"/>
    </row>
    <row r="828" spans="1:3" x14ac:dyDescent="0.2">
      <c r="A828" s="402"/>
      <c r="B828" s="402"/>
      <c r="C828" s="402"/>
    </row>
    <row r="829" spans="1:3" x14ac:dyDescent="0.2">
      <c r="A829" s="402"/>
      <c r="B829" s="402"/>
      <c r="C829" s="402"/>
    </row>
    <row r="830" spans="1:3" x14ac:dyDescent="0.2">
      <c r="A830" s="402"/>
      <c r="B830" s="402"/>
      <c r="C830" s="402"/>
    </row>
    <row r="831" spans="1:3" x14ac:dyDescent="0.2">
      <c r="A831" s="402"/>
      <c r="B831" s="402"/>
      <c r="C831" s="402"/>
    </row>
    <row r="832" spans="1:3" x14ac:dyDescent="0.2">
      <c r="A832" s="402"/>
      <c r="B832" s="402"/>
      <c r="C832" s="402"/>
    </row>
    <row r="833" spans="1:3" x14ac:dyDescent="0.2">
      <c r="A833" s="402"/>
      <c r="B833" s="402"/>
      <c r="C833" s="402"/>
    </row>
    <row r="834" spans="1:3" x14ac:dyDescent="0.2">
      <c r="A834" s="402"/>
      <c r="B834" s="402"/>
      <c r="C834" s="402"/>
    </row>
    <row r="835" spans="1:3" x14ac:dyDescent="0.2">
      <c r="A835" s="402"/>
      <c r="B835" s="402"/>
      <c r="C835" s="402"/>
    </row>
    <row r="836" spans="1:3" x14ac:dyDescent="0.2">
      <c r="A836" s="402"/>
      <c r="B836" s="402"/>
      <c r="C836" s="402"/>
    </row>
    <row r="837" spans="1:3" x14ac:dyDescent="0.2">
      <c r="A837" s="402"/>
      <c r="B837" s="402"/>
      <c r="C837" s="402"/>
    </row>
    <row r="838" spans="1:3" x14ac:dyDescent="0.2">
      <c r="A838" s="402"/>
      <c r="B838" s="402"/>
      <c r="C838" s="402"/>
    </row>
    <row r="839" spans="1:3" x14ac:dyDescent="0.2">
      <c r="A839" s="402"/>
      <c r="B839" s="402"/>
      <c r="C839" s="402"/>
    </row>
    <row r="840" spans="1:3" x14ac:dyDescent="0.2">
      <c r="A840" s="402"/>
      <c r="B840" s="402"/>
      <c r="C840" s="402"/>
    </row>
    <row r="841" spans="1:3" x14ac:dyDescent="0.2">
      <c r="A841" s="402"/>
      <c r="B841" s="402"/>
      <c r="C841" s="402"/>
    </row>
    <row r="842" spans="1:3" x14ac:dyDescent="0.2">
      <c r="A842" s="402"/>
      <c r="B842" s="402"/>
      <c r="C842" s="402"/>
    </row>
    <row r="843" spans="1:3" x14ac:dyDescent="0.2">
      <c r="A843" s="402"/>
      <c r="B843" s="402"/>
      <c r="C843" s="402"/>
    </row>
    <row r="844" spans="1:3" x14ac:dyDescent="0.2">
      <c r="A844" s="402"/>
      <c r="B844" s="402"/>
      <c r="C844" s="402"/>
    </row>
    <row r="845" spans="1:3" x14ac:dyDescent="0.2">
      <c r="A845" s="402"/>
      <c r="B845" s="402"/>
      <c r="C845" s="402"/>
    </row>
    <row r="846" spans="1:3" x14ac:dyDescent="0.2">
      <c r="A846" s="402"/>
      <c r="B846" s="402"/>
      <c r="C846" s="402"/>
    </row>
    <row r="847" spans="1:3" x14ac:dyDescent="0.2">
      <c r="A847" s="402"/>
      <c r="B847" s="402"/>
      <c r="C847" s="402"/>
    </row>
    <row r="848" spans="1:3" x14ac:dyDescent="0.2">
      <c r="A848" s="402"/>
      <c r="B848" s="402"/>
      <c r="C848" s="402"/>
    </row>
    <row r="849" spans="1:3" x14ac:dyDescent="0.2">
      <c r="A849" s="402"/>
      <c r="B849" s="402"/>
      <c r="C849" s="402"/>
    </row>
    <row r="850" spans="1:3" x14ac:dyDescent="0.2">
      <c r="A850" s="402"/>
      <c r="B850" s="402"/>
      <c r="C850" s="402"/>
    </row>
    <row r="851" spans="1:3" x14ac:dyDescent="0.2">
      <c r="A851" s="402"/>
      <c r="B851" s="402"/>
      <c r="C851" s="402"/>
    </row>
    <row r="852" spans="1:3" x14ac:dyDescent="0.2">
      <c r="A852" s="402"/>
      <c r="B852" s="402"/>
      <c r="C852" s="402"/>
    </row>
    <row r="853" spans="1:3" x14ac:dyDescent="0.2">
      <c r="A853" s="402"/>
      <c r="B853" s="402"/>
      <c r="C853" s="402"/>
    </row>
    <row r="854" spans="1:3" x14ac:dyDescent="0.2">
      <c r="A854" s="402"/>
      <c r="B854" s="402"/>
      <c r="C854" s="402"/>
    </row>
    <row r="855" spans="1:3" x14ac:dyDescent="0.2">
      <c r="A855" s="402"/>
      <c r="B855" s="402"/>
      <c r="C855" s="402"/>
    </row>
    <row r="856" spans="1:3" x14ac:dyDescent="0.2">
      <c r="A856" s="402"/>
      <c r="B856" s="402"/>
      <c r="C856" s="402"/>
    </row>
    <row r="857" spans="1:3" x14ac:dyDescent="0.2">
      <c r="A857" s="402"/>
      <c r="B857" s="402"/>
      <c r="C857" s="402"/>
    </row>
    <row r="858" spans="1:3" x14ac:dyDescent="0.2">
      <c r="A858" s="402"/>
      <c r="B858" s="402"/>
      <c r="C858" s="402"/>
    </row>
    <row r="859" spans="1:3" x14ac:dyDescent="0.2">
      <c r="A859" s="402"/>
      <c r="B859" s="402"/>
      <c r="C859" s="402"/>
    </row>
    <row r="860" spans="1:3" x14ac:dyDescent="0.2">
      <c r="A860" s="402"/>
      <c r="B860" s="402"/>
      <c r="C860" s="402"/>
    </row>
    <row r="861" spans="1:3" x14ac:dyDescent="0.2">
      <c r="A861" s="402"/>
      <c r="B861" s="402"/>
      <c r="C861" s="402"/>
    </row>
    <row r="862" spans="1:3" x14ac:dyDescent="0.2">
      <c r="A862" s="402"/>
      <c r="B862" s="402"/>
      <c r="C862" s="402"/>
    </row>
    <row r="863" spans="1:3" x14ac:dyDescent="0.2">
      <c r="A863" s="402"/>
      <c r="B863" s="402"/>
      <c r="C863" s="402"/>
    </row>
    <row r="864" spans="1:3" x14ac:dyDescent="0.2">
      <c r="A864" s="402"/>
      <c r="B864" s="402"/>
      <c r="C864" s="402"/>
    </row>
    <row r="865" spans="1:3" x14ac:dyDescent="0.2">
      <c r="A865" s="402"/>
      <c r="B865" s="402"/>
      <c r="C865" s="402"/>
    </row>
    <row r="866" spans="1:3" x14ac:dyDescent="0.2">
      <c r="A866" s="402"/>
      <c r="B866" s="402"/>
      <c r="C866" s="402"/>
    </row>
    <row r="867" spans="1:3" x14ac:dyDescent="0.2">
      <c r="A867" s="402"/>
      <c r="B867" s="402"/>
      <c r="C867" s="402"/>
    </row>
    <row r="868" spans="1:3" x14ac:dyDescent="0.2">
      <c r="A868" s="402"/>
      <c r="B868" s="402"/>
      <c r="C868" s="402"/>
    </row>
    <row r="869" spans="1:3" x14ac:dyDescent="0.2">
      <c r="A869" s="402"/>
      <c r="B869" s="402"/>
      <c r="C869" s="402"/>
    </row>
    <row r="870" spans="1:3" x14ac:dyDescent="0.2">
      <c r="A870" s="402"/>
      <c r="B870" s="402"/>
      <c r="C870" s="402"/>
    </row>
    <row r="871" spans="1:3" x14ac:dyDescent="0.2">
      <c r="A871" s="402"/>
      <c r="B871" s="402"/>
      <c r="C871" s="402"/>
    </row>
    <row r="872" spans="1:3" x14ac:dyDescent="0.2">
      <c r="A872" s="402"/>
      <c r="B872" s="402"/>
      <c r="C872" s="402"/>
    </row>
    <row r="873" spans="1:3" x14ac:dyDescent="0.2">
      <c r="A873" s="402"/>
      <c r="B873" s="402"/>
      <c r="C873" s="402"/>
    </row>
    <row r="874" spans="1:3" x14ac:dyDescent="0.2">
      <c r="A874" s="402"/>
      <c r="B874" s="402"/>
      <c r="C874" s="402"/>
    </row>
    <row r="875" spans="1:3" x14ac:dyDescent="0.2">
      <c r="A875" s="402"/>
      <c r="B875" s="402"/>
      <c r="C875" s="402"/>
    </row>
    <row r="876" spans="1:3" x14ac:dyDescent="0.2">
      <c r="A876" s="402"/>
      <c r="B876" s="402"/>
      <c r="C876" s="402"/>
    </row>
    <row r="877" spans="1:3" x14ac:dyDescent="0.2">
      <c r="A877" s="402"/>
      <c r="B877" s="402"/>
      <c r="C877" s="402"/>
    </row>
    <row r="878" spans="1:3" x14ac:dyDescent="0.2">
      <c r="A878" s="402"/>
      <c r="B878" s="402"/>
      <c r="C878" s="402"/>
    </row>
    <row r="879" spans="1:3" x14ac:dyDescent="0.2">
      <c r="A879" s="402"/>
      <c r="B879" s="402"/>
      <c r="C879" s="402"/>
    </row>
    <row r="880" spans="1:3" x14ac:dyDescent="0.2">
      <c r="A880" s="402"/>
      <c r="B880" s="402"/>
      <c r="C880" s="402"/>
    </row>
    <row r="881" spans="1:3" x14ac:dyDescent="0.2">
      <c r="A881" s="402"/>
      <c r="B881" s="402"/>
      <c r="C881" s="402"/>
    </row>
    <row r="882" spans="1:3" x14ac:dyDescent="0.2">
      <c r="A882" s="402"/>
      <c r="B882" s="402"/>
      <c r="C882" s="402"/>
    </row>
    <row r="883" spans="1:3" x14ac:dyDescent="0.2">
      <c r="A883" s="402"/>
      <c r="B883" s="402"/>
      <c r="C883" s="402"/>
    </row>
    <row r="884" spans="1:3" x14ac:dyDescent="0.2">
      <c r="A884" s="402"/>
      <c r="B884" s="402"/>
      <c r="C884" s="402"/>
    </row>
    <row r="885" spans="1:3" x14ac:dyDescent="0.2">
      <c r="A885" s="402"/>
      <c r="B885" s="402"/>
      <c r="C885" s="402"/>
    </row>
    <row r="886" spans="1:3" x14ac:dyDescent="0.2">
      <c r="A886" s="402"/>
      <c r="B886" s="402"/>
      <c r="C886" s="402"/>
    </row>
    <row r="887" spans="1:3" x14ac:dyDescent="0.2">
      <c r="A887" s="402"/>
      <c r="B887" s="402"/>
      <c r="C887" s="402"/>
    </row>
    <row r="888" spans="1:3" x14ac:dyDescent="0.2">
      <c r="A888" s="402"/>
      <c r="B888" s="402"/>
      <c r="C888" s="402"/>
    </row>
    <row r="889" spans="1:3" x14ac:dyDescent="0.2">
      <c r="A889" s="402"/>
      <c r="B889" s="402"/>
      <c r="C889" s="402"/>
    </row>
    <row r="890" spans="1:3" x14ac:dyDescent="0.2">
      <c r="A890" s="402"/>
      <c r="B890" s="402"/>
      <c r="C890" s="402"/>
    </row>
    <row r="891" spans="1:3" x14ac:dyDescent="0.2">
      <c r="A891" s="402"/>
      <c r="B891" s="402"/>
      <c r="C891" s="402"/>
    </row>
    <row r="892" spans="1:3" x14ac:dyDescent="0.2">
      <c r="A892" s="402"/>
      <c r="B892" s="402"/>
      <c r="C892" s="402"/>
    </row>
    <row r="893" spans="1:3" x14ac:dyDescent="0.2">
      <c r="A893" s="402"/>
      <c r="B893" s="402"/>
      <c r="C893" s="402"/>
    </row>
    <row r="894" spans="1:3" x14ac:dyDescent="0.2">
      <c r="A894" s="402"/>
      <c r="B894" s="402"/>
      <c r="C894" s="402"/>
    </row>
    <row r="895" spans="1:3" x14ac:dyDescent="0.2">
      <c r="A895" s="402"/>
      <c r="B895" s="402"/>
      <c r="C895" s="402"/>
    </row>
    <row r="896" spans="1:3" x14ac:dyDescent="0.2">
      <c r="A896" s="402"/>
      <c r="B896" s="402"/>
      <c r="C896" s="402"/>
    </row>
    <row r="897" spans="1:3" x14ac:dyDescent="0.2">
      <c r="A897" s="402"/>
      <c r="B897" s="402"/>
      <c r="C897" s="402"/>
    </row>
    <row r="898" spans="1:3" x14ac:dyDescent="0.2">
      <c r="A898" s="402"/>
      <c r="B898" s="402"/>
      <c r="C898" s="402"/>
    </row>
    <row r="899" spans="1:3" x14ac:dyDescent="0.2">
      <c r="A899" s="402"/>
      <c r="B899" s="402"/>
      <c r="C899" s="402"/>
    </row>
    <row r="900" spans="1:3" x14ac:dyDescent="0.2">
      <c r="A900" s="402"/>
      <c r="B900" s="402"/>
      <c r="C900" s="402"/>
    </row>
    <row r="901" spans="1:3" x14ac:dyDescent="0.2">
      <c r="A901" s="402"/>
      <c r="B901" s="402"/>
      <c r="C901" s="402"/>
    </row>
    <row r="902" spans="1:3" x14ac:dyDescent="0.2">
      <c r="A902" s="402"/>
      <c r="B902" s="402"/>
      <c r="C902" s="402"/>
    </row>
    <row r="903" spans="1:3" x14ac:dyDescent="0.2">
      <c r="A903" s="402"/>
      <c r="B903" s="402"/>
      <c r="C903" s="402"/>
    </row>
    <row r="904" spans="1:3" x14ac:dyDescent="0.2">
      <c r="A904" s="402"/>
      <c r="B904" s="402"/>
      <c r="C904" s="402"/>
    </row>
    <row r="905" spans="1:3" x14ac:dyDescent="0.2">
      <c r="A905" s="402"/>
      <c r="B905" s="402"/>
      <c r="C905" s="402"/>
    </row>
    <row r="906" spans="1:3" x14ac:dyDescent="0.2">
      <c r="A906" s="402"/>
      <c r="B906" s="402"/>
      <c r="C906" s="402"/>
    </row>
    <row r="907" spans="1:3" x14ac:dyDescent="0.2">
      <c r="A907" s="402"/>
      <c r="B907" s="402"/>
      <c r="C907" s="402"/>
    </row>
    <row r="908" spans="1:3" x14ac:dyDescent="0.2">
      <c r="A908" s="402"/>
      <c r="B908" s="402"/>
      <c r="C908" s="402"/>
    </row>
    <row r="909" spans="1:3" x14ac:dyDescent="0.2">
      <c r="A909" s="402"/>
      <c r="B909" s="402"/>
      <c r="C909" s="402"/>
    </row>
    <row r="910" spans="1:3" x14ac:dyDescent="0.2">
      <c r="A910" s="402"/>
      <c r="B910" s="402"/>
      <c r="C910" s="402"/>
    </row>
    <row r="911" spans="1:3" x14ac:dyDescent="0.2">
      <c r="A911" s="402"/>
      <c r="B911" s="402"/>
      <c r="C911" s="402"/>
    </row>
    <row r="912" spans="1:3" x14ac:dyDescent="0.2">
      <c r="A912" s="402"/>
      <c r="B912" s="402"/>
      <c r="C912" s="402"/>
    </row>
    <row r="913" spans="1:3" x14ac:dyDescent="0.2">
      <c r="A913" s="402"/>
      <c r="B913" s="402"/>
      <c r="C913" s="402"/>
    </row>
    <row r="914" spans="1:3" x14ac:dyDescent="0.2">
      <c r="A914" s="402"/>
      <c r="B914" s="402"/>
      <c r="C914" s="402"/>
    </row>
    <row r="915" spans="1:3" x14ac:dyDescent="0.2">
      <c r="A915" s="402"/>
      <c r="B915" s="402"/>
      <c r="C915" s="402"/>
    </row>
    <row r="916" spans="1:3" x14ac:dyDescent="0.2">
      <c r="A916" s="402"/>
      <c r="B916" s="402"/>
      <c r="C916" s="402"/>
    </row>
    <row r="917" spans="1:3" x14ac:dyDescent="0.2">
      <c r="A917" s="402"/>
      <c r="B917" s="402"/>
      <c r="C917" s="402"/>
    </row>
    <row r="918" spans="1:3" x14ac:dyDescent="0.2">
      <c r="A918" s="402"/>
      <c r="B918" s="402"/>
      <c r="C918" s="402"/>
    </row>
    <row r="919" spans="1:3" x14ac:dyDescent="0.2">
      <c r="A919" s="402"/>
      <c r="B919" s="402"/>
      <c r="C919" s="402"/>
    </row>
    <row r="920" spans="1:3" x14ac:dyDescent="0.2">
      <c r="A920" s="402"/>
      <c r="B920" s="402"/>
      <c r="C920" s="402"/>
    </row>
    <row r="921" spans="1:3" x14ac:dyDescent="0.2">
      <c r="A921" s="402"/>
      <c r="B921" s="402"/>
      <c r="C921" s="402"/>
    </row>
    <row r="922" spans="1:3" x14ac:dyDescent="0.2">
      <c r="A922" s="402"/>
      <c r="B922" s="402"/>
      <c r="C922" s="402"/>
    </row>
    <row r="923" spans="1:3" x14ac:dyDescent="0.2">
      <c r="A923" s="402"/>
      <c r="B923" s="402"/>
      <c r="C923" s="402"/>
    </row>
    <row r="924" spans="1:3" x14ac:dyDescent="0.2">
      <c r="A924" s="402"/>
      <c r="B924" s="402"/>
      <c r="C924" s="402"/>
    </row>
    <row r="925" spans="1:3" x14ac:dyDescent="0.2">
      <c r="A925" s="402"/>
      <c r="B925" s="402"/>
      <c r="C925" s="402"/>
    </row>
    <row r="926" spans="1:3" x14ac:dyDescent="0.2">
      <c r="A926" s="402"/>
      <c r="B926" s="402"/>
      <c r="C926" s="402"/>
    </row>
    <row r="927" spans="1:3" x14ac:dyDescent="0.2">
      <c r="A927" s="402"/>
      <c r="B927" s="402"/>
      <c r="C927" s="402"/>
    </row>
    <row r="928" spans="1:3" x14ac:dyDescent="0.2">
      <c r="A928" s="402"/>
      <c r="B928" s="402"/>
      <c r="C928" s="402"/>
    </row>
    <row r="929" spans="1:3" x14ac:dyDescent="0.2">
      <c r="A929" s="402"/>
      <c r="B929" s="402"/>
      <c r="C929" s="402"/>
    </row>
    <row r="930" spans="1:3" x14ac:dyDescent="0.2">
      <c r="A930" s="402"/>
      <c r="B930" s="402"/>
      <c r="C930" s="402"/>
    </row>
    <row r="931" spans="1:3" x14ac:dyDescent="0.2">
      <c r="A931" s="402"/>
      <c r="B931" s="402"/>
      <c r="C931" s="402"/>
    </row>
    <row r="932" spans="1:3" x14ac:dyDescent="0.2">
      <c r="A932" s="402"/>
      <c r="B932" s="402"/>
      <c r="C932" s="402"/>
    </row>
    <row r="933" spans="1:3" x14ac:dyDescent="0.2">
      <c r="A933" s="402"/>
      <c r="B933" s="402"/>
      <c r="C933" s="402"/>
    </row>
    <row r="934" spans="1:3" x14ac:dyDescent="0.2">
      <c r="A934" s="402"/>
      <c r="B934" s="402"/>
      <c r="C934" s="402"/>
    </row>
    <row r="935" spans="1:3" x14ac:dyDescent="0.2">
      <c r="A935" s="402"/>
      <c r="B935" s="402"/>
      <c r="C935" s="402"/>
    </row>
    <row r="936" spans="1:3" x14ac:dyDescent="0.2">
      <c r="A936" s="402"/>
      <c r="B936" s="402"/>
      <c r="C936" s="402"/>
    </row>
    <row r="937" spans="1:3" x14ac:dyDescent="0.2">
      <c r="A937" s="402"/>
      <c r="B937" s="402"/>
      <c r="C937" s="402"/>
    </row>
    <row r="938" spans="1:3" x14ac:dyDescent="0.2">
      <c r="A938" s="402"/>
      <c r="B938" s="402"/>
      <c r="C938" s="402"/>
    </row>
    <row r="939" spans="1:3" x14ac:dyDescent="0.2">
      <c r="A939" s="402"/>
      <c r="B939" s="402"/>
      <c r="C939" s="402"/>
    </row>
    <row r="940" spans="1:3" x14ac:dyDescent="0.2">
      <c r="A940" s="402"/>
      <c r="B940" s="402"/>
      <c r="C940" s="402"/>
    </row>
    <row r="941" spans="1:3" x14ac:dyDescent="0.2">
      <c r="A941" s="402"/>
      <c r="B941" s="402"/>
      <c r="C941" s="402"/>
    </row>
    <row r="942" spans="1:3" x14ac:dyDescent="0.2">
      <c r="A942" s="402"/>
      <c r="B942" s="402"/>
      <c r="C942" s="402"/>
    </row>
    <row r="943" spans="1:3" x14ac:dyDescent="0.2">
      <c r="A943" s="402"/>
      <c r="B943" s="402"/>
      <c r="C943" s="402"/>
    </row>
    <row r="944" spans="1:3" x14ac:dyDescent="0.2">
      <c r="A944" s="402"/>
      <c r="B944" s="402"/>
      <c r="C944" s="402"/>
    </row>
    <row r="945" spans="1:3" x14ac:dyDescent="0.2">
      <c r="A945" s="402"/>
      <c r="B945" s="402"/>
      <c r="C945" s="402"/>
    </row>
    <row r="946" spans="1:3" x14ac:dyDescent="0.2">
      <c r="A946" s="402"/>
      <c r="B946" s="402"/>
      <c r="C946" s="402"/>
    </row>
    <row r="947" spans="1:3" x14ac:dyDescent="0.2">
      <c r="A947" s="402"/>
      <c r="B947" s="402"/>
      <c r="C947" s="402"/>
    </row>
    <row r="948" spans="1:3" x14ac:dyDescent="0.2">
      <c r="A948" s="402"/>
      <c r="B948" s="402"/>
      <c r="C948" s="402"/>
    </row>
    <row r="949" spans="1:3" x14ac:dyDescent="0.2">
      <c r="A949" s="402"/>
      <c r="B949" s="402"/>
      <c r="C949" s="402"/>
    </row>
    <row r="950" spans="1:3" x14ac:dyDescent="0.2">
      <c r="A950" s="402"/>
      <c r="B950" s="402"/>
      <c r="C950" s="402"/>
    </row>
    <row r="951" spans="1:3" x14ac:dyDescent="0.2">
      <c r="A951" s="402"/>
      <c r="B951" s="402"/>
      <c r="C951" s="402"/>
    </row>
    <row r="952" spans="1:3" x14ac:dyDescent="0.2">
      <c r="A952" s="402"/>
      <c r="B952" s="402"/>
      <c r="C952" s="402"/>
    </row>
    <row r="953" spans="1:3" x14ac:dyDescent="0.2">
      <c r="A953" s="402"/>
      <c r="B953" s="402"/>
      <c r="C953" s="402"/>
    </row>
    <row r="954" spans="1:3" x14ac:dyDescent="0.2">
      <c r="A954" s="402"/>
      <c r="B954" s="402"/>
      <c r="C954" s="402"/>
    </row>
    <row r="955" spans="1:3" x14ac:dyDescent="0.2">
      <c r="A955" s="402"/>
      <c r="B955" s="402"/>
      <c r="C955" s="402"/>
    </row>
    <row r="956" spans="1:3" x14ac:dyDescent="0.2">
      <c r="A956" s="402"/>
      <c r="B956" s="402"/>
      <c r="C956" s="402"/>
    </row>
    <row r="957" spans="1:3" x14ac:dyDescent="0.2">
      <c r="A957" s="402"/>
      <c r="B957" s="402"/>
      <c r="C957" s="402"/>
    </row>
    <row r="958" spans="1:3" x14ac:dyDescent="0.2">
      <c r="A958" s="402"/>
      <c r="B958" s="402"/>
      <c r="C958" s="402"/>
    </row>
    <row r="959" spans="1:3" x14ac:dyDescent="0.2">
      <c r="A959" s="402"/>
      <c r="B959" s="402"/>
      <c r="C959" s="402"/>
    </row>
    <row r="960" spans="1:3" x14ac:dyDescent="0.2">
      <c r="A960" s="402"/>
      <c r="B960" s="402"/>
      <c r="C960" s="402"/>
    </row>
    <row r="961" spans="1:3" x14ac:dyDescent="0.2">
      <c r="A961" s="402"/>
      <c r="B961" s="402"/>
      <c r="C961" s="402"/>
    </row>
    <row r="962" spans="1:3" x14ac:dyDescent="0.2">
      <c r="A962" s="402"/>
      <c r="B962" s="402"/>
      <c r="C962" s="402"/>
    </row>
    <row r="963" spans="1:3" x14ac:dyDescent="0.2">
      <c r="A963" s="402"/>
      <c r="B963" s="402"/>
      <c r="C963" s="402"/>
    </row>
    <row r="964" spans="1:3" x14ac:dyDescent="0.2">
      <c r="A964" s="402"/>
      <c r="B964" s="402"/>
      <c r="C964" s="402"/>
    </row>
    <row r="965" spans="1:3" x14ac:dyDescent="0.2">
      <c r="A965" s="402"/>
      <c r="B965" s="402"/>
      <c r="C965" s="402"/>
    </row>
    <row r="966" spans="1:3" x14ac:dyDescent="0.2">
      <c r="A966" s="402"/>
      <c r="B966" s="402"/>
      <c r="C966" s="402"/>
    </row>
    <row r="967" spans="1:3" x14ac:dyDescent="0.2">
      <c r="A967" s="402"/>
      <c r="B967" s="402"/>
      <c r="C967" s="402"/>
    </row>
    <row r="968" spans="1:3" x14ac:dyDescent="0.2">
      <c r="A968" s="402"/>
      <c r="B968" s="402"/>
      <c r="C968" s="402"/>
    </row>
    <row r="969" spans="1:3" x14ac:dyDescent="0.2">
      <c r="A969" s="402"/>
      <c r="B969" s="402"/>
      <c r="C969" s="402"/>
    </row>
    <row r="970" spans="1:3" x14ac:dyDescent="0.2">
      <c r="A970" s="402"/>
      <c r="B970" s="402"/>
      <c r="C970" s="402"/>
    </row>
    <row r="971" spans="1:3" x14ac:dyDescent="0.2">
      <c r="A971" s="402"/>
      <c r="B971" s="402"/>
      <c r="C971" s="402"/>
    </row>
    <row r="972" spans="1:3" x14ac:dyDescent="0.2">
      <c r="A972" s="402"/>
      <c r="B972" s="402"/>
      <c r="C972" s="402"/>
    </row>
    <row r="973" spans="1:3" x14ac:dyDescent="0.2">
      <c r="A973" s="402"/>
      <c r="B973" s="402"/>
      <c r="C973" s="402"/>
    </row>
    <row r="974" spans="1:3" x14ac:dyDescent="0.2">
      <c r="A974" s="402"/>
      <c r="B974" s="402"/>
      <c r="C974" s="402"/>
    </row>
    <row r="975" spans="1:3" x14ac:dyDescent="0.2">
      <c r="A975" s="402"/>
      <c r="B975" s="402"/>
      <c r="C975" s="402"/>
    </row>
    <row r="976" spans="1:3" x14ac:dyDescent="0.2">
      <c r="A976" s="402"/>
      <c r="B976" s="402"/>
      <c r="C976" s="402"/>
    </row>
    <row r="977" spans="1:3" x14ac:dyDescent="0.2">
      <c r="A977" s="402"/>
      <c r="B977" s="402"/>
      <c r="C977" s="402"/>
    </row>
    <row r="978" spans="1:3" x14ac:dyDescent="0.2">
      <c r="A978" s="402"/>
      <c r="B978" s="402"/>
      <c r="C978" s="402"/>
    </row>
    <row r="979" spans="1:3" x14ac:dyDescent="0.2">
      <c r="A979" s="402"/>
      <c r="B979" s="402"/>
      <c r="C979" s="402"/>
    </row>
    <row r="980" spans="1:3" x14ac:dyDescent="0.2">
      <c r="A980" s="402"/>
      <c r="B980" s="402"/>
      <c r="C980" s="402"/>
    </row>
    <row r="981" spans="1:3" x14ac:dyDescent="0.2">
      <c r="A981" s="402"/>
      <c r="B981" s="402"/>
      <c r="C981" s="402"/>
    </row>
    <row r="982" spans="1:3" x14ac:dyDescent="0.2">
      <c r="A982" s="402"/>
      <c r="B982" s="402"/>
      <c r="C982" s="402"/>
    </row>
    <row r="983" spans="1:3" x14ac:dyDescent="0.2">
      <c r="A983" s="402"/>
      <c r="B983" s="402"/>
      <c r="C983" s="402"/>
    </row>
    <row r="984" spans="1:3" x14ac:dyDescent="0.2">
      <c r="A984" s="402"/>
      <c r="B984" s="402"/>
      <c r="C984" s="402"/>
    </row>
    <row r="985" spans="1:3" x14ac:dyDescent="0.2">
      <c r="A985" s="402"/>
      <c r="B985" s="402"/>
      <c r="C985" s="402"/>
    </row>
    <row r="986" spans="1:3" x14ac:dyDescent="0.2">
      <c r="A986" s="402"/>
      <c r="B986" s="402"/>
      <c r="C986" s="402"/>
    </row>
    <row r="987" spans="1:3" x14ac:dyDescent="0.2">
      <c r="A987" s="402"/>
      <c r="B987" s="402"/>
      <c r="C987" s="402"/>
    </row>
    <row r="988" spans="1:3" x14ac:dyDescent="0.2">
      <c r="A988" s="402"/>
      <c r="B988" s="402"/>
      <c r="C988" s="402"/>
    </row>
    <row r="989" spans="1:3" x14ac:dyDescent="0.2">
      <c r="A989" s="402"/>
      <c r="B989" s="402"/>
      <c r="C989" s="402"/>
    </row>
    <row r="990" spans="1:3" x14ac:dyDescent="0.2">
      <c r="A990" s="402"/>
      <c r="B990" s="402"/>
      <c r="C990" s="402"/>
    </row>
    <row r="991" spans="1:3" x14ac:dyDescent="0.2">
      <c r="A991" s="402"/>
      <c r="B991" s="402"/>
      <c r="C991" s="402"/>
    </row>
    <row r="992" spans="1:3" x14ac:dyDescent="0.2">
      <c r="A992" s="402"/>
      <c r="B992" s="402"/>
      <c r="C992" s="402"/>
    </row>
    <row r="993" spans="1:3" x14ac:dyDescent="0.2">
      <c r="A993" s="402"/>
      <c r="B993" s="402"/>
      <c r="C993" s="402"/>
    </row>
    <row r="994" spans="1:3" x14ac:dyDescent="0.2">
      <c r="A994" s="402"/>
      <c r="B994" s="402"/>
      <c r="C994" s="402"/>
    </row>
    <row r="995" spans="1:3" x14ac:dyDescent="0.2">
      <c r="A995" s="402"/>
      <c r="B995" s="402"/>
      <c r="C995" s="402"/>
    </row>
    <row r="996" spans="1:3" x14ac:dyDescent="0.2">
      <c r="A996" s="402"/>
      <c r="B996" s="402"/>
      <c r="C996" s="402"/>
    </row>
    <row r="997" spans="1:3" x14ac:dyDescent="0.2">
      <c r="A997" s="402"/>
      <c r="B997" s="402"/>
      <c r="C997" s="402"/>
    </row>
    <row r="998" spans="1:3" x14ac:dyDescent="0.2">
      <c r="A998" s="402"/>
      <c r="B998" s="402"/>
      <c r="C998" s="402"/>
    </row>
    <row r="999" spans="1:3" x14ac:dyDescent="0.2">
      <c r="A999" s="402"/>
      <c r="B999" s="402"/>
      <c r="C999" s="402"/>
    </row>
    <row r="1000" spans="1:3" x14ac:dyDescent="0.2">
      <c r="A1000" s="402"/>
      <c r="B1000" s="402"/>
      <c r="C1000" s="402"/>
    </row>
    <row r="1001" spans="1:3" x14ac:dyDescent="0.2">
      <c r="A1001" s="402"/>
      <c r="B1001" s="402"/>
      <c r="C1001" s="402"/>
    </row>
    <row r="1002" spans="1:3" x14ac:dyDescent="0.2">
      <c r="A1002" s="402"/>
      <c r="B1002" s="402"/>
      <c r="C1002" s="402"/>
    </row>
    <row r="1003" spans="1:3" x14ac:dyDescent="0.2">
      <c r="A1003" s="402"/>
      <c r="B1003" s="402"/>
      <c r="C1003" s="402"/>
    </row>
    <row r="1004" spans="1:3" x14ac:dyDescent="0.2">
      <c r="A1004" s="402"/>
      <c r="B1004" s="402"/>
      <c r="C1004" s="402"/>
    </row>
    <row r="1005" spans="1:3" x14ac:dyDescent="0.2">
      <c r="A1005" s="402"/>
      <c r="B1005" s="402"/>
      <c r="C1005" s="402"/>
    </row>
    <row r="1006" spans="1:3" x14ac:dyDescent="0.2">
      <c r="A1006" s="402"/>
      <c r="B1006" s="402"/>
      <c r="C1006" s="402"/>
    </row>
    <row r="1007" spans="1:3" x14ac:dyDescent="0.2">
      <c r="A1007" s="402"/>
      <c r="B1007" s="402"/>
      <c r="C1007" s="402"/>
    </row>
    <row r="1008" spans="1:3" x14ac:dyDescent="0.2">
      <c r="A1008" s="402"/>
      <c r="B1008" s="402"/>
      <c r="C1008" s="402"/>
    </row>
    <row r="1009" spans="1:3" x14ac:dyDescent="0.2">
      <c r="A1009" s="402"/>
      <c r="B1009" s="402"/>
      <c r="C1009" s="402"/>
    </row>
    <row r="1010" spans="1:3" x14ac:dyDescent="0.2">
      <c r="A1010" s="402"/>
      <c r="B1010" s="402"/>
      <c r="C1010" s="402"/>
    </row>
    <row r="1011" spans="1:3" x14ac:dyDescent="0.2">
      <c r="A1011" s="402"/>
      <c r="B1011" s="402"/>
      <c r="C1011" s="402"/>
    </row>
    <row r="1012" spans="1:3" x14ac:dyDescent="0.2">
      <c r="A1012" s="402"/>
      <c r="B1012" s="402"/>
      <c r="C1012" s="402"/>
    </row>
    <row r="1013" spans="1:3" x14ac:dyDescent="0.2">
      <c r="A1013" s="402"/>
      <c r="B1013" s="402"/>
      <c r="C1013" s="402"/>
    </row>
    <row r="1014" spans="1:3" x14ac:dyDescent="0.2">
      <c r="A1014" s="402"/>
      <c r="B1014" s="402"/>
      <c r="C1014" s="402"/>
    </row>
    <row r="1015" spans="1:3" x14ac:dyDescent="0.2">
      <c r="A1015" s="402"/>
      <c r="B1015" s="402"/>
      <c r="C1015" s="402"/>
    </row>
    <row r="1016" spans="1:3" x14ac:dyDescent="0.2">
      <c r="A1016" s="402"/>
      <c r="B1016" s="402"/>
      <c r="C1016" s="402"/>
    </row>
    <row r="1017" spans="1:3" x14ac:dyDescent="0.2">
      <c r="A1017" s="402"/>
      <c r="B1017" s="402"/>
      <c r="C1017" s="402"/>
    </row>
    <row r="1018" spans="1:3" x14ac:dyDescent="0.2">
      <c r="A1018" s="402"/>
      <c r="B1018" s="402"/>
      <c r="C1018" s="402"/>
    </row>
    <row r="1019" spans="1:3" x14ac:dyDescent="0.2">
      <c r="A1019" s="402"/>
      <c r="B1019" s="402"/>
      <c r="C1019" s="402"/>
    </row>
    <row r="1020" spans="1:3" x14ac:dyDescent="0.2">
      <c r="A1020" s="402"/>
      <c r="B1020" s="402"/>
      <c r="C1020" s="402"/>
    </row>
    <row r="1021" spans="1:3" x14ac:dyDescent="0.2">
      <c r="A1021" s="402"/>
      <c r="B1021" s="402"/>
      <c r="C1021" s="402"/>
    </row>
    <row r="1022" spans="1:3" x14ac:dyDescent="0.2">
      <c r="A1022" s="402"/>
      <c r="B1022" s="402"/>
      <c r="C1022" s="402"/>
    </row>
    <row r="1023" spans="1:3" x14ac:dyDescent="0.2">
      <c r="A1023" s="402"/>
      <c r="B1023" s="402"/>
      <c r="C1023" s="402"/>
    </row>
    <row r="1024" spans="1:3" x14ac:dyDescent="0.2">
      <c r="A1024" s="402"/>
      <c r="B1024" s="402"/>
      <c r="C1024" s="402"/>
    </row>
    <row r="1025" spans="1:3" x14ac:dyDescent="0.2">
      <c r="A1025" s="402"/>
      <c r="B1025" s="402"/>
      <c r="C1025" s="402"/>
    </row>
    <row r="1026" spans="1:3" x14ac:dyDescent="0.2">
      <c r="A1026" s="402"/>
      <c r="B1026" s="402"/>
      <c r="C1026" s="402"/>
    </row>
    <row r="1027" spans="1:3" x14ac:dyDescent="0.2">
      <c r="A1027" s="402"/>
      <c r="B1027" s="402"/>
      <c r="C1027" s="402"/>
    </row>
    <row r="1028" spans="1:3" x14ac:dyDescent="0.2">
      <c r="A1028" s="402"/>
      <c r="B1028" s="402"/>
      <c r="C1028" s="402"/>
    </row>
    <row r="1029" spans="1:3" x14ac:dyDescent="0.2">
      <c r="A1029" s="402"/>
      <c r="B1029" s="402"/>
      <c r="C1029" s="402"/>
    </row>
    <row r="1030" spans="1:3" x14ac:dyDescent="0.2">
      <c r="A1030" s="402"/>
      <c r="B1030" s="402"/>
      <c r="C1030" s="402"/>
    </row>
    <row r="1031" spans="1:3" x14ac:dyDescent="0.2">
      <c r="A1031" s="402"/>
      <c r="B1031" s="402"/>
      <c r="C1031" s="402"/>
    </row>
    <row r="1032" spans="1:3" x14ac:dyDescent="0.2">
      <c r="A1032" s="402"/>
      <c r="B1032" s="402"/>
      <c r="C1032" s="402"/>
    </row>
    <row r="1033" spans="1:3" x14ac:dyDescent="0.2">
      <c r="A1033" s="402"/>
      <c r="B1033" s="402"/>
      <c r="C1033" s="402"/>
    </row>
    <row r="1034" spans="1:3" x14ac:dyDescent="0.2">
      <c r="A1034" s="402"/>
      <c r="B1034" s="402"/>
      <c r="C1034" s="402"/>
    </row>
    <row r="1035" spans="1:3" x14ac:dyDescent="0.2">
      <c r="A1035" s="402"/>
      <c r="B1035" s="402"/>
      <c r="C1035" s="402"/>
    </row>
    <row r="1036" spans="1:3" x14ac:dyDescent="0.2">
      <c r="A1036" s="402"/>
      <c r="B1036" s="402"/>
      <c r="C1036" s="402"/>
    </row>
    <row r="1037" spans="1:3" x14ac:dyDescent="0.2">
      <c r="A1037" s="402"/>
      <c r="B1037" s="402"/>
      <c r="C1037" s="402"/>
    </row>
    <row r="1038" spans="1:3" x14ac:dyDescent="0.2">
      <c r="A1038" s="402"/>
      <c r="B1038" s="402"/>
      <c r="C1038" s="402"/>
    </row>
    <row r="1039" spans="1:3" x14ac:dyDescent="0.2">
      <c r="A1039" s="402"/>
      <c r="B1039" s="402"/>
      <c r="C1039" s="402"/>
    </row>
    <row r="1040" spans="1:3" x14ac:dyDescent="0.2">
      <c r="A1040" s="402"/>
      <c r="B1040" s="402"/>
      <c r="C1040" s="402"/>
    </row>
    <row r="1041" spans="1:3" x14ac:dyDescent="0.2">
      <c r="A1041" s="402"/>
      <c r="B1041" s="402"/>
      <c r="C1041" s="402"/>
    </row>
    <row r="1042" spans="1:3" x14ac:dyDescent="0.2">
      <c r="A1042" s="402"/>
      <c r="B1042" s="402"/>
      <c r="C1042" s="402"/>
    </row>
    <row r="1043" spans="1:3" x14ac:dyDescent="0.2">
      <c r="A1043" s="402"/>
      <c r="B1043" s="402"/>
      <c r="C1043" s="402"/>
    </row>
    <row r="1044" spans="1:3" x14ac:dyDescent="0.2">
      <c r="A1044" s="402"/>
      <c r="B1044" s="402"/>
      <c r="C1044" s="402"/>
    </row>
    <row r="1045" spans="1:3" x14ac:dyDescent="0.2">
      <c r="A1045" s="402"/>
      <c r="B1045" s="402"/>
      <c r="C1045" s="402"/>
    </row>
    <row r="1046" spans="1:3" x14ac:dyDescent="0.2">
      <c r="A1046" s="402"/>
      <c r="B1046" s="402"/>
      <c r="C1046" s="402"/>
    </row>
    <row r="1047" spans="1:3" x14ac:dyDescent="0.2">
      <c r="A1047" s="402"/>
      <c r="B1047" s="402"/>
      <c r="C1047" s="402"/>
    </row>
    <row r="1048" spans="1:3" x14ac:dyDescent="0.2">
      <c r="A1048" s="402"/>
      <c r="B1048" s="402"/>
      <c r="C1048" s="402"/>
    </row>
    <row r="1049" spans="1:3" x14ac:dyDescent="0.2">
      <c r="A1049" s="402"/>
      <c r="B1049" s="402"/>
      <c r="C1049" s="402"/>
    </row>
    <row r="1050" spans="1:3" x14ac:dyDescent="0.2">
      <c r="A1050" s="402"/>
      <c r="B1050" s="402"/>
      <c r="C1050" s="402"/>
    </row>
    <row r="1051" spans="1:3" x14ac:dyDescent="0.2">
      <c r="A1051" s="402"/>
      <c r="B1051" s="402"/>
      <c r="C1051" s="402"/>
    </row>
    <row r="1052" spans="1:3" x14ac:dyDescent="0.2">
      <c r="A1052" s="402"/>
      <c r="B1052" s="402"/>
      <c r="C1052" s="402"/>
    </row>
    <row r="1053" spans="1:3" x14ac:dyDescent="0.2">
      <c r="A1053" s="402"/>
      <c r="B1053" s="402"/>
      <c r="C1053" s="402"/>
    </row>
    <row r="1054" spans="1:3" x14ac:dyDescent="0.2">
      <c r="A1054" s="402"/>
      <c r="B1054" s="402"/>
      <c r="C1054" s="402"/>
    </row>
    <row r="1055" spans="1:3" x14ac:dyDescent="0.2">
      <c r="A1055" s="402"/>
      <c r="B1055" s="402"/>
      <c r="C1055" s="402"/>
    </row>
    <row r="1056" spans="1:3" x14ac:dyDescent="0.2">
      <c r="A1056" s="402"/>
      <c r="B1056" s="402"/>
      <c r="C1056" s="402"/>
    </row>
    <row r="1057" spans="1:3" x14ac:dyDescent="0.2">
      <c r="A1057" s="402"/>
      <c r="B1057" s="402"/>
      <c r="C1057" s="402"/>
    </row>
    <row r="1058" spans="1:3" x14ac:dyDescent="0.2">
      <c r="A1058" s="402"/>
      <c r="B1058" s="402"/>
      <c r="C1058" s="402"/>
    </row>
    <row r="1059" spans="1:3" x14ac:dyDescent="0.2">
      <c r="A1059" s="402"/>
      <c r="B1059" s="402"/>
      <c r="C1059" s="402"/>
    </row>
    <row r="1060" spans="1:3" x14ac:dyDescent="0.2">
      <c r="A1060" s="402"/>
      <c r="B1060" s="402"/>
      <c r="C1060" s="402"/>
    </row>
    <row r="1061" spans="1:3" x14ac:dyDescent="0.2">
      <c r="A1061" s="402"/>
      <c r="B1061" s="402"/>
      <c r="C1061" s="402"/>
    </row>
    <row r="1062" spans="1:3" x14ac:dyDescent="0.2">
      <c r="A1062" s="402"/>
      <c r="B1062" s="402"/>
      <c r="C1062" s="402"/>
    </row>
    <row r="1063" spans="1:3" x14ac:dyDescent="0.2">
      <c r="A1063" s="402"/>
      <c r="B1063" s="402"/>
      <c r="C1063" s="402"/>
    </row>
    <row r="1064" spans="1:3" x14ac:dyDescent="0.2">
      <c r="A1064" s="402"/>
      <c r="B1064" s="402"/>
      <c r="C1064" s="402"/>
    </row>
    <row r="1065" spans="1:3" x14ac:dyDescent="0.2">
      <c r="A1065" s="402"/>
      <c r="B1065" s="402"/>
      <c r="C1065" s="402"/>
    </row>
    <row r="1066" spans="1:3" x14ac:dyDescent="0.2">
      <c r="A1066" s="402"/>
      <c r="B1066" s="402"/>
      <c r="C1066" s="402"/>
    </row>
    <row r="1067" spans="1:3" x14ac:dyDescent="0.2">
      <c r="A1067" s="402"/>
      <c r="B1067" s="402"/>
      <c r="C1067" s="402"/>
    </row>
    <row r="1068" spans="1:3" x14ac:dyDescent="0.2">
      <c r="A1068" s="402"/>
      <c r="B1068" s="402"/>
      <c r="C1068" s="402"/>
    </row>
    <row r="1069" spans="1:3" x14ac:dyDescent="0.2">
      <c r="A1069" s="402"/>
      <c r="B1069" s="402"/>
      <c r="C1069" s="402"/>
    </row>
    <row r="1070" spans="1:3" x14ac:dyDescent="0.2">
      <c r="A1070" s="402"/>
      <c r="B1070" s="402"/>
      <c r="C1070" s="402"/>
    </row>
    <row r="1071" spans="1:3" x14ac:dyDescent="0.2">
      <c r="A1071" s="402"/>
      <c r="B1071" s="402"/>
      <c r="C1071" s="402"/>
    </row>
    <row r="1072" spans="1:3" x14ac:dyDescent="0.2">
      <c r="A1072" s="402"/>
      <c r="B1072" s="402"/>
      <c r="C1072" s="402"/>
    </row>
    <row r="1073" spans="1:3" x14ac:dyDescent="0.2">
      <c r="A1073" s="402"/>
      <c r="B1073" s="402"/>
      <c r="C1073" s="402"/>
    </row>
    <row r="1074" spans="1:3" x14ac:dyDescent="0.2">
      <c r="A1074" s="402"/>
      <c r="B1074" s="402"/>
      <c r="C1074" s="402"/>
    </row>
    <row r="1075" spans="1:3" x14ac:dyDescent="0.2">
      <c r="A1075" s="402"/>
      <c r="B1075" s="402"/>
      <c r="C1075" s="402"/>
    </row>
    <row r="1076" spans="1:3" x14ac:dyDescent="0.2">
      <c r="A1076" s="402"/>
      <c r="B1076" s="402"/>
      <c r="C1076" s="402"/>
    </row>
    <row r="1077" spans="1:3" x14ac:dyDescent="0.2">
      <c r="A1077" s="402"/>
      <c r="B1077" s="402"/>
      <c r="C1077" s="402"/>
    </row>
    <row r="1078" spans="1:3" x14ac:dyDescent="0.2">
      <c r="A1078" s="402"/>
      <c r="B1078" s="402"/>
      <c r="C1078" s="402"/>
    </row>
    <row r="1079" spans="1:3" x14ac:dyDescent="0.2">
      <c r="A1079" s="402"/>
      <c r="B1079" s="402"/>
      <c r="C1079" s="402"/>
    </row>
    <row r="1080" spans="1:3" x14ac:dyDescent="0.2">
      <c r="A1080" s="402"/>
      <c r="B1080" s="402"/>
      <c r="C1080" s="402"/>
    </row>
    <row r="1081" spans="1:3" x14ac:dyDescent="0.2">
      <c r="A1081" s="402"/>
      <c r="B1081" s="402"/>
      <c r="C1081" s="402"/>
    </row>
    <row r="1082" spans="1:3" x14ac:dyDescent="0.2">
      <c r="A1082" s="402"/>
      <c r="B1082" s="402"/>
      <c r="C1082" s="402"/>
    </row>
    <row r="1083" spans="1:3" x14ac:dyDescent="0.2">
      <c r="A1083" s="402"/>
      <c r="B1083" s="402"/>
      <c r="C1083" s="402"/>
    </row>
    <row r="1084" spans="1:3" x14ac:dyDescent="0.2">
      <c r="A1084" s="402"/>
      <c r="B1084" s="402"/>
      <c r="C1084" s="402"/>
    </row>
    <row r="1085" spans="1:3" x14ac:dyDescent="0.2">
      <c r="A1085" s="402"/>
      <c r="B1085" s="402"/>
      <c r="C1085" s="402"/>
    </row>
    <row r="1086" spans="1:3" x14ac:dyDescent="0.2">
      <c r="A1086" s="402"/>
      <c r="B1086" s="402"/>
      <c r="C1086" s="402"/>
    </row>
    <row r="1087" spans="1:3" x14ac:dyDescent="0.2">
      <c r="A1087" s="402"/>
      <c r="B1087" s="402"/>
      <c r="C1087" s="402"/>
    </row>
    <row r="1088" spans="1:3" x14ac:dyDescent="0.2">
      <c r="A1088" s="402"/>
      <c r="B1088" s="402"/>
      <c r="C1088" s="402"/>
    </row>
    <row r="1089" spans="1:3" x14ac:dyDescent="0.2">
      <c r="A1089" s="402"/>
      <c r="B1089" s="402"/>
      <c r="C1089" s="402"/>
    </row>
    <row r="1090" spans="1:3" x14ac:dyDescent="0.2">
      <c r="A1090" s="402"/>
      <c r="B1090" s="402"/>
      <c r="C1090" s="402"/>
    </row>
    <row r="1091" spans="1:3" x14ac:dyDescent="0.2">
      <c r="A1091" s="402"/>
      <c r="B1091" s="402"/>
      <c r="C1091" s="402"/>
    </row>
    <row r="1092" spans="1:3" x14ac:dyDescent="0.2">
      <c r="A1092" s="402"/>
      <c r="B1092" s="402"/>
      <c r="C1092" s="402"/>
    </row>
    <row r="1093" spans="1:3" x14ac:dyDescent="0.2">
      <c r="A1093" s="402"/>
      <c r="B1093" s="402"/>
      <c r="C1093" s="402"/>
    </row>
    <row r="1094" spans="1:3" x14ac:dyDescent="0.2">
      <c r="A1094" s="402"/>
      <c r="B1094" s="402"/>
      <c r="C1094" s="402"/>
    </row>
    <row r="1095" spans="1:3" x14ac:dyDescent="0.2">
      <c r="A1095" s="402"/>
      <c r="B1095" s="402"/>
      <c r="C1095" s="402"/>
    </row>
    <row r="1096" spans="1:3" x14ac:dyDescent="0.2">
      <c r="A1096" s="402"/>
      <c r="B1096" s="402"/>
      <c r="C1096" s="402"/>
    </row>
    <row r="1097" spans="1:3" x14ac:dyDescent="0.2">
      <c r="A1097" s="402"/>
      <c r="B1097" s="402"/>
      <c r="C1097" s="402"/>
    </row>
    <row r="1098" spans="1:3" x14ac:dyDescent="0.2">
      <c r="A1098" s="402"/>
      <c r="B1098" s="402"/>
      <c r="C1098" s="402"/>
    </row>
    <row r="1099" spans="1:3" x14ac:dyDescent="0.2">
      <c r="A1099" s="402"/>
      <c r="B1099" s="402"/>
      <c r="C1099" s="402"/>
    </row>
    <row r="1100" spans="1:3" x14ac:dyDescent="0.2">
      <c r="A1100" s="402"/>
      <c r="B1100" s="402"/>
      <c r="C1100" s="402"/>
    </row>
    <row r="1101" spans="1:3" x14ac:dyDescent="0.2">
      <c r="A1101" s="402"/>
      <c r="B1101" s="402"/>
      <c r="C1101" s="402"/>
    </row>
    <row r="1102" spans="1:3" x14ac:dyDescent="0.2">
      <c r="A1102" s="402"/>
      <c r="B1102" s="402"/>
      <c r="C1102" s="402"/>
    </row>
    <row r="1103" spans="1:3" x14ac:dyDescent="0.2">
      <c r="A1103" s="402"/>
      <c r="B1103" s="402"/>
      <c r="C1103" s="402"/>
    </row>
    <row r="1104" spans="1:3" x14ac:dyDescent="0.2">
      <c r="A1104" s="402"/>
      <c r="B1104" s="402"/>
      <c r="C1104" s="402"/>
    </row>
    <row r="1105" spans="1:3" x14ac:dyDescent="0.2">
      <c r="A1105" s="402"/>
      <c r="B1105" s="402"/>
      <c r="C1105" s="402"/>
    </row>
    <row r="1106" spans="1:3" x14ac:dyDescent="0.2">
      <c r="A1106" s="402"/>
      <c r="B1106" s="402"/>
      <c r="C1106" s="402"/>
    </row>
    <row r="1107" spans="1:3" x14ac:dyDescent="0.2">
      <c r="A1107" s="402"/>
      <c r="B1107" s="402"/>
      <c r="C1107" s="402"/>
    </row>
    <row r="1108" spans="1:3" x14ac:dyDescent="0.2">
      <c r="A1108" s="402"/>
      <c r="B1108" s="402"/>
      <c r="C1108" s="402"/>
    </row>
    <row r="1109" spans="1:3" x14ac:dyDescent="0.2">
      <c r="A1109" s="402"/>
      <c r="B1109" s="402"/>
      <c r="C1109" s="402"/>
    </row>
    <row r="1110" spans="1:3" x14ac:dyDescent="0.2">
      <c r="A1110" s="402"/>
      <c r="B1110" s="402"/>
      <c r="C1110" s="402"/>
    </row>
    <row r="1111" spans="1:3" x14ac:dyDescent="0.2">
      <c r="A1111" s="402"/>
      <c r="B1111" s="402"/>
      <c r="C1111" s="402"/>
    </row>
    <row r="1112" spans="1:3" x14ac:dyDescent="0.2">
      <c r="A1112" s="402"/>
      <c r="B1112" s="402"/>
      <c r="C1112" s="402"/>
    </row>
    <row r="1113" spans="1:3" x14ac:dyDescent="0.2">
      <c r="A1113" s="402"/>
      <c r="B1113" s="402"/>
      <c r="C1113" s="402"/>
    </row>
    <row r="1114" spans="1:3" x14ac:dyDescent="0.2">
      <c r="A1114" s="402"/>
      <c r="B1114" s="402"/>
      <c r="C1114" s="402"/>
    </row>
    <row r="1115" spans="1:3" x14ac:dyDescent="0.2">
      <c r="A1115" s="402"/>
      <c r="B1115" s="402"/>
      <c r="C1115" s="402"/>
    </row>
    <row r="1116" spans="1:3" x14ac:dyDescent="0.2">
      <c r="A1116" s="402"/>
      <c r="B1116" s="402"/>
      <c r="C1116" s="402"/>
    </row>
    <row r="1117" spans="1:3" x14ac:dyDescent="0.2">
      <c r="A1117" s="402"/>
      <c r="B1117" s="402"/>
      <c r="C1117" s="402"/>
    </row>
    <row r="1118" spans="1:3" x14ac:dyDescent="0.2">
      <c r="A1118" s="402"/>
      <c r="B1118" s="402"/>
      <c r="C1118" s="402"/>
    </row>
    <row r="1119" spans="1:3" x14ac:dyDescent="0.2">
      <c r="A1119" s="402"/>
      <c r="B1119" s="402"/>
      <c r="C1119" s="402"/>
    </row>
    <row r="1120" spans="1:3" x14ac:dyDescent="0.2">
      <c r="A1120" s="402"/>
      <c r="B1120" s="402"/>
      <c r="C1120" s="402"/>
    </row>
    <row r="1121" spans="1:3" x14ac:dyDescent="0.2">
      <c r="A1121" s="402"/>
      <c r="B1121" s="402"/>
      <c r="C1121" s="402"/>
    </row>
    <row r="1122" spans="1:3" x14ac:dyDescent="0.2">
      <c r="A1122" s="402"/>
      <c r="B1122" s="402"/>
      <c r="C1122" s="402"/>
    </row>
    <row r="1123" spans="1:3" x14ac:dyDescent="0.2">
      <c r="A1123" s="402"/>
      <c r="B1123" s="402"/>
      <c r="C1123" s="402"/>
    </row>
    <row r="1124" spans="1:3" x14ac:dyDescent="0.2">
      <c r="A1124" s="402"/>
      <c r="B1124" s="402"/>
      <c r="C1124" s="402"/>
    </row>
    <row r="1125" spans="1:3" x14ac:dyDescent="0.2">
      <c r="A1125" s="402"/>
      <c r="B1125" s="402"/>
      <c r="C1125" s="402"/>
    </row>
    <row r="1126" spans="1:3" x14ac:dyDescent="0.2">
      <c r="A1126" s="402"/>
      <c r="B1126" s="402"/>
      <c r="C1126" s="402"/>
    </row>
    <row r="1127" spans="1:3" x14ac:dyDescent="0.2">
      <c r="A1127" s="402"/>
      <c r="B1127" s="402"/>
      <c r="C1127" s="402"/>
    </row>
    <row r="1128" spans="1:3" x14ac:dyDescent="0.2">
      <c r="A1128" s="402"/>
      <c r="B1128" s="402"/>
      <c r="C1128" s="402"/>
    </row>
    <row r="1129" spans="1:3" x14ac:dyDescent="0.2">
      <c r="A1129" s="402"/>
      <c r="B1129" s="402"/>
      <c r="C1129" s="402"/>
    </row>
    <row r="1130" spans="1:3" x14ac:dyDescent="0.2">
      <c r="A1130" s="402"/>
      <c r="B1130" s="402"/>
      <c r="C1130" s="402"/>
    </row>
    <row r="1131" spans="1:3" x14ac:dyDescent="0.2">
      <c r="A1131" s="402"/>
      <c r="B1131" s="402"/>
      <c r="C1131" s="402"/>
    </row>
    <row r="1132" spans="1:3" x14ac:dyDescent="0.2">
      <c r="A1132" s="402"/>
      <c r="B1132" s="402"/>
      <c r="C1132" s="402"/>
    </row>
    <row r="1133" spans="1:3" x14ac:dyDescent="0.2">
      <c r="A1133" s="402"/>
      <c r="B1133" s="402"/>
      <c r="C1133" s="402"/>
    </row>
    <row r="1134" spans="1:3" x14ac:dyDescent="0.2">
      <c r="A1134" s="402"/>
      <c r="B1134" s="402"/>
      <c r="C1134" s="402"/>
    </row>
    <row r="1135" spans="1:3" x14ac:dyDescent="0.2">
      <c r="A1135" s="402"/>
      <c r="B1135" s="402"/>
      <c r="C1135" s="402"/>
    </row>
    <row r="1136" spans="1:3" x14ac:dyDescent="0.2">
      <c r="A1136" s="402"/>
      <c r="B1136" s="402"/>
      <c r="C1136" s="402"/>
    </row>
    <row r="1137" spans="1:3" x14ac:dyDescent="0.2">
      <c r="A1137" s="402"/>
      <c r="B1137" s="402"/>
      <c r="C1137" s="402"/>
    </row>
    <row r="1138" spans="1:3" x14ac:dyDescent="0.2">
      <c r="A1138" s="402"/>
      <c r="B1138" s="402"/>
      <c r="C1138" s="402"/>
    </row>
    <row r="1139" spans="1:3" x14ac:dyDescent="0.2">
      <c r="A1139" s="402"/>
      <c r="B1139" s="402"/>
      <c r="C1139" s="402"/>
    </row>
    <row r="1140" spans="1:3" x14ac:dyDescent="0.2">
      <c r="A1140" s="402"/>
      <c r="B1140" s="402"/>
      <c r="C1140" s="402"/>
    </row>
    <row r="1141" spans="1:3" x14ac:dyDescent="0.2">
      <c r="A1141" s="402"/>
      <c r="B1141" s="402"/>
      <c r="C1141" s="402"/>
    </row>
    <row r="1142" spans="1:3" x14ac:dyDescent="0.2">
      <c r="A1142" s="402"/>
      <c r="B1142" s="402"/>
      <c r="C1142" s="402"/>
    </row>
    <row r="1143" spans="1:3" x14ac:dyDescent="0.2">
      <c r="A1143" s="402"/>
      <c r="B1143" s="402"/>
      <c r="C1143" s="402"/>
    </row>
    <row r="1144" spans="1:3" x14ac:dyDescent="0.2">
      <c r="A1144" s="402"/>
      <c r="B1144" s="402"/>
      <c r="C1144" s="402"/>
    </row>
    <row r="1145" spans="1:3" x14ac:dyDescent="0.2">
      <c r="A1145" s="402"/>
      <c r="B1145" s="402"/>
      <c r="C1145" s="402"/>
    </row>
    <row r="1146" spans="1:3" x14ac:dyDescent="0.2">
      <c r="A1146" s="402"/>
      <c r="B1146" s="402"/>
      <c r="C1146" s="402"/>
    </row>
    <row r="1147" spans="1:3" x14ac:dyDescent="0.2">
      <c r="A1147" s="402"/>
      <c r="B1147" s="402"/>
      <c r="C1147" s="402"/>
    </row>
    <row r="1148" spans="1:3" x14ac:dyDescent="0.2">
      <c r="A1148" s="402"/>
      <c r="B1148" s="402"/>
      <c r="C1148" s="402"/>
    </row>
    <row r="1149" spans="1:3" x14ac:dyDescent="0.2">
      <c r="A1149" s="402"/>
      <c r="B1149" s="402"/>
      <c r="C1149" s="402"/>
    </row>
    <row r="1150" spans="1:3" x14ac:dyDescent="0.2">
      <c r="A1150" s="402"/>
      <c r="B1150" s="402"/>
      <c r="C1150" s="402"/>
    </row>
    <row r="1151" spans="1:3" x14ac:dyDescent="0.2">
      <c r="A1151" s="402"/>
      <c r="B1151" s="402"/>
      <c r="C1151" s="402"/>
    </row>
    <row r="1152" spans="1:3" x14ac:dyDescent="0.2">
      <c r="A1152" s="402"/>
      <c r="B1152" s="402"/>
      <c r="C1152" s="402"/>
    </row>
    <row r="1153" spans="1:3" x14ac:dyDescent="0.2">
      <c r="A1153" s="402"/>
      <c r="B1153" s="402"/>
      <c r="C1153" s="402"/>
    </row>
    <row r="1154" spans="1:3" x14ac:dyDescent="0.2">
      <c r="A1154" s="402"/>
      <c r="B1154" s="402"/>
      <c r="C1154" s="402"/>
    </row>
    <row r="1155" spans="1:3" x14ac:dyDescent="0.2">
      <c r="A1155" s="402"/>
      <c r="B1155" s="402"/>
      <c r="C1155" s="402"/>
    </row>
    <row r="1156" spans="1:3" x14ac:dyDescent="0.2">
      <c r="A1156" s="402"/>
      <c r="B1156" s="402"/>
      <c r="C1156" s="402"/>
    </row>
    <row r="1157" spans="1:3" x14ac:dyDescent="0.2">
      <c r="A1157" s="402"/>
      <c r="B1157" s="402"/>
      <c r="C1157" s="402"/>
    </row>
    <row r="1158" spans="1:3" x14ac:dyDescent="0.2">
      <c r="A1158" s="402"/>
      <c r="B1158" s="402"/>
      <c r="C1158" s="402"/>
    </row>
    <row r="1159" spans="1:3" x14ac:dyDescent="0.2">
      <c r="A1159" s="402"/>
      <c r="B1159" s="402"/>
      <c r="C1159" s="402"/>
    </row>
    <row r="1160" spans="1:3" x14ac:dyDescent="0.2">
      <c r="A1160" s="402"/>
      <c r="B1160" s="402"/>
      <c r="C1160" s="402"/>
    </row>
    <row r="1161" spans="1:3" x14ac:dyDescent="0.2">
      <c r="A1161" s="402"/>
      <c r="B1161" s="402"/>
      <c r="C1161" s="402"/>
    </row>
    <row r="1162" spans="1:3" x14ac:dyDescent="0.2">
      <c r="A1162" s="402"/>
      <c r="B1162" s="402"/>
      <c r="C1162" s="402"/>
    </row>
    <row r="1163" spans="1:3" x14ac:dyDescent="0.2">
      <c r="A1163" s="402"/>
      <c r="B1163" s="402"/>
      <c r="C1163" s="402"/>
    </row>
    <row r="1164" spans="1:3" x14ac:dyDescent="0.2">
      <c r="A1164" s="402"/>
      <c r="B1164" s="402"/>
      <c r="C1164" s="402"/>
    </row>
    <row r="1165" spans="1:3" x14ac:dyDescent="0.2">
      <c r="A1165" s="402"/>
      <c r="B1165" s="402"/>
      <c r="C1165" s="402"/>
    </row>
    <row r="1166" spans="1:3" x14ac:dyDescent="0.2">
      <c r="A1166" s="402"/>
      <c r="B1166" s="402"/>
      <c r="C1166" s="402"/>
    </row>
    <row r="1167" spans="1:3" x14ac:dyDescent="0.2">
      <c r="A1167" s="402"/>
      <c r="B1167" s="402"/>
      <c r="C1167" s="402"/>
    </row>
    <row r="1168" spans="1:3" x14ac:dyDescent="0.2">
      <c r="A1168" s="402"/>
      <c r="B1168" s="402"/>
      <c r="C1168" s="402"/>
    </row>
    <row r="1169" spans="1:3" x14ac:dyDescent="0.2">
      <c r="A1169" s="402"/>
      <c r="B1169" s="402"/>
      <c r="C1169" s="402"/>
    </row>
    <row r="1170" spans="1:3" x14ac:dyDescent="0.2">
      <c r="A1170" s="402"/>
      <c r="B1170" s="402"/>
      <c r="C1170" s="402"/>
    </row>
    <row r="1171" spans="1:3" x14ac:dyDescent="0.2">
      <c r="A1171" s="402"/>
      <c r="B1171" s="402"/>
      <c r="C1171" s="402"/>
    </row>
    <row r="1172" spans="1:3" x14ac:dyDescent="0.2">
      <c r="A1172" s="402"/>
      <c r="B1172" s="402"/>
      <c r="C1172" s="402"/>
    </row>
    <row r="1173" spans="1:3" x14ac:dyDescent="0.2">
      <c r="A1173" s="402"/>
      <c r="B1173" s="402"/>
      <c r="C1173" s="402"/>
    </row>
    <row r="1174" spans="1:3" x14ac:dyDescent="0.2">
      <c r="A1174" s="402"/>
      <c r="B1174" s="402"/>
      <c r="C1174" s="402"/>
    </row>
    <row r="1175" spans="1:3" x14ac:dyDescent="0.2">
      <c r="A1175" s="402"/>
      <c r="B1175" s="402"/>
      <c r="C1175" s="402"/>
    </row>
    <row r="1176" spans="1:3" x14ac:dyDescent="0.2">
      <c r="A1176" s="402"/>
      <c r="B1176" s="402"/>
      <c r="C1176" s="402"/>
    </row>
    <row r="1177" spans="1:3" x14ac:dyDescent="0.2">
      <c r="A1177" s="402"/>
      <c r="B1177" s="402"/>
      <c r="C1177" s="402"/>
    </row>
    <row r="1178" spans="1:3" x14ac:dyDescent="0.2">
      <c r="A1178" s="402"/>
      <c r="B1178" s="402"/>
      <c r="C1178" s="402"/>
    </row>
    <row r="1179" spans="1:3" x14ac:dyDescent="0.2">
      <c r="A1179" s="402"/>
      <c r="B1179" s="402"/>
      <c r="C1179" s="402"/>
    </row>
    <row r="1180" spans="1:3" x14ac:dyDescent="0.2">
      <c r="A1180" s="402"/>
      <c r="B1180" s="402"/>
      <c r="C1180" s="402"/>
    </row>
    <row r="1181" spans="1:3" x14ac:dyDescent="0.2">
      <c r="A1181" s="402"/>
      <c r="B1181" s="402"/>
      <c r="C1181" s="402"/>
    </row>
    <row r="1182" spans="1:3" x14ac:dyDescent="0.2">
      <c r="A1182" s="402"/>
      <c r="B1182" s="402"/>
      <c r="C1182" s="402"/>
    </row>
    <row r="1183" spans="1:3" x14ac:dyDescent="0.2">
      <c r="A1183" s="402"/>
      <c r="B1183" s="402"/>
      <c r="C1183" s="402"/>
    </row>
    <row r="1184" spans="1:3" x14ac:dyDescent="0.2">
      <c r="A1184" s="402"/>
      <c r="B1184" s="402"/>
      <c r="C1184" s="402"/>
    </row>
    <row r="1185" spans="1:3" x14ac:dyDescent="0.2">
      <c r="A1185" s="402"/>
      <c r="B1185" s="402"/>
      <c r="C1185" s="402"/>
    </row>
    <row r="1186" spans="1:3" x14ac:dyDescent="0.2">
      <c r="A1186" s="402"/>
      <c r="B1186" s="402"/>
      <c r="C1186" s="402"/>
    </row>
    <row r="1187" spans="1:3" x14ac:dyDescent="0.2">
      <c r="A1187" s="402"/>
      <c r="B1187" s="402"/>
      <c r="C1187" s="402"/>
    </row>
    <row r="1188" spans="1:3" x14ac:dyDescent="0.2">
      <c r="A1188" s="402"/>
      <c r="B1188" s="402"/>
      <c r="C1188" s="402"/>
    </row>
    <row r="1189" spans="1:3" x14ac:dyDescent="0.2">
      <c r="A1189" s="402"/>
      <c r="B1189" s="402"/>
      <c r="C1189" s="402"/>
    </row>
    <row r="1190" spans="1:3" x14ac:dyDescent="0.2">
      <c r="A1190" s="402"/>
      <c r="B1190" s="402"/>
      <c r="C1190" s="402"/>
    </row>
    <row r="1191" spans="1:3" x14ac:dyDescent="0.2">
      <c r="A1191" s="402"/>
      <c r="B1191" s="402"/>
      <c r="C1191" s="402"/>
    </row>
    <row r="1192" spans="1:3" x14ac:dyDescent="0.2">
      <c r="A1192" s="402"/>
      <c r="B1192" s="402"/>
      <c r="C1192" s="402"/>
    </row>
    <row r="1193" spans="1:3" x14ac:dyDescent="0.2">
      <c r="A1193" s="402"/>
      <c r="B1193" s="402"/>
      <c r="C1193" s="402"/>
    </row>
    <row r="1194" spans="1:3" x14ac:dyDescent="0.2">
      <c r="A1194" s="402"/>
      <c r="B1194" s="402"/>
      <c r="C1194" s="402"/>
    </row>
    <row r="1195" spans="1:3" x14ac:dyDescent="0.2">
      <c r="A1195" s="402"/>
      <c r="B1195" s="402"/>
      <c r="C1195" s="402"/>
    </row>
    <row r="1196" spans="1:3" x14ac:dyDescent="0.2">
      <c r="A1196" s="402"/>
      <c r="B1196" s="402"/>
      <c r="C1196" s="402"/>
    </row>
    <row r="1197" spans="1:3" x14ac:dyDescent="0.2">
      <c r="A1197" s="402"/>
      <c r="B1197" s="402"/>
      <c r="C1197" s="402"/>
    </row>
    <row r="1198" spans="1:3" x14ac:dyDescent="0.2">
      <c r="A1198" s="402"/>
      <c r="B1198" s="402"/>
      <c r="C1198" s="402"/>
    </row>
    <row r="1199" spans="1:3" x14ac:dyDescent="0.2">
      <c r="A1199" s="402"/>
      <c r="B1199" s="402"/>
      <c r="C1199" s="402"/>
    </row>
    <row r="1200" spans="1:3" x14ac:dyDescent="0.2">
      <c r="A1200" s="402"/>
      <c r="B1200" s="402"/>
      <c r="C1200" s="402"/>
    </row>
    <row r="1201" spans="1:3" x14ac:dyDescent="0.2">
      <c r="A1201" s="402"/>
      <c r="B1201" s="402"/>
      <c r="C1201" s="402"/>
    </row>
    <row r="1202" spans="1:3" x14ac:dyDescent="0.2">
      <c r="A1202" s="402"/>
      <c r="B1202" s="402"/>
      <c r="C1202" s="402"/>
    </row>
    <row r="1203" spans="1:3" x14ac:dyDescent="0.2">
      <c r="A1203" s="402"/>
      <c r="B1203" s="402"/>
      <c r="C1203" s="402"/>
    </row>
    <row r="1204" spans="1:3" x14ac:dyDescent="0.2">
      <c r="A1204" s="402"/>
      <c r="B1204" s="402"/>
      <c r="C1204" s="402"/>
    </row>
    <row r="1205" spans="1:3" x14ac:dyDescent="0.2">
      <c r="A1205" s="402"/>
      <c r="B1205" s="402"/>
      <c r="C1205" s="402"/>
    </row>
    <row r="1206" spans="1:3" x14ac:dyDescent="0.2">
      <c r="A1206" s="402"/>
      <c r="B1206" s="402"/>
      <c r="C1206" s="402"/>
    </row>
    <row r="1207" spans="1:3" x14ac:dyDescent="0.2">
      <c r="A1207" s="402"/>
      <c r="B1207" s="402"/>
      <c r="C1207" s="402"/>
    </row>
    <row r="1208" spans="1:3" x14ac:dyDescent="0.2">
      <c r="A1208" s="402"/>
      <c r="B1208" s="402"/>
      <c r="C1208" s="402"/>
    </row>
    <row r="1209" spans="1:3" x14ac:dyDescent="0.2">
      <c r="A1209" s="402"/>
      <c r="B1209" s="402"/>
      <c r="C1209" s="402"/>
    </row>
    <row r="1210" spans="1:3" x14ac:dyDescent="0.2">
      <c r="A1210" s="402"/>
      <c r="B1210" s="402"/>
      <c r="C1210" s="402"/>
    </row>
    <row r="1211" spans="1:3" x14ac:dyDescent="0.2">
      <c r="A1211" s="402"/>
      <c r="B1211" s="402"/>
      <c r="C1211" s="402"/>
    </row>
    <row r="1212" spans="1:3" x14ac:dyDescent="0.2">
      <c r="A1212" s="402"/>
      <c r="B1212" s="402"/>
      <c r="C1212" s="402"/>
    </row>
    <row r="1213" spans="1:3" x14ac:dyDescent="0.2">
      <c r="A1213" s="402"/>
      <c r="B1213" s="402"/>
      <c r="C1213" s="402"/>
    </row>
    <row r="1214" spans="1:3" x14ac:dyDescent="0.2">
      <c r="A1214" s="402"/>
      <c r="B1214" s="402"/>
      <c r="C1214" s="402"/>
    </row>
    <row r="1215" spans="1:3" x14ac:dyDescent="0.2">
      <c r="A1215" s="402"/>
      <c r="B1215" s="402"/>
      <c r="C1215" s="402"/>
    </row>
    <row r="1216" spans="1:3" x14ac:dyDescent="0.2">
      <c r="A1216" s="402"/>
      <c r="B1216" s="402"/>
      <c r="C1216" s="402"/>
    </row>
    <row r="1217" spans="1:3" x14ac:dyDescent="0.2">
      <c r="A1217" s="402"/>
      <c r="B1217" s="402"/>
      <c r="C1217" s="402"/>
    </row>
    <row r="1218" spans="1:3" x14ac:dyDescent="0.2">
      <c r="A1218" s="402"/>
      <c r="B1218" s="402"/>
      <c r="C1218" s="402"/>
    </row>
    <row r="1219" spans="1:3" x14ac:dyDescent="0.2">
      <c r="A1219" s="402"/>
      <c r="B1219" s="402"/>
      <c r="C1219" s="402"/>
    </row>
    <row r="1220" spans="1:3" x14ac:dyDescent="0.2">
      <c r="A1220" s="402"/>
      <c r="B1220" s="402"/>
      <c r="C1220" s="402"/>
    </row>
    <row r="1221" spans="1:3" x14ac:dyDescent="0.2">
      <c r="A1221" s="402"/>
      <c r="B1221" s="402"/>
      <c r="C1221" s="402"/>
    </row>
    <row r="1222" spans="1:3" x14ac:dyDescent="0.2">
      <c r="A1222" s="402"/>
      <c r="B1222" s="402"/>
      <c r="C1222" s="402"/>
    </row>
    <row r="1223" spans="1:3" x14ac:dyDescent="0.2">
      <c r="A1223" s="402"/>
      <c r="B1223" s="402"/>
      <c r="C1223" s="402"/>
    </row>
    <row r="1224" spans="1:3" x14ac:dyDescent="0.2">
      <c r="A1224" s="402"/>
      <c r="B1224" s="402"/>
      <c r="C1224" s="402"/>
    </row>
    <row r="1225" spans="1:3" x14ac:dyDescent="0.2">
      <c r="A1225" s="402"/>
      <c r="B1225" s="402"/>
      <c r="C1225" s="402"/>
    </row>
    <row r="1226" spans="1:3" x14ac:dyDescent="0.2">
      <c r="A1226" s="402"/>
      <c r="B1226" s="402"/>
      <c r="C1226" s="402"/>
    </row>
    <row r="1227" spans="1:3" x14ac:dyDescent="0.2">
      <c r="A1227" s="402"/>
      <c r="B1227" s="402"/>
      <c r="C1227" s="402"/>
    </row>
    <row r="1228" spans="1:3" x14ac:dyDescent="0.2">
      <c r="A1228" s="402"/>
      <c r="B1228" s="402"/>
      <c r="C1228" s="402"/>
    </row>
    <row r="1229" spans="1:3" x14ac:dyDescent="0.2">
      <c r="A1229" s="402"/>
      <c r="B1229" s="402"/>
      <c r="C1229" s="402"/>
    </row>
    <row r="1230" spans="1:3" x14ac:dyDescent="0.2">
      <c r="A1230" s="402"/>
      <c r="B1230" s="402"/>
      <c r="C1230" s="402"/>
    </row>
    <row r="1231" spans="1:3" x14ac:dyDescent="0.2">
      <c r="A1231" s="402"/>
      <c r="B1231" s="402"/>
      <c r="C1231" s="402"/>
    </row>
    <row r="1232" spans="1:3" x14ac:dyDescent="0.2">
      <c r="A1232" s="402"/>
      <c r="B1232" s="402"/>
      <c r="C1232" s="402"/>
    </row>
    <row r="1233" spans="1:3" x14ac:dyDescent="0.2">
      <c r="A1233" s="402"/>
      <c r="B1233" s="402"/>
      <c r="C1233" s="402"/>
    </row>
    <row r="1234" spans="1:3" x14ac:dyDescent="0.2">
      <c r="A1234" s="402"/>
      <c r="B1234" s="402"/>
      <c r="C1234" s="402"/>
    </row>
    <row r="1235" spans="1:3" x14ac:dyDescent="0.2">
      <c r="A1235" s="402"/>
      <c r="B1235" s="402"/>
      <c r="C1235" s="402"/>
    </row>
    <row r="1236" spans="1:3" x14ac:dyDescent="0.2">
      <c r="A1236" s="402"/>
      <c r="B1236" s="402"/>
      <c r="C1236" s="402"/>
    </row>
    <row r="1237" spans="1:3" x14ac:dyDescent="0.2">
      <c r="A1237" s="402"/>
      <c r="B1237" s="402"/>
      <c r="C1237" s="402"/>
    </row>
    <row r="1238" spans="1:3" x14ac:dyDescent="0.2">
      <c r="A1238" s="402"/>
      <c r="B1238" s="402"/>
      <c r="C1238" s="402"/>
    </row>
    <row r="1239" spans="1:3" x14ac:dyDescent="0.2">
      <c r="A1239" s="402"/>
      <c r="B1239" s="402"/>
      <c r="C1239" s="402"/>
    </row>
    <row r="1240" spans="1:3" x14ac:dyDescent="0.2">
      <c r="A1240" s="402"/>
      <c r="B1240" s="402"/>
      <c r="C1240" s="402"/>
    </row>
    <row r="1241" spans="1:3" x14ac:dyDescent="0.2">
      <c r="A1241" s="402"/>
      <c r="B1241" s="402"/>
      <c r="C1241" s="402"/>
    </row>
    <row r="1242" spans="1:3" x14ac:dyDescent="0.2">
      <c r="A1242" s="402"/>
      <c r="B1242" s="402"/>
      <c r="C1242" s="402"/>
    </row>
    <row r="1243" spans="1:3" x14ac:dyDescent="0.2">
      <c r="A1243" s="402"/>
      <c r="B1243" s="402"/>
      <c r="C1243" s="402"/>
    </row>
    <row r="1244" spans="1:3" x14ac:dyDescent="0.2">
      <c r="A1244" s="402"/>
      <c r="B1244" s="402"/>
      <c r="C1244" s="402"/>
    </row>
    <row r="1245" spans="1:3" x14ac:dyDescent="0.2">
      <c r="A1245" s="402"/>
      <c r="B1245" s="402"/>
      <c r="C1245" s="402"/>
    </row>
    <row r="1246" spans="1:3" x14ac:dyDescent="0.2">
      <c r="A1246" s="402"/>
      <c r="B1246" s="402"/>
      <c r="C1246" s="402"/>
    </row>
    <row r="1247" spans="1:3" x14ac:dyDescent="0.2">
      <c r="A1247" s="402"/>
      <c r="B1247" s="402"/>
      <c r="C1247" s="402"/>
    </row>
    <row r="1248" spans="1:3" x14ac:dyDescent="0.2">
      <c r="A1248" s="402"/>
      <c r="B1248" s="402"/>
      <c r="C1248" s="402"/>
    </row>
    <row r="1249" spans="1:3" x14ac:dyDescent="0.2">
      <c r="A1249" s="402"/>
      <c r="B1249" s="402"/>
      <c r="C1249" s="402"/>
    </row>
    <row r="1250" spans="1:3" x14ac:dyDescent="0.2">
      <c r="A1250" s="402"/>
      <c r="B1250" s="402"/>
      <c r="C1250" s="402"/>
    </row>
    <row r="1251" spans="1:3" x14ac:dyDescent="0.2">
      <c r="A1251" s="402"/>
      <c r="B1251" s="402"/>
      <c r="C1251" s="402"/>
    </row>
    <row r="1252" spans="1:3" x14ac:dyDescent="0.2">
      <c r="A1252" s="402"/>
      <c r="B1252" s="402"/>
      <c r="C1252" s="402"/>
    </row>
    <row r="1253" spans="1:3" x14ac:dyDescent="0.2">
      <c r="A1253" s="402"/>
      <c r="B1253" s="402"/>
      <c r="C1253" s="402"/>
    </row>
    <row r="1254" spans="1:3" x14ac:dyDescent="0.2">
      <c r="A1254" s="402"/>
      <c r="B1254" s="402"/>
      <c r="C1254" s="402"/>
    </row>
    <row r="1255" spans="1:3" x14ac:dyDescent="0.2">
      <c r="A1255" s="402"/>
      <c r="B1255" s="402"/>
      <c r="C1255" s="402"/>
    </row>
    <row r="1256" spans="1:3" x14ac:dyDescent="0.2">
      <c r="A1256" s="402"/>
      <c r="B1256" s="402"/>
      <c r="C1256" s="402"/>
    </row>
    <row r="1257" spans="1:3" x14ac:dyDescent="0.2">
      <c r="A1257" s="402"/>
      <c r="B1257" s="402"/>
      <c r="C1257" s="402"/>
    </row>
    <row r="1258" spans="1:3" x14ac:dyDescent="0.2">
      <c r="A1258" s="402"/>
      <c r="B1258" s="402"/>
      <c r="C1258" s="402"/>
    </row>
    <row r="1259" spans="1:3" x14ac:dyDescent="0.2">
      <c r="A1259" s="402"/>
      <c r="B1259" s="402"/>
      <c r="C1259" s="402"/>
    </row>
    <row r="1260" spans="1:3" x14ac:dyDescent="0.2">
      <c r="A1260" s="402"/>
      <c r="B1260" s="402"/>
      <c r="C1260" s="402"/>
    </row>
    <row r="1261" spans="1:3" x14ac:dyDescent="0.2">
      <c r="A1261" s="402"/>
      <c r="B1261" s="402"/>
      <c r="C1261" s="402"/>
    </row>
    <row r="1262" spans="1:3" x14ac:dyDescent="0.2">
      <c r="A1262" s="402"/>
      <c r="B1262" s="402"/>
      <c r="C1262" s="402"/>
    </row>
    <row r="1263" spans="1:3" x14ac:dyDescent="0.2">
      <c r="A1263" s="402"/>
      <c r="B1263" s="402"/>
      <c r="C1263" s="402"/>
    </row>
    <row r="1264" spans="1:3" x14ac:dyDescent="0.2">
      <c r="A1264" s="402"/>
      <c r="B1264" s="402"/>
      <c r="C1264" s="402"/>
    </row>
    <row r="1265" spans="1:3" x14ac:dyDescent="0.2">
      <c r="A1265" s="402"/>
      <c r="B1265" s="402"/>
      <c r="C1265" s="402"/>
    </row>
    <row r="1266" spans="1:3" x14ac:dyDescent="0.2">
      <c r="A1266" s="402"/>
      <c r="B1266" s="402"/>
      <c r="C1266" s="402"/>
    </row>
    <row r="1267" spans="1:3" x14ac:dyDescent="0.2">
      <c r="A1267" s="402"/>
      <c r="B1267" s="402"/>
      <c r="C1267" s="402"/>
    </row>
    <row r="1268" spans="1:3" x14ac:dyDescent="0.2">
      <c r="A1268" s="402"/>
      <c r="B1268" s="402"/>
      <c r="C1268" s="402"/>
    </row>
    <row r="1269" spans="1:3" x14ac:dyDescent="0.2">
      <c r="A1269" s="402"/>
      <c r="B1269" s="402"/>
      <c r="C1269" s="402"/>
    </row>
    <row r="1270" spans="1:3" x14ac:dyDescent="0.2">
      <c r="A1270" s="402"/>
      <c r="B1270" s="402"/>
      <c r="C1270" s="402"/>
    </row>
    <row r="1271" spans="1:3" x14ac:dyDescent="0.2">
      <c r="A1271" s="402"/>
      <c r="B1271" s="402"/>
      <c r="C1271" s="402"/>
    </row>
    <row r="1272" spans="1:3" x14ac:dyDescent="0.2">
      <c r="A1272" s="402"/>
      <c r="B1272" s="402"/>
      <c r="C1272" s="402"/>
    </row>
    <row r="1273" spans="1:3" x14ac:dyDescent="0.2">
      <c r="A1273" s="402"/>
      <c r="B1273" s="402"/>
      <c r="C1273" s="402"/>
    </row>
    <row r="1274" spans="1:3" x14ac:dyDescent="0.2">
      <c r="A1274" s="402"/>
      <c r="B1274" s="402"/>
      <c r="C1274" s="402"/>
    </row>
    <row r="1275" spans="1:3" x14ac:dyDescent="0.2">
      <c r="A1275" s="402"/>
      <c r="B1275" s="402"/>
      <c r="C1275" s="402"/>
    </row>
    <row r="1276" spans="1:3" x14ac:dyDescent="0.2">
      <c r="A1276" s="402"/>
      <c r="B1276" s="402"/>
      <c r="C1276" s="402"/>
    </row>
    <row r="1277" spans="1:3" x14ac:dyDescent="0.2">
      <c r="A1277" s="402"/>
      <c r="B1277" s="402"/>
      <c r="C1277" s="402"/>
    </row>
    <row r="1278" spans="1:3" x14ac:dyDescent="0.2">
      <c r="A1278" s="402"/>
      <c r="B1278" s="402"/>
      <c r="C1278" s="402"/>
    </row>
    <row r="1279" spans="1:3" x14ac:dyDescent="0.2">
      <c r="A1279" s="402"/>
      <c r="B1279" s="402"/>
      <c r="C1279" s="402"/>
    </row>
    <row r="1280" spans="1:3" x14ac:dyDescent="0.2">
      <c r="A1280" s="402"/>
      <c r="B1280" s="402"/>
      <c r="C1280" s="402"/>
    </row>
    <row r="1281" spans="1:3" x14ac:dyDescent="0.2">
      <c r="A1281" s="402"/>
      <c r="B1281" s="402"/>
      <c r="C1281" s="402"/>
    </row>
    <row r="1282" spans="1:3" x14ac:dyDescent="0.2">
      <c r="A1282" s="402"/>
      <c r="B1282" s="402"/>
      <c r="C1282" s="402"/>
    </row>
    <row r="1283" spans="1:3" x14ac:dyDescent="0.2">
      <c r="A1283" s="402"/>
      <c r="B1283" s="402"/>
      <c r="C1283" s="402"/>
    </row>
    <row r="1284" spans="1:3" x14ac:dyDescent="0.2">
      <c r="A1284" s="402"/>
      <c r="B1284" s="402"/>
      <c r="C1284" s="402"/>
    </row>
    <row r="1285" spans="1:3" x14ac:dyDescent="0.2">
      <c r="A1285" s="402"/>
      <c r="B1285" s="402"/>
      <c r="C1285" s="402"/>
    </row>
    <row r="1286" spans="1:3" x14ac:dyDescent="0.2">
      <c r="A1286" s="402"/>
      <c r="B1286" s="402"/>
      <c r="C1286" s="402"/>
    </row>
    <row r="1287" spans="1:3" x14ac:dyDescent="0.2">
      <c r="A1287" s="402"/>
      <c r="B1287" s="402"/>
      <c r="C1287" s="402"/>
    </row>
    <row r="1288" spans="1:3" x14ac:dyDescent="0.2">
      <c r="A1288" s="402"/>
      <c r="B1288" s="402"/>
      <c r="C1288" s="402"/>
    </row>
    <row r="1289" spans="1:3" x14ac:dyDescent="0.2">
      <c r="A1289" s="402"/>
      <c r="B1289" s="402"/>
      <c r="C1289" s="402"/>
    </row>
    <row r="1290" spans="1:3" x14ac:dyDescent="0.2">
      <c r="A1290" s="402"/>
      <c r="B1290" s="402"/>
      <c r="C1290" s="402"/>
    </row>
    <row r="1291" spans="1:3" x14ac:dyDescent="0.2">
      <c r="A1291" s="402"/>
      <c r="B1291" s="402"/>
      <c r="C1291" s="402"/>
    </row>
    <row r="1292" spans="1:3" x14ac:dyDescent="0.2">
      <c r="A1292" s="402"/>
      <c r="B1292" s="402"/>
      <c r="C1292" s="402"/>
    </row>
    <row r="1293" spans="1:3" x14ac:dyDescent="0.2">
      <c r="A1293" s="402"/>
      <c r="B1293" s="402"/>
      <c r="C1293" s="402"/>
    </row>
    <row r="1294" spans="1:3" x14ac:dyDescent="0.2">
      <c r="A1294" s="402"/>
      <c r="B1294" s="402"/>
      <c r="C1294" s="402"/>
    </row>
    <row r="1295" spans="1:3" x14ac:dyDescent="0.2">
      <c r="A1295" s="402"/>
      <c r="B1295" s="402"/>
      <c r="C1295" s="402"/>
    </row>
    <row r="1296" spans="1:3" x14ac:dyDescent="0.2">
      <c r="A1296" s="402"/>
      <c r="B1296" s="402"/>
      <c r="C1296" s="402"/>
    </row>
    <row r="1297" spans="1:3" x14ac:dyDescent="0.2">
      <c r="A1297" s="402"/>
      <c r="B1297" s="402"/>
      <c r="C1297" s="402"/>
    </row>
    <row r="1298" spans="1:3" x14ac:dyDescent="0.2">
      <c r="A1298" s="402"/>
      <c r="B1298" s="402"/>
      <c r="C1298" s="402"/>
    </row>
    <row r="1299" spans="1:3" x14ac:dyDescent="0.2">
      <c r="A1299" s="402"/>
      <c r="B1299" s="402"/>
      <c r="C1299" s="402"/>
    </row>
    <row r="1300" spans="1:3" x14ac:dyDescent="0.2">
      <c r="A1300" s="402"/>
      <c r="B1300" s="402"/>
      <c r="C1300" s="402"/>
    </row>
    <row r="1301" spans="1:3" x14ac:dyDescent="0.2">
      <c r="A1301" s="402"/>
      <c r="B1301" s="402"/>
      <c r="C1301" s="402"/>
    </row>
    <row r="1302" spans="1:3" x14ac:dyDescent="0.2">
      <c r="A1302" s="402"/>
      <c r="B1302" s="402"/>
      <c r="C1302" s="402"/>
    </row>
    <row r="1303" spans="1:3" x14ac:dyDescent="0.2">
      <c r="A1303" s="402"/>
      <c r="B1303" s="402"/>
      <c r="C1303" s="402"/>
    </row>
    <row r="1304" spans="1:3" x14ac:dyDescent="0.2">
      <c r="A1304" s="402"/>
      <c r="B1304" s="402"/>
      <c r="C1304" s="402"/>
    </row>
    <row r="1305" spans="1:3" x14ac:dyDescent="0.2">
      <c r="A1305" s="402"/>
      <c r="B1305" s="402"/>
      <c r="C1305" s="402"/>
    </row>
    <row r="1306" spans="1:3" x14ac:dyDescent="0.2">
      <c r="A1306" s="402"/>
      <c r="B1306" s="402"/>
      <c r="C1306" s="402"/>
    </row>
    <row r="1307" spans="1:3" x14ac:dyDescent="0.2">
      <c r="A1307" s="402"/>
      <c r="B1307" s="402"/>
      <c r="C1307" s="402"/>
    </row>
    <row r="1308" spans="1:3" x14ac:dyDescent="0.2">
      <c r="A1308" s="402"/>
      <c r="B1308" s="402"/>
      <c r="C1308" s="402"/>
    </row>
    <row r="1309" spans="1:3" x14ac:dyDescent="0.2">
      <c r="A1309" s="402"/>
      <c r="B1309" s="402"/>
      <c r="C1309" s="402"/>
    </row>
    <row r="1310" spans="1:3" x14ac:dyDescent="0.2">
      <c r="A1310" s="402"/>
      <c r="B1310" s="402"/>
      <c r="C1310" s="402"/>
    </row>
    <row r="1311" spans="1:3" x14ac:dyDescent="0.2">
      <c r="A1311" s="402"/>
      <c r="B1311" s="402"/>
      <c r="C1311" s="402"/>
    </row>
    <row r="1312" spans="1:3" x14ac:dyDescent="0.2">
      <c r="A1312" s="402"/>
      <c r="B1312" s="402"/>
      <c r="C1312" s="402"/>
    </row>
    <row r="1313" spans="1:3" x14ac:dyDescent="0.2">
      <c r="A1313" s="402"/>
      <c r="B1313" s="402"/>
      <c r="C1313" s="402"/>
    </row>
    <row r="1314" spans="1:3" x14ac:dyDescent="0.2">
      <c r="A1314" s="402"/>
      <c r="B1314" s="402"/>
      <c r="C1314" s="402"/>
    </row>
    <row r="1315" spans="1:3" x14ac:dyDescent="0.2">
      <c r="A1315" s="402"/>
      <c r="B1315" s="402"/>
      <c r="C1315" s="402"/>
    </row>
    <row r="1316" spans="1:3" x14ac:dyDescent="0.2">
      <c r="A1316" s="402"/>
      <c r="B1316" s="402"/>
      <c r="C1316" s="402"/>
    </row>
    <row r="1317" spans="1:3" x14ac:dyDescent="0.2">
      <c r="A1317" s="402"/>
      <c r="B1317" s="402"/>
      <c r="C1317" s="402"/>
    </row>
    <row r="1318" spans="1:3" x14ac:dyDescent="0.2">
      <c r="A1318" s="402"/>
      <c r="B1318" s="402"/>
      <c r="C1318" s="402"/>
    </row>
    <row r="1319" spans="1:3" x14ac:dyDescent="0.2">
      <c r="A1319" s="402"/>
      <c r="B1319" s="402"/>
      <c r="C1319" s="402"/>
    </row>
    <row r="1320" spans="1:3" x14ac:dyDescent="0.2">
      <c r="A1320" s="402"/>
      <c r="B1320" s="402"/>
      <c r="C1320" s="402"/>
    </row>
    <row r="1321" spans="1:3" x14ac:dyDescent="0.2">
      <c r="A1321" s="402"/>
      <c r="B1321" s="402"/>
      <c r="C1321" s="402"/>
    </row>
    <row r="1322" spans="1:3" x14ac:dyDescent="0.2">
      <c r="A1322" s="402"/>
      <c r="B1322" s="402"/>
      <c r="C1322" s="402"/>
    </row>
    <row r="1323" spans="1:3" x14ac:dyDescent="0.2">
      <c r="A1323" s="402"/>
      <c r="B1323" s="402"/>
      <c r="C1323" s="402"/>
    </row>
    <row r="1324" spans="1:3" x14ac:dyDescent="0.2">
      <c r="A1324" s="402"/>
      <c r="B1324" s="402"/>
      <c r="C1324" s="402"/>
    </row>
    <row r="1325" spans="1:3" x14ac:dyDescent="0.2">
      <c r="A1325" s="402"/>
      <c r="B1325" s="402"/>
      <c r="C1325" s="402"/>
    </row>
    <row r="1326" spans="1:3" x14ac:dyDescent="0.2">
      <c r="A1326" s="402"/>
      <c r="B1326" s="402"/>
      <c r="C1326" s="402"/>
    </row>
    <row r="1327" spans="1:3" x14ac:dyDescent="0.2">
      <c r="A1327" s="402"/>
      <c r="B1327" s="402"/>
      <c r="C1327" s="402"/>
    </row>
    <row r="1328" spans="1:3" x14ac:dyDescent="0.2">
      <c r="A1328" s="402"/>
      <c r="B1328" s="402"/>
      <c r="C1328" s="402"/>
    </row>
    <row r="1329" spans="1:3" x14ac:dyDescent="0.2">
      <c r="A1329" s="402"/>
      <c r="B1329" s="402"/>
      <c r="C1329" s="402"/>
    </row>
    <row r="1330" spans="1:3" x14ac:dyDescent="0.2">
      <c r="A1330" s="402"/>
      <c r="B1330" s="402"/>
      <c r="C1330" s="402"/>
    </row>
    <row r="1331" spans="1:3" x14ac:dyDescent="0.2">
      <c r="A1331" s="402"/>
      <c r="B1331" s="402"/>
      <c r="C1331" s="402"/>
    </row>
    <row r="1332" spans="1:3" x14ac:dyDescent="0.2">
      <c r="A1332" s="402"/>
      <c r="B1332" s="402"/>
      <c r="C1332" s="402"/>
    </row>
    <row r="1333" spans="1:3" x14ac:dyDescent="0.2">
      <c r="A1333" s="402"/>
      <c r="B1333" s="402"/>
      <c r="C1333" s="402"/>
    </row>
    <row r="1334" spans="1:3" x14ac:dyDescent="0.2">
      <c r="A1334" s="402"/>
      <c r="B1334" s="402"/>
      <c r="C1334" s="402"/>
    </row>
    <row r="1335" spans="1:3" x14ac:dyDescent="0.2">
      <c r="A1335" s="402"/>
      <c r="B1335" s="402"/>
      <c r="C1335" s="402"/>
    </row>
    <row r="1336" spans="1:3" x14ac:dyDescent="0.2">
      <c r="A1336" s="402"/>
      <c r="B1336" s="402"/>
      <c r="C1336" s="402"/>
    </row>
    <row r="1337" spans="1:3" x14ac:dyDescent="0.2">
      <c r="A1337" s="402"/>
      <c r="B1337" s="402"/>
      <c r="C1337" s="402"/>
    </row>
    <row r="1338" spans="1:3" x14ac:dyDescent="0.2">
      <c r="A1338" s="402"/>
      <c r="B1338" s="402"/>
      <c r="C1338" s="402"/>
    </row>
    <row r="1339" spans="1:3" x14ac:dyDescent="0.2">
      <c r="A1339" s="402"/>
      <c r="B1339" s="402"/>
      <c r="C1339" s="402"/>
    </row>
    <row r="1340" spans="1:3" x14ac:dyDescent="0.2">
      <c r="A1340" s="402"/>
      <c r="B1340" s="402"/>
      <c r="C1340" s="402"/>
    </row>
    <row r="1341" spans="1:3" x14ac:dyDescent="0.2">
      <c r="A1341" s="402"/>
      <c r="B1341" s="402"/>
      <c r="C1341" s="402"/>
    </row>
    <row r="1342" spans="1:3" x14ac:dyDescent="0.2">
      <c r="A1342" s="402"/>
      <c r="B1342" s="402"/>
      <c r="C1342" s="402"/>
    </row>
    <row r="1343" spans="1:3" x14ac:dyDescent="0.2">
      <c r="A1343" s="402"/>
      <c r="B1343" s="402"/>
      <c r="C1343" s="402"/>
    </row>
    <row r="1344" spans="1:3" x14ac:dyDescent="0.2">
      <c r="A1344" s="402"/>
      <c r="B1344" s="402"/>
      <c r="C1344" s="402"/>
    </row>
    <row r="1345" spans="1:3" x14ac:dyDescent="0.2">
      <c r="A1345" s="402"/>
      <c r="B1345" s="402"/>
      <c r="C1345" s="402"/>
    </row>
    <row r="1346" spans="1:3" x14ac:dyDescent="0.2">
      <c r="A1346" s="402"/>
      <c r="B1346" s="402"/>
      <c r="C1346" s="402"/>
    </row>
    <row r="1347" spans="1:3" x14ac:dyDescent="0.2">
      <c r="A1347" s="402"/>
      <c r="B1347" s="402"/>
      <c r="C1347" s="402"/>
    </row>
    <row r="1348" spans="1:3" x14ac:dyDescent="0.2">
      <c r="A1348" s="402"/>
      <c r="B1348" s="402"/>
      <c r="C1348" s="402"/>
    </row>
    <row r="1349" spans="1:3" x14ac:dyDescent="0.2">
      <c r="A1349" s="402"/>
      <c r="B1349" s="402"/>
      <c r="C1349" s="402"/>
    </row>
    <row r="1350" spans="1:3" x14ac:dyDescent="0.2">
      <c r="A1350" s="402"/>
      <c r="B1350" s="402"/>
      <c r="C1350" s="402"/>
    </row>
    <row r="1351" spans="1:3" x14ac:dyDescent="0.2">
      <c r="A1351" s="402"/>
      <c r="B1351" s="402"/>
      <c r="C1351" s="402"/>
    </row>
    <row r="1352" spans="1:3" x14ac:dyDescent="0.2">
      <c r="A1352" s="402"/>
      <c r="B1352" s="402"/>
      <c r="C1352" s="402"/>
    </row>
    <row r="1353" spans="1:3" x14ac:dyDescent="0.2">
      <c r="A1353" s="402"/>
      <c r="B1353" s="402"/>
      <c r="C1353" s="402"/>
    </row>
    <row r="1354" spans="1:3" x14ac:dyDescent="0.2">
      <c r="A1354" s="402"/>
      <c r="B1354" s="402"/>
      <c r="C1354" s="402"/>
    </row>
    <row r="1355" spans="1:3" x14ac:dyDescent="0.2">
      <c r="A1355" s="402"/>
      <c r="B1355" s="402"/>
      <c r="C1355" s="402"/>
    </row>
    <row r="1356" spans="1:3" x14ac:dyDescent="0.2">
      <c r="A1356" s="402"/>
      <c r="B1356" s="402"/>
      <c r="C1356" s="402"/>
    </row>
    <row r="1357" spans="1:3" x14ac:dyDescent="0.2">
      <c r="A1357" s="402"/>
      <c r="B1357" s="402"/>
      <c r="C1357" s="402"/>
    </row>
    <row r="1358" spans="1:3" x14ac:dyDescent="0.2">
      <c r="A1358" s="402"/>
      <c r="B1358" s="402"/>
      <c r="C1358" s="402"/>
    </row>
    <row r="1359" spans="1:3" x14ac:dyDescent="0.2">
      <c r="A1359" s="402"/>
      <c r="B1359" s="402"/>
      <c r="C1359" s="402"/>
    </row>
    <row r="1360" spans="1:3" x14ac:dyDescent="0.2">
      <c r="A1360" s="402"/>
      <c r="B1360" s="402"/>
      <c r="C1360" s="402"/>
    </row>
    <row r="1361" spans="1:3" x14ac:dyDescent="0.2">
      <c r="A1361" s="402"/>
      <c r="B1361" s="402"/>
      <c r="C1361" s="402"/>
    </row>
    <row r="1362" spans="1:3" x14ac:dyDescent="0.2">
      <c r="A1362" s="402"/>
      <c r="B1362" s="402"/>
      <c r="C1362" s="402"/>
    </row>
    <row r="1363" spans="1:3" x14ac:dyDescent="0.2">
      <c r="A1363" s="402"/>
      <c r="B1363" s="402"/>
      <c r="C1363" s="402"/>
    </row>
    <row r="1364" spans="1:3" x14ac:dyDescent="0.2">
      <c r="A1364" s="402"/>
      <c r="B1364" s="402"/>
      <c r="C1364" s="402"/>
    </row>
    <row r="1365" spans="1:3" x14ac:dyDescent="0.2">
      <c r="A1365" s="402"/>
      <c r="B1365" s="402"/>
      <c r="C1365" s="402"/>
    </row>
    <row r="1366" spans="1:3" x14ac:dyDescent="0.2">
      <c r="A1366" s="402"/>
      <c r="B1366" s="402"/>
      <c r="C1366" s="402"/>
    </row>
    <row r="1367" spans="1:3" x14ac:dyDescent="0.2">
      <c r="A1367" s="402"/>
      <c r="B1367" s="402"/>
      <c r="C1367" s="402"/>
    </row>
    <row r="1368" spans="1:3" x14ac:dyDescent="0.2">
      <c r="A1368" s="402"/>
      <c r="B1368" s="402"/>
      <c r="C1368" s="402"/>
    </row>
    <row r="1369" spans="1:3" x14ac:dyDescent="0.2">
      <c r="A1369" s="402"/>
      <c r="B1369" s="402"/>
      <c r="C1369" s="402"/>
    </row>
    <row r="1370" spans="1:3" x14ac:dyDescent="0.2">
      <c r="A1370" s="402"/>
      <c r="B1370" s="402"/>
      <c r="C1370" s="402"/>
    </row>
    <row r="1371" spans="1:3" x14ac:dyDescent="0.2">
      <c r="A1371" s="402"/>
      <c r="B1371" s="402"/>
      <c r="C1371" s="402"/>
    </row>
    <row r="1372" spans="1:3" x14ac:dyDescent="0.2">
      <c r="A1372" s="402"/>
      <c r="B1372" s="402"/>
      <c r="C1372" s="402"/>
    </row>
    <row r="1373" spans="1:3" x14ac:dyDescent="0.2">
      <c r="A1373" s="402"/>
      <c r="B1373" s="402"/>
      <c r="C1373" s="402"/>
    </row>
    <row r="1374" spans="1:3" x14ac:dyDescent="0.2">
      <c r="A1374" s="402"/>
      <c r="B1374" s="402"/>
      <c r="C1374" s="402"/>
    </row>
    <row r="1375" spans="1:3" x14ac:dyDescent="0.2">
      <c r="A1375" s="402"/>
      <c r="B1375" s="402"/>
      <c r="C1375" s="402"/>
    </row>
    <row r="1376" spans="1:3" x14ac:dyDescent="0.2">
      <c r="A1376" s="402"/>
      <c r="B1376" s="402"/>
      <c r="C1376" s="402"/>
    </row>
    <row r="1377" spans="1:3" x14ac:dyDescent="0.2">
      <c r="A1377" s="402"/>
      <c r="B1377" s="402"/>
      <c r="C1377" s="402"/>
    </row>
    <row r="1378" spans="1:3" x14ac:dyDescent="0.2">
      <c r="A1378" s="402"/>
      <c r="B1378" s="402"/>
      <c r="C1378" s="402"/>
    </row>
    <row r="1379" spans="1:3" x14ac:dyDescent="0.2">
      <c r="A1379" s="402"/>
      <c r="B1379" s="402"/>
      <c r="C1379" s="402"/>
    </row>
    <row r="1380" spans="1:3" x14ac:dyDescent="0.2">
      <c r="A1380" s="402"/>
      <c r="B1380" s="402"/>
      <c r="C1380" s="402"/>
    </row>
    <row r="1381" spans="1:3" x14ac:dyDescent="0.2">
      <c r="A1381" s="402"/>
      <c r="B1381" s="402"/>
      <c r="C1381" s="402"/>
    </row>
    <row r="1382" spans="1:3" x14ac:dyDescent="0.2">
      <c r="A1382" s="402"/>
      <c r="B1382" s="402"/>
      <c r="C1382" s="402"/>
    </row>
    <row r="1383" spans="1:3" x14ac:dyDescent="0.2">
      <c r="A1383" s="402"/>
      <c r="B1383" s="402"/>
      <c r="C1383" s="402"/>
    </row>
    <row r="1384" spans="1:3" x14ac:dyDescent="0.2">
      <c r="A1384" s="402"/>
      <c r="B1384" s="402"/>
      <c r="C1384" s="402"/>
    </row>
    <row r="1385" spans="1:3" x14ac:dyDescent="0.2">
      <c r="A1385" s="402"/>
      <c r="B1385" s="402"/>
      <c r="C1385" s="402"/>
    </row>
    <row r="1386" spans="1:3" x14ac:dyDescent="0.2">
      <c r="A1386" s="402"/>
      <c r="B1386" s="402"/>
      <c r="C1386" s="402"/>
    </row>
    <row r="1387" spans="1:3" x14ac:dyDescent="0.2">
      <c r="A1387" s="402"/>
      <c r="B1387" s="402"/>
      <c r="C1387" s="402"/>
    </row>
    <row r="1388" spans="1:3" x14ac:dyDescent="0.2">
      <c r="A1388" s="402"/>
      <c r="B1388" s="402"/>
      <c r="C1388" s="402"/>
    </row>
    <row r="1389" spans="1:3" x14ac:dyDescent="0.2">
      <c r="A1389" s="402"/>
      <c r="B1389" s="402"/>
      <c r="C1389" s="402"/>
    </row>
    <row r="1390" spans="1:3" x14ac:dyDescent="0.2">
      <c r="A1390" s="402"/>
      <c r="B1390" s="402"/>
      <c r="C1390" s="402"/>
    </row>
    <row r="1391" spans="1:3" x14ac:dyDescent="0.2">
      <c r="A1391" s="402"/>
      <c r="B1391" s="402"/>
      <c r="C1391" s="402"/>
    </row>
    <row r="1392" spans="1:3" x14ac:dyDescent="0.2">
      <c r="A1392" s="402"/>
      <c r="B1392" s="402"/>
      <c r="C1392" s="402"/>
    </row>
    <row r="1393" spans="1:3" x14ac:dyDescent="0.2">
      <c r="A1393" s="402"/>
      <c r="B1393" s="402"/>
      <c r="C1393" s="402"/>
    </row>
    <row r="1394" spans="1:3" x14ac:dyDescent="0.2">
      <c r="A1394" s="402"/>
      <c r="B1394" s="402"/>
      <c r="C1394" s="402"/>
    </row>
    <row r="1395" spans="1:3" x14ac:dyDescent="0.2">
      <c r="A1395" s="402"/>
      <c r="B1395" s="402"/>
      <c r="C1395" s="402"/>
    </row>
    <row r="1396" spans="1:3" x14ac:dyDescent="0.2">
      <c r="A1396" s="402"/>
      <c r="B1396" s="402"/>
      <c r="C1396" s="402"/>
    </row>
    <row r="1397" spans="1:3" x14ac:dyDescent="0.2">
      <c r="A1397" s="402"/>
      <c r="B1397" s="402"/>
      <c r="C1397" s="402"/>
    </row>
    <row r="1398" spans="1:3" x14ac:dyDescent="0.2">
      <c r="A1398" s="402"/>
      <c r="B1398" s="402"/>
      <c r="C1398" s="402"/>
    </row>
    <row r="1399" spans="1:3" x14ac:dyDescent="0.2">
      <c r="A1399" s="402"/>
      <c r="B1399" s="402"/>
      <c r="C1399" s="402"/>
    </row>
    <row r="1400" spans="1:3" x14ac:dyDescent="0.2">
      <c r="A1400" s="402"/>
      <c r="B1400" s="402"/>
      <c r="C1400" s="402"/>
    </row>
    <row r="1401" spans="1:3" x14ac:dyDescent="0.2">
      <c r="A1401" s="402"/>
      <c r="B1401" s="402"/>
      <c r="C1401" s="402"/>
    </row>
    <row r="1402" spans="1:3" x14ac:dyDescent="0.2">
      <c r="A1402" s="402"/>
      <c r="B1402" s="402"/>
      <c r="C1402" s="402"/>
    </row>
    <row r="1403" spans="1:3" x14ac:dyDescent="0.2">
      <c r="A1403" s="402"/>
      <c r="B1403" s="402"/>
      <c r="C1403" s="402"/>
    </row>
    <row r="1404" spans="1:3" x14ac:dyDescent="0.2">
      <c r="A1404" s="402"/>
      <c r="B1404" s="402"/>
      <c r="C1404" s="402"/>
    </row>
    <row r="1405" spans="1:3" x14ac:dyDescent="0.2">
      <c r="A1405" s="402"/>
      <c r="B1405" s="402"/>
      <c r="C1405" s="402"/>
    </row>
    <row r="1406" spans="1:3" x14ac:dyDescent="0.2">
      <c r="A1406" s="402"/>
      <c r="B1406" s="402"/>
      <c r="C1406" s="402"/>
    </row>
    <row r="1407" spans="1:3" x14ac:dyDescent="0.2">
      <c r="A1407" s="402"/>
      <c r="B1407" s="402"/>
      <c r="C1407" s="402"/>
    </row>
    <row r="1408" spans="1:3" x14ac:dyDescent="0.2">
      <c r="A1408" s="402"/>
      <c r="B1408" s="402"/>
      <c r="C1408" s="402"/>
    </row>
    <row r="1409" spans="1:3" x14ac:dyDescent="0.2">
      <c r="A1409" s="402"/>
      <c r="B1409" s="402"/>
      <c r="C1409" s="402"/>
    </row>
    <row r="1410" spans="1:3" x14ac:dyDescent="0.2">
      <c r="A1410" s="402"/>
      <c r="B1410" s="402"/>
      <c r="C1410" s="402"/>
    </row>
    <row r="1411" spans="1:3" x14ac:dyDescent="0.2">
      <c r="A1411" s="402"/>
      <c r="B1411" s="402"/>
      <c r="C1411" s="402"/>
    </row>
    <row r="1412" spans="1:3" x14ac:dyDescent="0.2">
      <c r="A1412" s="402"/>
      <c r="B1412" s="402"/>
      <c r="C1412" s="402"/>
    </row>
    <row r="1413" spans="1:3" x14ac:dyDescent="0.2">
      <c r="A1413" s="402"/>
      <c r="B1413" s="402"/>
      <c r="C1413" s="402"/>
    </row>
    <row r="1414" spans="1:3" x14ac:dyDescent="0.2">
      <c r="A1414" s="402"/>
      <c r="B1414" s="402"/>
      <c r="C1414" s="402"/>
    </row>
    <row r="1415" spans="1:3" x14ac:dyDescent="0.2">
      <c r="A1415" s="402"/>
      <c r="B1415" s="402"/>
      <c r="C1415" s="402"/>
    </row>
    <row r="1416" spans="1:3" x14ac:dyDescent="0.2">
      <c r="A1416" s="402"/>
      <c r="B1416" s="402"/>
      <c r="C1416" s="402"/>
    </row>
    <row r="1417" spans="1:3" x14ac:dyDescent="0.2">
      <c r="A1417" s="402"/>
      <c r="B1417" s="402"/>
      <c r="C1417" s="402"/>
    </row>
    <row r="1418" spans="1:3" x14ac:dyDescent="0.2">
      <c r="A1418" s="402"/>
      <c r="B1418" s="402"/>
      <c r="C1418" s="402"/>
    </row>
    <row r="1419" spans="1:3" x14ac:dyDescent="0.2">
      <c r="A1419" s="402"/>
      <c r="B1419" s="402"/>
      <c r="C1419" s="402"/>
    </row>
    <row r="1420" spans="1:3" x14ac:dyDescent="0.2">
      <c r="A1420" s="402"/>
      <c r="B1420" s="402"/>
      <c r="C1420" s="402"/>
    </row>
    <row r="1421" spans="1:3" x14ac:dyDescent="0.2">
      <c r="A1421" s="402"/>
      <c r="B1421" s="402"/>
      <c r="C1421" s="402"/>
    </row>
    <row r="1422" spans="1:3" x14ac:dyDescent="0.2">
      <c r="A1422" s="402"/>
      <c r="B1422" s="402"/>
      <c r="C1422" s="402"/>
    </row>
    <row r="1423" spans="1:3" x14ac:dyDescent="0.2">
      <c r="A1423" s="402"/>
      <c r="B1423" s="402"/>
      <c r="C1423" s="402"/>
    </row>
    <row r="1424" spans="1:3" x14ac:dyDescent="0.2">
      <c r="A1424" s="402"/>
      <c r="B1424" s="402"/>
      <c r="C1424" s="402"/>
    </row>
    <row r="1425" spans="1:3" x14ac:dyDescent="0.2">
      <c r="A1425" s="402"/>
      <c r="B1425" s="402"/>
      <c r="C1425" s="402"/>
    </row>
    <row r="1426" spans="1:3" x14ac:dyDescent="0.2">
      <c r="A1426" s="402"/>
      <c r="B1426" s="402"/>
      <c r="C1426" s="402"/>
    </row>
    <row r="1427" spans="1:3" x14ac:dyDescent="0.2">
      <c r="A1427" s="402"/>
      <c r="B1427" s="402"/>
      <c r="C1427" s="402"/>
    </row>
    <row r="1428" spans="1:3" x14ac:dyDescent="0.2">
      <c r="A1428" s="402"/>
      <c r="B1428" s="402"/>
      <c r="C1428" s="402"/>
    </row>
    <row r="1429" spans="1:3" x14ac:dyDescent="0.2">
      <c r="A1429" s="402"/>
      <c r="B1429" s="402"/>
      <c r="C1429" s="402"/>
    </row>
    <row r="1430" spans="1:3" x14ac:dyDescent="0.2">
      <c r="A1430" s="402"/>
      <c r="B1430" s="402"/>
      <c r="C1430" s="402"/>
    </row>
    <row r="1431" spans="1:3" x14ac:dyDescent="0.2">
      <c r="A1431" s="402"/>
      <c r="B1431" s="402"/>
      <c r="C1431" s="402"/>
    </row>
    <row r="1432" spans="1:3" x14ac:dyDescent="0.2">
      <c r="A1432" s="402"/>
      <c r="B1432" s="402"/>
      <c r="C1432" s="402"/>
    </row>
    <row r="1433" spans="1:3" x14ac:dyDescent="0.2">
      <c r="A1433" s="402"/>
      <c r="B1433" s="402"/>
      <c r="C1433" s="402"/>
    </row>
    <row r="1434" spans="1:3" x14ac:dyDescent="0.2">
      <c r="A1434" s="402"/>
      <c r="B1434" s="402"/>
      <c r="C1434" s="402"/>
    </row>
    <row r="1435" spans="1:3" x14ac:dyDescent="0.2">
      <c r="A1435" s="402"/>
      <c r="B1435" s="402"/>
      <c r="C1435" s="402"/>
    </row>
    <row r="1436" spans="1:3" x14ac:dyDescent="0.2">
      <c r="A1436" s="402"/>
      <c r="B1436" s="402"/>
      <c r="C1436" s="402"/>
    </row>
    <row r="1437" spans="1:3" x14ac:dyDescent="0.2">
      <c r="A1437" s="402"/>
      <c r="B1437" s="402"/>
      <c r="C1437" s="402"/>
    </row>
    <row r="1438" spans="1:3" x14ac:dyDescent="0.2">
      <c r="A1438" s="402"/>
      <c r="B1438" s="402"/>
      <c r="C1438" s="402"/>
    </row>
    <row r="1439" spans="1:3" x14ac:dyDescent="0.2">
      <c r="A1439" s="402"/>
      <c r="B1439" s="402"/>
      <c r="C1439" s="402"/>
    </row>
    <row r="1440" spans="1:3" x14ac:dyDescent="0.2">
      <c r="A1440" s="402"/>
      <c r="B1440" s="402"/>
      <c r="C1440" s="402"/>
    </row>
    <row r="1441" spans="1:3" x14ac:dyDescent="0.2">
      <c r="A1441" s="402"/>
      <c r="B1441" s="402"/>
      <c r="C1441" s="402"/>
    </row>
    <row r="1442" spans="1:3" x14ac:dyDescent="0.2">
      <c r="A1442" s="402"/>
      <c r="B1442" s="402"/>
      <c r="C1442" s="402"/>
    </row>
    <row r="1443" spans="1:3" x14ac:dyDescent="0.2">
      <c r="A1443" s="402"/>
      <c r="B1443" s="402"/>
      <c r="C1443" s="402"/>
    </row>
    <row r="1444" spans="1:3" x14ac:dyDescent="0.2">
      <c r="A1444" s="402"/>
      <c r="B1444" s="402"/>
      <c r="C1444" s="402"/>
    </row>
    <row r="1445" spans="1:3" x14ac:dyDescent="0.2">
      <c r="A1445" s="402"/>
      <c r="B1445" s="402"/>
      <c r="C1445" s="402"/>
    </row>
    <row r="1446" spans="1:3" x14ac:dyDescent="0.2">
      <c r="A1446" s="402"/>
      <c r="B1446" s="402"/>
      <c r="C1446" s="402"/>
    </row>
    <row r="1447" spans="1:3" x14ac:dyDescent="0.2">
      <c r="A1447" s="402"/>
      <c r="B1447" s="402"/>
      <c r="C1447" s="402"/>
    </row>
    <row r="1448" spans="1:3" x14ac:dyDescent="0.2">
      <c r="A1448" s="402"/>
      <c r="B1448" s="402"/>
      <c r="C1448" s="402"/>
    </row>
    <row r="1449" spans="1:3" x14ac:dyDescent="0.2">
      <c r="A1449" s="402"/>
      <c r="B1449" s="402"/>
      <c r="C1449" s="402"/>
    </row>
    <row r="1450" spans="1:3" x14ac:dyDescent="0.2">
      <c r="A1450" s="402"/>
      <c r="B1450" s="402"/>
      <c r="C1450" s="402"/>
    </row>
    <row r="1451" spans="1:3" x14ac:dyDescent="0.2">
      <c r="A1451" s="402"/>
      <c r="B1451" s="402"/>
      <c r="C1451" s="402"/>
    </row>
    <row r="1452" spans="1:3" x14ac:dyDescent="0.2">
      <c r="A1452" s="402"/>
      <c r="B1452" s="402"/>
      <c r="C1452" s="402"/>
    </row>
    <row r="1453" spans="1:3" x14ac:dyDescent="0.2">
      <c r="A1453" s="402"/>
      <c r="B1453" s="402"/>
      <c r="C1453" s="402"/>
    </row>
    <row r="1454" spans="1:3" x14ac:dyDescent="0.2">
      <c r="A1454" s="402"/>
      <c r="B1454" s="402"/>
      <c r="C1454" s="402"/>
    </row>
    <row r="1455" spans="1:3" x14ac:dyDescent="0.2">
      <c r="A1455" s="402"/>
      <c r="B1455" s="402"/>
      <c r="C1455" s="402"/>
    </row>
    <row r="1456" spans="1:3" x14ac:dyDescent="0.2">
      <c r="A1456" s="402"/>
      <c r="B1456" s="402"/>
      <c r="C1456" s="402"/>
    </row>
    <row r="1457" spans="1:3" x14ac:dyDescent="0.2">
      <c r="A1457" s="402"/>
      <c r="B1457" s="402"/>
      <c r="C1457" s="402"/>
    </row>
    <row r="1458" spans="1:3" x14ac:dyDescent="0.2">
      <c r="A1458" s="402"/>
      <c r="B1458" s="402"/>
      <c r="C1458" s="402"/>
    </row>
    <row r="1459" spans="1:3" x14ac:dyDescent="0.2">
      <c r="A1459" s="402"/>
      <c r="B1459" s="402"/>
      <c r="C1459" s="402"/>
    </row>
    <row r="1460" spans="1:3" x14ac:dyDescent="0.2">
      <c r="A1460" s="402"/>
      <c r="B1460" s="402"/>
      <c r="C1460" s="402"/>
    </row>
    <row r="1461" spans="1:3" x14ac:dyDescent="0.2">
      <c r="A1461" s="402"/>
      <c r="B1461" s="402"/>
      <c r="C1461" s="402"/>
    </row>
    <row r="1462" spans="1:3" x14ac:dyDescent="0.2">
      <c r="A1462" s="402"/>
      <c r="B1462" s="402"/>
      <c r="C1462" s="402"/>
    </row>
    <row r="1463" spans="1:3" x14ac:dyDescent="0.2">
      <c r="A1463" s="402"/>
      <c r="B1463" s="402"/>
      <c r="C1463" s="402"/>
    </row>
    <row r="1464" spans="1:3" x14ac:dyDescent="0.2">
      <c r="A1464" s="402"/>
      <c r="B1464" s="402"/>
      <c r="C1464" s="402"/>
    </row>
    <row r="1465" spans="1:3" x14ac:dyDescent="0.2">
      <c r="A1465" s="402"/>
      <c r="B1465" s="402"/>
      <c r="C1465" s="402"/>
    </row>
    <row r="1466" spans="1:3" x14ac:dyDescent="0.2">
      <c r="A1466" s="402"/>
      <c r="B1466" s="402"/>
      <c r="C1466" s="402"/>
    </row>
    <row r="1467" spans="1:3" x14ac:dyDescent="0.2">
      <c r="A1467" s="402"/>
      <c r="B1467" s="402"/>
      <c r="C1467" s="402"/>
    </row>
    <row r="1468" spans="1:3" x14ac:dyDescent="0.2">
      <c r="A1468" s="402"/>
      <c r="B1468" s="402"/>
      <c r="C1468" s="402"/>
    </row>
    <row r="1469" spans="1:3" x14ac:dyDescent="0.2">
      <c r="A1469" s="402"/>
      <c r="B1469" s="402"/>
      <c r="C1469" s="402"/>
    </row>
    <row r="1470" spans="1:3" x14ac:dyDescent="0.2">
      <c r="A1470" s="402"/>
      <c r="B1470" s="402"/>
      <c r="C1470" s="402"/>
    </row>
    <row r="1471" spans="1:3" x14ac:dyDescent="0.2">
      <c r="A1471" s="402"/>
      <c r="B1471" s="402"/>
      <c r="C1471" s="402"/>
    </row>
    <row r="1472" spans="1:3" x14ac:dyDescent="0.2">
      <c r="A1472" s="402"/>
      <c r="B1472" s="402"/>
      <c r="C1472" s="402"/>
    </row>
    <row r="1473" spans="1:3" x14ac:dyDescent="0.2">
      <c r="A1473" s="402"/>
      <c r="B1473" s="402"/>
      <c r="C1473" s="402"/>
    </row>
    <row r="1474" spans="1:3" x14ac:dyDescent="0.2">
      <c r="A1474" s="402"/>
      <c r="B1474" s="402"/>
      <c r="C1474" s="402"/>
    </row>
    <row r="1475" spans="1:3" x14ac:dyDescent="0.2">
      <c r="A1475" s="402"/>
      <c r="B1475" s="402"/>
      <c r="C1475" s="402"/>
    </row>
    <row r="1476" spans="1:3" x14ac:dyDescent="0.2">
      <c r="A1476" s="402"/>
      <c r="B1476" s="402"/>
      <c r="C1476" s="402"/>
    </row>
    <row r="1477" spans="1:3" x14ac:dyDescent="0.2">
      <c r="A1477" s="402"/>
      <c r="B1477" s="402"/>
      <c r="C1477" s="402"/>
    </row>
    <row r="1478" spans="1:3" x14ac:dyDescent="0.2">
      <c r="A1478" s="402"/>
      <c r="B1478" s="402"/>
      <c r="C1478" s="402"/>
    </row>
    <row r="1479" spans="1:3" x14ac:dyDescent="0.2">
      <c r="A1479" s="402"/>
      <c r="B1479" s="402"/>
      <c r="C1479" s="402"/>
    </row>
    <row r="1480" spans="1:3" x14ac:dyDescent="0.2">
      <c r="A1480" s="402"/>
      <c r="B1480" s="402"/>
      <c r="C1480" s="402"/>
    </row>
    <row r="1481" spans="1:3" x14ac:dyDescent="0.2">
      <c r="A1481" s="402"/>
      <c r="B1481" s="402"/>
      <c r="C1481" s="402"/>
    </row>
    <row r="1482" spans="1:3" x14ac:dyDescent="0.2">
      <c r="A1482" s="402"/>
      <c r="B1482" s="402"/>
      <c r="C1482" s="402"/>
    </row>
    <row r="1483" spans="1:3" x14ac:dyDescent="0.2">
      <c r="A1483" s="402"/>
      <c r="B1483" s="402"/>
      <c r="C1483" s="402"/>
    </row>
    <row r="1484" spans="1:3" x14ac:dyDescent="0.2">
      <c r="A1484" s="402"/>
      <c r="B1484" s="402"/>
      <c r="C1484" s="402"/>
    </row>
    <row r="1485" spans="1:3" x14ac:dyDescent="0.2">
      <c r="A1485" s="402"/>
      <c r="B1485" s="402"/>
      <c r="C1485" s="402"/>
    </row>
    <row r="1486" spans="1:3" x14ac:dyDescent="0.2">
      <c r="A1486" s="402"/>
      <c r="B1486" s="402"/>
      <c r="C1486" s="402"/>
    </row>
    <row r="1487" spans="1:3" x14ac:dyDescent="0.2">
      <c r="A1487" s="402"/>
      <c r="B1487" s="402"/>
      <c r="C1487" s="402"/>
    </row>
    <row r="1488" spans="1:3" x14ac:dyDescent="0.2">
      <c r="A1488" s="402"/>
      <c r="B1488" s="402"/>
      <c r="C1488" s="402"/>
    </row>
    <row r="1489" spans="1:3" x14ac:dyDescent="0.2">
      <c r="A1489" s="402"/>
      <c r="B1489" s="402"/>
      <c r="C1489" s="402"/>
    </row>
    <row r="1490" spans="1:3" x14ac:dyDescent="0.2">
      <c r="A1490" s="402"/>
      <c r="B1490" s="402"/>
      <c r="C1490" s="402"/>
    </row>
    <row r="1491" spans="1:3" x14ac:dyDescent="0.2">
      <c r="A1491" s="402"/>
      <c r="B1491" s="402"/>
      <c r="C1491" s="402"/>
    </row>
    <row r="1492" spans="1:3" x14ac:dyDescent="0.2">
      <c r="A1492" s="402"/>
      <c r="B1492" s="402"/>
      <c r="C1492" s="402"/>
    </row>
    <row r="1493" spans="1:3" x14ac:dyDescent="0.2">
      <c r="A1493" s="402"/>
      <c r="B1493" s="402"/>
      <c r="C1493" s="402"/>
    </row>
    <row r="1494" spans="1:3" x14ac:dyDescent="0.2">
      <c r="A1494" s="402"/>
      <c r="B1494" s="402"/>
      <c r="C1494" s="402"/>
    </row>
    <row r="1495" spans="1:3" x14ac:dyDescent="0.2">
      <c r="A1495" s="402"/>
      <c r="B1495" s="402"/>
      <c r="C1495" s="402"/>
    </row>
    <row r="1496" spans="1:3" x14ac:dyDescent="0.2">
      <c r="A1496" s="402"/>
      <c r="B1496" s="402"/>
      <c r="C1496" s="402"/>
    </row>
    <row r="1497" spans="1:3" x14ac:dyDescent="0.2">
      <c r="A1497" s="402"/>
      <c r="B1497" s="402"/>
      <c r="C1497" s="402"/>
    </row>
    <row r="1498" spans="1:3" x14ac:dyDescent="0.2">
      <c r="A1498" s="402"/>
      <c r="B1498" s="402"/>
      <c r="C1498" s="402"/>
    </row>
    <row r="1499" spans="1:3" x14ac:dyDescent="0.2">
      <c r="A1499" s="402"/>
      <c r="B1499" s="402"/>
      <c r="C1499" s="402"/>
    </row>
    <row r="1500" spans="1:3" x14ac:dyDescent="0.2">
      <c r="A1500" s="402"/>
      <c r="B1500" s="402"/>
      <c r="C1500" s="402"/>
    </row>
    <row r="1501" spans="1:3" x14ac:dyDescent="0.2">
      <c r="A1501" s="402"/>
      <c r="B1501" s="402"/>
      <c r="C1501" s="402"/>
    </row>
    <row r="1502" spans="1:3" x14ac:dyDescent="0.2">
      <c r="A1502" s="402"/>
      <c r="B1502" s="402"/>
      <c r="C1502" s="402"/>
    </row>
    <row r="1503" spans="1:3" x14ac:dyDescent="0.2">
      <c r="A1503" s="402"/>
      <c r="B1503" s="402"/>
      <c r="C1503" s="402"/>
    </row>
    <row r="1504" spans="1:3" x14ac:dyDescent="0.2">
      <c r="A1504" s="402"/>
      <c r="B1504" s="402"/>
      <c r="C1504" s="402"/>
    </row>
    <row r="1505" spans="1:3" x14ac:dyDescent="0.2">
      <c r="A1505" s="402"/>
      <c r="B1505" s="402"/>
      <c r="C1505" s="402"/>
    </row>
    <row r="1506" spans="1:3" x14ac:dyDescent="0.2">
      <c r="A1506" s="402"/>
      <c r="B1506" s="402"/>
      <c r="C1506" s="402"/>
    </row>
    <row r="1507" spans="1:3" x14ac:dyDescent="0.2">
      <c r="A1507" s="402"/>
      <c r="B1507" s="402"/>
      <c r="C1507" s="402"/>
    </row>
    <row r="1508" spans="1:3" x14ac:dyDescent="0.2">
      <c r="A1508" s="402"/>
      <c r="B1508" s="402"/>
      <c r="C1508" s="402"/>
    </row>
    <row r="1509" spans="1:3" x14ac:dyDescent="0.2">
      <c r="A1509" s="402"/>
      <c r="B1509" s="402"/>
      <c r="C1509" s="402"/>
    </row>
    <row r="1510" spans="1:3" x14ac:dyDescent="0.2">
      <c r="A1510" s="402"/>
      <c r="B1510" s="402"/>
      <c r="C1510" s="402"/>
    </row>
    <row r="1511" spans="1:3" x14ac:dyDescent="0.2">
      <c r="A1511" s="402"/>
      <c r="B1511" s="402"/>
      <c r="C1511" s="402"/>
    </row>
    <row r="1512" spans="1:3" x14ac:dyDescent="0.2">
      <c r="A1512" s="402"/>
      <c r="B1512" s="402"/>
      <c r="C1512" s="402"/>
    </row>
    <row r="1513" spans="1:3" x14ac:dyDescent="0.2">
      <c r="A1513" s="402"/>
      <c r="B1513" s="402"/>
      <c r="C1513" s="402"/>
    </row>
    <row r="1514" spans="1:3" x14ac:dyDescent="0.2">
      <c r="A1514" s="402"/>
      <c r="B1514" s="402"/>
      <c r="C1514" s="402"/>
    </row>
    <row r="1515" spans="1:3" x14ac:dyDescent="0.2">
      <c r="A1515" s="402"/>
      <c r="B1515" s="402"/>
      <c r="C1515" s="402"/>
    </row>
    <row r="1516" spans="1:3" x14ac:dyDescent="0.2">
      <c r="A1516" s="402"/>
      <c r="B1516" s="402"/>
      <c r="C1516" s="402"/>
    </row>
    <row r="1517" spans="1:3" x14ac:dyDescent="0.2">
      <c r="A1517" s="402"/>
      <c r="B1517" s="402"/>
      <c r="C1517" s="402"/>
    </row>
    <row r="1518" spans="1:3" x14ac:dyDescent="0.2">
      <c r="A1518" s="402"/>
      <c r="B1518" s="402"/>
      <c r="C1518" s="402"/>
    </row>
    <row r="1519" spans="1:3" x14ac:dyDescent="0.2">
      <c r="A1519" s="402"/>
      <c r="B1519" s="402"/>
      <c r="C1519" s="402"/>
    </row>
    <row r="1520" spans="1:3" x14ac:dyDescent="0.2">
      <c r="A1520" s="402"/>
      <c r="B1520" s="402"/>
      <c r="C1520" s="402"/>
    </row>
    <row r="1521" spans="1:3" x14ac:dyDescent="0.2">
      <c r="A1521" s="402"/>
      <c r="B1521" s="402"/>
      <c r="C1521" s="402"/>
    </row>
    <row r="1522" spans="1:3" x14ac:dyDescent="0.2">
      <c r="A1522" s="402"/>
      <c r="B1522" s="402"/>
      <c r="C1522" s="402"/>
    </row>
    <row r="1523" spans="1:3" x14ac:dyDescent="0.2">
      <c r="A1523" s="402"/>
      <c r="B1523" s="402"/>
      <c r="C1523" s="402"/>
    </row>
    <row r="1524" spans="1:3" x14ac:dyDescent="0.2">
      <c r="A1524" s="402"/>
      <c r="B1524" s="402"/>
      <c r="C1524" s="402"/>
    </row>
    <row r="1525" spans="1:3" x14ac:dyDescent="0.2">
      <c r="A1525" s="402"/>
      <c r="B1525" s="402"/>
      <c r="C1525" s="402"/>
    </row>
    <row r="1526" spans="1:3" x14ac:dyDescent="0.2">
      <c r="A1526" s="402"/>
      <c r="B1526" s="402"/>
      <c r="C1526" s="402"/>
    </row>
    <row r="1527" spans="1:3" x14ac:dyDescent="0.2">
      <c r="A1527" s="402"/>
      <c r="B1527" s="402"/>
      <c r="C1527" s="402"/>
    </row>
    <row r="1528" spans="1:3" x14ac:dyDescent="0.2">
      <c r="A1528" s="402"/>
      <c r="B1528" s="402"/>
      <c r="C1528" s="402"/>
    </row>
    <row r="1529" spans="1:3" x14ac:dyDescent="0.2">
      <c r="A1529" s="402"/>
      <c r="B1529" s="402"/>
      <c r="C1529" s="402"/>
    </row>
    <row r="1530" spans="1:3" x14ac:dyDescent="0.2">
      <c r="A1530" s="402"/>
      <c r="B1530" s="402"/>
      <c r="C1530" s="402"/>
    </row>
    <row r="1531" spans="1:3" x14ac:dyDescent="0.2">
      <c r="A1531" s="402"/>
      <c r="B1531" s="402"/>
      <c r="C1531" s="402"/>
    </row>
    <row r="1532" spans="1:3" x14ac:dyDescent="0.2">
      <c r="A1532" s="402"/>
      <c r="B1532" s="402"/>
      <c r="C1532" s="402"/>
    </row>
    <row r="1533" spans="1:3" x14ac:dyDescent="0.2">
      <c r="A1533" s="402"/>
      <c r="B1533" s="402"/>
      <c r="C1533" s="402"/>
    </row>
    <row r="1534" spans="1:3" x14ac:dyDescent="0.2">
      <c r="A1534" s="402"/>
      <c r="B1534" s="402"/>
      <c r="C1534" s="402"/>
    </row>
    <row r="1535" spans="1:3" x14ac:dyDescent="0.2">
      <c r="A1535" s="402"/>
      <c r="B1535" s="402"/>
      <c r="C1535" s="402"/>
    </row>
    <row r="1536" spans="1:3" x14ac:dyDescent="0.2">
      <c r="A1536" s="402"/>
      <c r="B1536" s="402"/>
      <c r="C1536" s="402"/>
    </row>
    <row r="1537" spans="1:3" x14ac:dyDescent="0.2">
      <c r="A1537" s="402"/>
      <c r="B1537" s="402"/>
      <c r="C1537" s="402"/>
    </row>
    <row r="1538" spans="1:3" x14ac:dyDescent="0.2">
      <c r="A1538" s="402"/>
      <c r="B1538" s="402"/>
      <c r="C1538" s="402"/>
    </row>
    <row r="1539" spans="1:3" x14ac:dyDescent="0.2">
      <c r="A1539" s="402"/>
      <c r="B1539" s="402"/>
      <c r="C1539" s="402"/>
    </row>
    <row r="1540" spans="1:3" x14ac:dyDescent="0.2">
      <c r="A1540" s="402"/>
      <c r="B1540" s="402"/>
      <c r="C1540" s="402"/>
    </row>
    <row r="1541" spans="1:3" x14ac:dyDescent="0.2">
      <c r="A1541" s="402"/>
      <c r="B1541" s="402"/>
      <c r="C1541" s="402"/>
    </row>
    <row r="1542" spans="1:3" x14ac:dyDescent="0.2">
      <c r="A1542" s="402"/>
      <c r="B1542" s="402"/>
      <c r="C1542" s="402"/>
    </row>
    <row r="1543" spans="1:3" x14ac:dyDescent="0.2">
      <c r="A1543" s="402"/>
      <c r="B1543" s="402"/>
      <c r="C1543" s="402"/>
    </row>
    <row r="1544" spans="1:3" x14ac:dyDescent="0.2">
      <c r="A1544" s="402"/>
      <c r="B1544" s="402"/>
      <c r="C1544" s="402"/>
    </row>
    <row r="1545" spans="1:3" x14ac:dyDescent="0.2">
      <c r="A1545" s="402"/>
      <c r="B1545" s="402"/>
      <c r="C1545" s="402"/>
    </row>
    <row r="1546" spans="1:3" x14ac:dyDescent="0.2">
      <c r="A1546" s="402"/>
      <c r="B1546" s="402"/>
      <c r="C1546" s="402"/>
    </row>
    <row r="1547" spans="1:3" x14ac:dyDescent="0.2">
      <c r="A1547" s="402"/>
      <c r="B1547" s="402"/>
      <c r="C1547" s="402"/>
    </row>
    <row r="1548" spans="1:3" x14ac:dyDescent="0.2">
      <c r="A1548" s="402"/>
      <c r="B1548" s="402"/>
      <c r="C1548" s="402"/>
    </row>
    <row r="1549" spans="1:3" x14ac:dyDescent="0.2">
      <c r="A1549" s="402"/>
      <c r="B1549" s="402"/>
      <c r="C1549" s="402"/>
    </row>
    <row r="1550" spans="1:3" x14ac:dyDescent="0.2">
      <c r="A1550" s="402"/>
      <c r="B1550" s="402"/>
      <c r="C1550" s="402"/>
    </row>
    <row r="1551" spans="1:3" x14ac:dyDescent="0.2">
      <c r="A1551" s="402"/>
      <c r="B1551" s="402"/>
      <c r="C1551" s="402"/>
    </row>
    <row r="1552" spans="1:3" x14ac:dyDescent="0.2">
      <c r="A1552" s="402"/>
      <c r="B1552" s="402"/>
      <c r="C1552" s="402"/>
    </row>
    <row r="1553" spans="1:3" x14ac:dyDescent="0.2">
      <c r="A1553" s="402"/>
      <c r="B1553" s="402"/>
      <c r="C1553" s="402"/>
    </row>
    <row r="1554" spans="1:3" x14ac:dyDescent="0.2">
      <c r="A1554" s="402"/>
      <c r="B1554" s="402"/>
      <c r="C1554" s="402"/>
    </row>
    <row r="1555" spans="1:3" x14ac:dyDescent="0.2">
      <c r="A1555" s="402"/>
      <c r="B1555" s="402"/>
      <c r="C1555" s="402"/>
    </row>
    <row r="1556" spans="1:3" x14ac:dyDescent="0.2">
      <c r="A1556" s="402"/>
      <c r="B1556" s="402"/>
      <c r="C1556" s="402"/>
    </row>
    <row r="1557" spans="1:3" x14ac:dyDescent="0.2">
      <c r="A1557" s="402"/>
      <c r="B1557" s="402"/>
      <c r="C1557" s="402"/>
    </row>
    <row r="1558" spans="1:3" x14ac:dyDescent="0.2">
      <c r="A1558" s="402"/>
      <c r="B1558" s="402"/>
      <c r="C1558" s="402"/>
    </row>
    <row r="1559" spans="1:3" x14ac:dyDescent="0.2">
      <c r="A1559" s="402"/>
      <c r="B1559" s="402"/>
      <c r="C1559" s="402"/>
    </row>
    <row r="1560" spans="1:3" x14ac:dyDescent="0.2">
      <c r="A1560" s="402"/>
      <c r="B1560" s="402"/>
      <c r="C1560" s="402"/>
    </row>
    <row r="1561" spans="1:3" x14ac:dyDescent="0.2">
      <c r="A1561" s="402"/>
      <c r="B1561" s="402"/>
      <c r="C1561" s="402"/>
    </row>
    <row r="1562" spans="1:3" x14ac:dyDescent="0.2">
      <c r="A1562" s="402"/>
      <c r="B1562" s="402"/>
      <c r="C1562" s="402"/>
    </row>
    <row r="1563" spans="1:3" x14ac:dyDescent="0.2">
      <c r="A1563" s="402"/>
      <c r="B1563" s="402"/>
      <c r="C1563" s="402"/>
    </row>
    <row r="1564" spans="1:3" x14ac:dyDescent="0.2">
      <c r="A1564" s="402"/>
      <c r="B1564" s="402"/>
      <c r="C1564" s="402"/>
    </row>
    <row r="1565" spans="1:3" x14ac:dyDescent="0.2">
      <c r="A1565" s="402"/>
      <c r="B1565" s="402"/>
      <c r="C1565" s="402"/>
    </row>
    <row r="1566" spans="1:3" x14ac:dyDescent="0.2">
      <c r="A1566" s="402"/>
      <c r="B1566" s="402"/>
      <c r="C1566" s="402"/>
    </row>
    <row r="1567" spans="1:3" x14ac:dyDescent="0.2">
      <c r="A1567" s="402"/>
      <c r="B1567" s="402"/>
      <c r="C1567" s="402"/>
    </row>
    <row r="1568" spans="1:3" x14ac:dyDescent="0.2">
      <c r="A1568" s="402"/>
      <c r="B1568" s="402"/>
      <c r="C1568" s="402"/>
    </row>
    <row r="1569" spans="1:3" x14ac:dyDescent="0.2">
      <c r="A1569" s="402"/>
      <c r="B1569" s="402"/>
      <c r="C1569" s="402"/>
    </row>
    <row r="1570" spans="1:3" x14ac:dyDescent="0.2">
      <c r="A1570" s="402"/>
      <c r="B1570" s="402"/>
      <c r="C1570" s="402"/>
    </row>
    <row r="1571" spans="1:3" x14ac:dyDescent="0.2">
      <c r="A1571" s="402"/>
      <c r="B1571" s="402"/>
      <c r="C1571" s="402"/>
    </row>
    <row r="1572" spans="1:3" x14ac:dyDescent="0.2">
      <c r="A1572" s="402"/>
      <c r="B1572" s="402"/>
      <c r="C1572" s="402"/>
    </row>
    <row r="1573" spans="1:3" x14ac:dyDescent="0.2">
      <c r="A1573" s="402"/>
      <c r="B1573" s="402"/>
      <c r="C1573" s="402"/>
    </row>
    <row r="1574" spans="1:3" x14ac:dyDescent="0.2">
      <c r="A1574" s="402"/>
      <c r="B1574" s="402"/>
      <c r="C1574" s="402"/>
    </row>
    <row r="1575" spans="1:3" x14ac:dyDescent="0.2">
      <c r="A1575" s="402"/>
      <c r="B1575" s="402"/>
      <c r="C1575" s="402"/>
    </row>
    <row r="1576" spans="1:3" x14ac:dyDescent="0.2">
      <c r="A1576" s="402"/>
      <c r="B1576" s="402"/>
      <c r="C1576" s="402"/>
    </row>
    <row r="1577" spans="1:3" x14ac:dyDescent="0.2">
      <c r="A1577" s="402"/>
      <c r="B1577" s="402"/>
      <c r="C1577" s="402"/>
    </row>
    <row r="1578" spans="1:3" x14ac:dyDescent="0.2">
      <c r="A1578" s="402"/>
      <c r="B1578" s="402"/>
      <c r="C1578" s="402"/>
    </row>
    <row r="1579" spans="1:3" x14ac:dyDescent="0.2">
      <c r="A1579" s="402"/>
      <c r="B1579" s="402"/>
      <c r="C1579" s="402"/>
    </row>
    <row r="1580" spans="1:3" x14ac:dyDescent="0.2">
      <c r="A1580" s="402"/>
      <c r="B1580" s="402"/>
      <c r="C1580" s="402"/>
    </row>
    <row r="1581" spans="1:3" x14ac:dyDescent="0.2">
      <c r="A1581" s="402"/>
      <c r="B1581" s="402"/>
      <c r="C1581" s="402"/>
    </row>
    <row r="1582" spans="1:3" x14ac:dyDescent="0.2">
      <c r="A1582" s="402"/>
      <c r="B1582" s="402"/>
      <c r="C1582" s="402"/>
    </row>
    <row r="1583" spans="1:3" x14ac:dyDescent="0.2">
      <c r="A1583" s="402"/>
      <c r="B1583" s="402"/>
      <c r="C1583" s="402"/>
    </row>
    <row r="1584" spans="1:3" x14ac:dyDescent="0.2">
      <c r="A1584" s="402"/>
      <c r="B1584" s="402"/>
      <c r="C1584" s="402"/>
    </row>
    <row r="1585" spans="1:3" x14ac:dyDescent="0.2">
      <c r="A1585" s="402"/>
      <c r="B1585" s="402"/>
      <c r="C1585" s="402"/>
    </row>
    <row r="1586" spans="1:3" x14ac:dyDescent="0.2">
      <c r="A1586" s="402"/>
      <c r="B1586" s="402"/>
      <c r="C1586" s="402"/>
    </row>
    <row r="1587" spans="1:3" x14ac:dyDescent="0.2">
      <c r="A1587" s="402"/>
      <c r="B1587" s="402"/>
      <c r="C1587" s="402"/>
    </row>
    <row r="1588" spans="1:3" x14ac:dyDescent="0.2">
      <c r="A1588" s="402"/>
      <c r="B1588" s="402"/>
      <c r="C1588" s="402"/>
    </row>
    <row r="1589" spans="1:3" x14ac:dyDescent="0.2">
      <c r="A1589" s="402"/>
      <c r="B1589" s="402"/>
      <c r="C1589" s="402"/>
    </row>
    <row r="1590" spans="1:3" x14ac:dyDescent="0.2">
      <c r="A1590" s="402"/>
      <c r="B1590" s="402"/>
      <c r="C1590" s="402"/>
    </row>
    <row r="1591" spans="1:3" x14ac:dyDescent="0.2">
      <c r="A1591" s="402"/>
      <c r="B1591" s="402"/>
      <c r="C1591" s="402"/>
    </row>
    <row r="1592" spans="1:3" x14ac:dyDescent="0.2">
      <c r="A1592" s="402"/>
      <c r="B1592" s="402"/>
      <c r="C1592" s="402"/>
    </row>
    <row r="1593" spans="1:3" x14ac:dyDescent="0.2">
      <c r="A1593" s="402"/>
      <c r="B1593" s="402"/>
      <c r="C1593" s="402"/>
    </row>
    <row r="1594" spans="1:3" x14ac:dyDescent="0.2">
      <c r="A1594" s="402"/>
      <c r="B1594" s="402"/>
      <c r="C1594" s="402"/>
    </row>
    <row r="1595" spans="1:3" x14ac:dyDescent="0.2">
      <c r="A1595" s="402"/>
      <c r="B1595" s="402"/>
      <c r="C1595" s="402"/>
    </row>
    <row r="1596" spans="1:3" x14ac:dyDescent="0.2">
      <c r="A1596" s="402"/>
      <c r="B1596" s="402"/>
      <c r="C1596" s="402"/>
    </row>
    <row r="1597" spans="1:3" x14ac:dyDescent="0.2">
      <c r="A1597" s="402"/>
      <c r="B1597" s="402"/>
      <c r="C1597" s="402"/>
    </row>
    <row r="1598" spans="1:3" x14ac:dyDescent="0.2">
      <c r="A1598" s="402"/>
      <c r="B1598" s="402"/>
      <c r="C1598" s="402"/>
    </row>
    <row r="1599" spans="1:3" x14ac:dyDescent="0.2">
      <c r="A1599" s="402"/>
      <c r="B1599" s="402"/>
      <c r="C1599" s="402"/>
    </row>
    <row r="1600" spans="1:3" x14ac:dyDescent="0.2">
      <c r="A1600" s="402"/>
      <c r="B1600" s="402"/>
      <c r="C1600" s="402"/>
    </row>
    <row r="1601" spans="1:3" x14ac:dyDescent="0.2">
      <c r="A1601" s="402"/>
      <c r="B1601" s="402"/>
      <c r="C1601" s="402"/>
    </row>
    <row r="1602" spans="1:3" x14ac:dyDescent="0.2">
      <c r="A1602" s="402"/>
      <c r="B1602" s="402"/>
      <c r="C1602" s="402"/>
    </row>
    <row r="1603" spans="1:3" x14ac:dyDescent="0.2">
      <c r="A1603" s="402"/>
      <c r="B1603" s="402"/>
      <c r="C1603" s="402"/>
    </row>
    <row r="1604" spans="1:3" x14ac:dyDescent="0.2">
      <c r="A1604" s="402"/>
      <c r="B1604" s="402"/>
      <c r="C1604" s="402"/>
    </row>
    <row r="1605" spans="1:3" x14ac:dyDescent="0.2">
      <c r="A1605" s="402"/>
      <c r="B1605" s="402"/>
      <c r="C1605" s="402"/>
    </row>
    <row r="1606" spans="1:3" x14ac:dyDescent="0.2">
      <c r="A1606" s="402"/>
      <c r="B1606" s="402"/>
      <c r="C1606" s="402"/>
    </row>
    <row r="1607" spans="1:3" x14ac:dyDescent="0.2">
      <c r="A1607" s="402"/>
      <c r="B1607" s="402"/>
      <c r="C1607" s="402"/>
    </row>
    <row r="1608" spans="1:3" x14ac:dyDescent="0.2">
      <c r="A1608" s="402"/>
      <c r="B1608" s="402"/>
      <c r="C1608" s="402"/>
    </row>
    <row r="1609" spans="1:3" x14ac:dyDescent="0.2">
      <c r="A1609" s="402"/>
      <c r="B1609" s="402"/>
      <c r="C1609" s="402"/>
    </row>
    <row r="1610" spans="1:3" x14ac:dyDescent="0.2">
      <c r="A1610" s="402"/>
      <c r="B1610" s="402"/>
      <c r="C1610" s="402"/>
    </row>
    <row r="1611" spans="1:3" x14ac:dyDescent="0.2">
      <c r="A1611" s="402"/>
      <c r="B1611" s="402"/>
      <c r="C1611" s="402"/>
    </row>
    <row r="1612" spans="1:3" x14ac:dyDescent="0.2">
      <c r="A1612" s="402"/>
      <c r="B1612" s="402"/>
      <c r="C1612" s="402"/>
    </row>
    <row r="1613" spans="1:3" x14ac:dyDescent="0.2">
      <c r="A1613" s="402"/>
      <c r="B1613" s="402"/>
      <c r="C1613" s="402"/>
    </row>
    <row r="1614" spans="1:3" x14ac:dyDescent="0.2">
      <c r="A1614" s="402"/>
      <c r="B1614" s="402"/>
      <c r="C1614" s="402"/>
    </row>
    <row r="1615" spans="1:3" x14ac:dyDescent="0.2">
      <c r="A1615" s="402"/>
      <c r="B1615" s="402"/>
      <c r="C1615" s="402"/>
    </row>
    <row r="1616" spans="1:3" x14ac:dyDescent="0.2">
      <c r="A1616" s="402"/>
      <c r="B1616" s="402"/>
      <c r="C1616" s="402"/>
    </row>
    <row r="1617" spans="1:3" x14ac:dyDescent="0.2">
      <c r="A1617" s="402"/>
      <c r="B1617" s="402"/>
      <c r="C1617" s="402"/>
    </row>
    <row r="1618" spans="1:3" x14ac:dyDescent="0.2">
      <c r="A1618" s="402"/>
      <c r="B1618" s="402"/>
      <c r="C1618" s="402"/>
    </row>
    <row r="1619" spans="1:3" x14ac:dyDescent="0.2">
      <c r="A1619" s="402"/>
      <c r="B1619" s="402"/>
      <c r="C1619" s="402"/>
    </row>
    <row r="1620" spans="1:3" x14ac:dyDescent="0.2">
      <c r="A1620" s="402"/>
      <c r="B1620" s="402"/>
      <c r="C1620" s="402"/>
    </row>
    <row r="1621" spans="1:3" x14ac:dyDescent="0.2">
      <c r="A1621" s="402"/>
      <c r="B1621" s="402"/>
      <c r="C1621" s="402"/>
    </row>
    <row r="1622" spans="1:3" x14ac:dyDescent="0.2">
      <c r="A1622" s="402"/>
      <c r="B1622" s="402"/>
      <c r="C1622" s="402"/>
    </row>
    <row r="1623" spans="1:3" x14ac:dyDescent="0.2">
      <c r="A1623" s="402"/>
      <c r="B1623" s="402"/>
      <c r="C1623" s="402"/>
    </row>
    <row r="1624" spans="1:3" x14ac:dyDescent="0.2">
      <c r="A1624" s="402"/>
      <c r="B1624" s="402"/>
      <c r="C1624" s="402"/>
    </row>
    <row r="1625" spans="1:3" x14ac:dyDescent="0.2">
      <c r="A1625" s="402"/>
      <c r="B1625" s="402"/>
      <c r="C1625" s="402"/>
    </row>
    <row r="1626" spans="1:3" x14ac:dyDescent="0.2">
      <c r="A1626" s="402"/>
      <c r="B1626" s="402"/>
      <c r="C1626" s="402"/>
    </row>
    <row r="1627" spans="1:3" x14ac:dyDescent="0.2">
      <c r="A1627" s="402"/>
      <c r="B1627" s="402"/>
      <c r="C1627" s="402"/>
    </row>
    <row r="1628" spans="1:3" x14ac:dyDescent="0.2">
      <c r="A1628" s="402"/>
      <c r="B1628" s="402"/>
      <c r="C1628" s="402"/>
    </row>
    <row r="1629" spans="1:3" x14ac:dyDescent="0.2">
      <c r="A1629" s="402"/>
      <c r="B1629" s="402"/>
      <c r="C1629" s="402"/>
    </row>
    <row r="1630" spans="1:3" x14ac:dyDescent="0.2">
      <c r="A1630" s="402"/>
      <c r="B1630" s="402"/>
      <c r="C1630" s="402"/>
    </row>
    <row r="1631" spans="1:3" x14ac:dyDescent="0.2">
      <c r="A1631" s="402"/>
      <c r="B1631" s="402"/>
      <c r="C1631" s="402"/>
    </row>
    <row r="1632" spans="1:3" x14ac:dyDescent="0.2">
      <c r="A1632" s="402"/>
      <c r="B1632" s="402"/>
      <c r="C1632" s="402"/>
    </row>
    <row r="1633" spans="1:3" x14ac:dyDescent="0.2">
      <c r="A1633" s="402"/>
      <c r="B1633" s="402"/>
      <c r="C1633" s="402"/>
    </row>
    <row r="1634" spans="1:3" x14ac:dyDescent="0.2">
      <c r="A1634" s="402"/>
      <c r="B1634" s="402"/>
      <c r="C1634" s="402"/>
    </row>
    <row r="1635" spans="1:3" x14ac:dyDescent="0.2">
      <c r="A1635" s="402"/>
      <c r="B1635" s="402"/>
      <c r="C1635" s="402"/>
    </row>
    <row r="1636" spans="1:3" x14ac:dyDescent="0.2">
      <c r="A1636" s="402"/>
      <c r="B1636" s="402"/>
      <c r="C1636" s="402"/>
    </row>
    <row r="1637" spans="1:3" x14ac:dyDescent="0.2">
      <c r="A1637" s="402"/>
      <c r="B1637" s="402"/>
      <c r="C1637" s="402"/>
    </row>
    <row r="1638" spans="1:3" x14ac:dyDescent="0.2">
      <c r="A1638" s="402"/>
      <c r="B1638" s="402"/>
      <c r="C1638" s="402"/>
    </row>
    <row r="1639" spans="1:3" x14ac:dyDescent="0.2">
      <c r="A1639" s="402"/>
      <c r="B1639" s="402"/>
      <c r="C1639" s="402"/>
    </row>
    <row r="1640" spans="1:3" x14ac:dyDescent="0.2">
      <c r="A1640" s="402"/>
      <c r="B1640" s="402"/>
      <c r="C1640" s="402"/>
    </row>
    <row r="1641" spans="1:3" x14ac:dyDescent="0.2">
      <c r="A1641" s="402"/>
      <c r="B1641" s="402"/>
      <c r="C1641" s="402"/>
    </row>
    <row r="1642" spans="1:3" x14ac:dyDescent="0.2">
      <c r="A1642" s="402"/>
      <c r="B1642" s="402"/>
      <c r="C1642" s="402"/>
    </row>
    <row r="1643" spans="1:3" x14ac:dyDescent="0.2">
      <c r="A1643" s="402"/>
      <c r="B1643" s="402"/>
      <c r="C1643" s="402"/>
    </row>
    <row r="1644" spans="1:3" x14ac:dyDescent="0.2">
      <c r="A1644" s="402"/>
      <c r="B1644" s="402"/>
      <c r="C1644" s="402"/>
    </row>
    <row r="1645" spans="1:3" x14ac:dyDescent="0.2">
      <c r="A1645" s="402"/>
      <c r="B1645" s="402"/>
      <c r="C1645" s="402"/>
    </row>
    <row r="1646" spans="1:3" x14ac:dyDescent="0.2">
      <c r="A1646" s="402"/>
      <c r="B1646" s="402"/>
      <c r="C1646" s="402"/>
    </row>
    <row r="1647" spans="1:3" x14ac:dyDescent="0.2">
      <c r="A1647" s="402"/>
      <c r="B1647" s="402"/>
      <c r="C1647" s="402"/>
    </row>
    <row r="1648" spans="1:3" x14ac:dyDescent="0.2">
      <c r="A1648" s="402"/>
      <c r="B1648" s="402"/>
      <c r="C1648" s="402"/>
    </row>
    <row r="1649" spans="1:3" x14ac:dyDescent="0.2">
      <c r="A1649" s="402"/>
      <c r="B1649" s="402"/>
      <c r="C1649" s="402"/>
    </row>
    <row r="1650" spans="1:3" x14ac:dyDescent="0.2">
      <c r="A1650" s="402"/>
      <c r="B1650" s="402"/>
      <c r="C1650" s="402"/>
    </row>
    <row r="1651" spans="1:3" x14ac:dyDescent="0.2">
      <c r="A1651" s="402"/>
      <c r="B1651" s="402"/>
      <c r="C1651" s="402"/>
    </row>
    <row r="1652" spans="1:3" x14ac:dyDescent="0.2">
      <c r="A1652" s="402"/>
      <c r="B1652" s="402"/>
      <c r="C1652" s="402"/>
    </row>
    <row r="1653" spans="1:3" x14ac:dyDescent="0.2">
      <c r="A1653" s="402"/>
      <c r="B1653" s="402"/>
      <c r="C1653" s="402"/>
    </row>
    <row r="1654" spans="1:3" x14ac:dyDescent="0.2">
      <c r="A1654" s="402"/>
      <c r="B1654" s="402"/>
      <c r="C1654" s="402"/>
    </row>
    <row r="1655" spans="1:3" x14ac:dyDescent="0.2">
      <c r="A1655" s="402"/>
      <c r="B1655" s="402"/>
      <c r="C1655" s="402"/>
    </row>
    <row r="1656" spans="1:3" x14ac:dyDescent="0.2">
      <c r="A1656" s="402"/>
      <c r="B1656" s="402"/>
      <c r="C1656" s="402"/>
    </row>
    <row r="1657" spans="1:3" x14ac:dyDescent="0.2">
      <c r="A1657" s="402"/>
      <c r="B1657" s="402"/>
      <c r="C1657" s="402"/>
    </row>
    <row r="1658" spans="1:3" x14ac:dyDescent="0.2">
      <c r="A1658" s="402"/>
      <c r="B1658" s="402"/>
      <c r="C1658" s="402"/>
    </row>
    <row r="1659" spans="1:3" x14ac:dyDescent="0.2">
      <c r="A1659" s="402"/>
      <c r="B1659" s="402"/>
      <c r="C1659" s="402"/>
    </row>
    <row r="1660" spans="1:3" x14ac:dyDescent="0.2">
      <c r="A1660" s="402"/>
      <c r="B1660" s="402"/>
      <c r="C1660" s="402"/>
    </row>
    <row r="1661" spans="1:3" x14ac:dyDescent="0.2">
      <c r="A1661" s="402"/>
      <c r="B1661" s="402"/>
      <c r="C1661" s="402"/>
    </row>
    <row r="1662" spans="1:3" x14ac:dyDescent="0.2">
      <c r="A1662" s="402"/>
      <c r="B1662" s="402"/>
      <c r="C1662" s="402"/>
    </row>
    <row r="1663" spans="1:3" x14ac:dyDescent="0.2">
      <c r="A1663" s="402"/>
      <c r="B1663" s="402"/>
      <c r="C1663" s="402"/>
    </row>
    <row r="1664" spans="1:3" x14ac:dyDescent="0.2">
      <c r="A1664" s="402"/>
      <c r="B1664" s="402"/>
      <c r="C1664" s="402"/>
    </row>
    <row r="1665" spans="1:3" x14ac:dyDescent="0.2">
      <c r="A1665" s="402"/>
      <c r="B1665" s="402"/>
      <c r="C1665" s="402"/>
    </row>
    <row r="1666" spans="1:3" x14ac:dyDescent="0.2">
      <c r="A1666" s="402"/>
      <c r="B1666" s="402"/>
      <c r="C1666" s="402"/>
    </row>
    <row r="1667" spans="1:3" x14ac:dyDescent="0.2">
      <c r="A1667" s="402"/>
      <c r="B1667" s="402"/>
      <c r="C1667" s="402"/>
    </row>
    <row r="1668" spans="1:3" x14ac:dyDescent="0.2">
      <c r="A1668" s="402"/>
      <c r="B1668" s="402"/>
      <c r="C1668" s="402"/>
    </row>
    <row r="1669" spans="1:3" x14ac:dyDescent="0.2">
      <c r="A1669" s="402"/>
      <c r="B1669" s="402"/>
      <c r="C1669" s="402"/>
    </row>
    <row r="1670" spans="1:3" x14ac:dyDescent="0.2">
      <c r="A1670" s="402"/>
      <c r="B1670" s="402"/>
      <c r="C1670" s="402"/>
    </row>
    <row r="1671" spans="1:3" x14ac:dyDescent="0.2">
      <c r="A1671" s="402"/>
      <c r="B1671" s="402"/>
      <c r="C1671" s="402"/>
    </row>
    <row r="1672" spans="1:3" x14ac:dyDescent="0.2">
      <c r="A1672" s="402"/>
      <c r="B1672" s="402"/>
      <c r="C1672" s="402"/>
    </row>
    <row r="1673" spans="1:3" x14ac:dyDescent="0.2">
      <c r="A1673" s="402"/>
      <c r="B1673" s="402"/>
      <c r="C1673" s="402"/>
    </row>
    <row r="1674" spans="1:3" x14ac:dyDescent="0.2">
      <c r="A1674" s="402"/>
      <c r="B1674" s="402"/>
      <c r="C1674" s="402"/>
    </row>
    <row r="1675" spans="1:3" x14ac:dyDescent="0.2">
      <c r="A1675" s="402"/>
      <c r="B1675" s="402"/>
      <c r="C1675" s="402"/>
    </row>
    <row r="1676" spans="1:3" x14ac:dyDescent="0.2">
      <c r="A1676" s="402"/>
      <c r="B1676" s="402"/>
      <c r="C1676" s="402"/>
    </row>
    <row r="1677" spans="1:3" x14ac:dyDescent="0.2">
      <c r="A1677" s="402"/>
      <c r="B1677" s="402"/>
      <c r="C1677" s="402"/>
    </row>
    <row r="1678" spans="1:3" x14ac:dyDescent="0.2">
      <c r="A1678" s="402"/>
      <c r="B1678" s="402"/>
      <c r="C1678" s="402"/>
    </row>
    <row r="1679" spans="1:3" x14ac:dyDescent="0.2">
      <c r="A1679" s="402"/>
      <c r="B1679" s="402"/>
      <c r="C1679" s="402"/>
    </row>
    <row r="1680" spans="1:3" x14ac:dyDescent="0.2">
      <c r="A1680" s="402"/>
      <c r="B1680" s="402"/>
      <c r="C1680" s="402"/>
    </row>
    <row r="1681" spans="1:3" x14ac:dyDescent="0.2">
      <c r="A1681" s="402"/>
      <c r="B1681" s="402"/>
      <c r="C1681" s="402"/>
    </row>
    <row r="1682" spans="1:3" x14ac:dyDescent="0.2">
      <c r="A1682" s="402"/>
      <c r="B1682" s="402"/>
      <c r="C1682" s="402"/>
    </row>
    <row r="1683" spans="1:3" x14ac:dyDescent="0.2">
      <c r="A1683" s="402"/>
      <c r="B1683" s="402"/>
      <c r="C1683" s="402"/>
    </row>
    <row r="1684" spans="1:3" x14ac:dyDescent="0.2">
      <c r="A1684" s="402"/>
      <c r="B1684" s="402"/>
      <c r="C1684" s="402"/>
    </row>
    <row r="1685" spans="1:3" x14ac:dyDescent="0.2">
      <c r="A1685" s="402"/>
      <c r="B1685" s="402"/>
      <c r="C1685" s="402"/>
    </row>
    <row r="1686" spans="1:3" x14ac:dyDescent="0.2">
      <c r="A1686" s="402"/>
      <c r="B1686" s="402"/>
      <c r="C1686" s="402"/>
    </row>
    <row r="1687" spans="1:3" x14ac:dyDescent="0.2">
      <c r="A1687" s="402"/>
      <c r="B1687" s="402"/>
      <c r="C1687" s="402"/>
    </row>
    <row r="1688" spans="1:3" x14ac:dyDescent="0.2">
      <c r="A1688" s="402"/>
      <c r="B1688" s="402"/>
      <c r="C1688" s="402"/>
    </row>
    <row r="1689" spans="1:3" x14ac:dyDescent="0.2">
      <c r="A1689" s="402"/>
      <c r="B1689" s="402"/>
      <c r="C1689" s="402"/>
    </row>
    <row r="1690" spans="1:3" x14ac:dyDescent="0.2">
      <c r="A1690" s="402"/>
      <c r="B1690" s="402"/>
      <c r="C1690" s="402"/>
    </row>
    <row r="1691" spans="1:3" x14ac:dyDescent="0.2">
      <c r="A1691" s="402"/>
      <c r="B1691" s="402"/>
      <c r="C1691" s="402"/>
    </row>
    <row r="1692" spans="1:3" x14ac:dyDescent="0.2">
      <c r="A1692" s="402"/>
      <c r="B1692" s="402"/>
      <c r="C1692" s="402"/>
    </row>
    <row r="1693" spans="1:3" x14ac:dyDescent="0.2">
      <c r="A1693" s="402"/>
      <c r="B1693" s="402"/>
      <c r="C1693" s="402"/>
    </row>
    <row r="1694" spans="1:3" x14ac:dyDescent="0.2">
      <c r="A1694" s="402"/>
      <c r="B1694" s="402"/>
      <c r="C1694" s="402"/>
    </row>
    <row r="1695" spans="1:3" x14ac:dyDescent="0.2">
      <c r="A1695" s="402"/>
      <c r="B1695" s="402"/>
      <c r="C1695" s="402"/>
    </row>
    <row r="1696" spans="1:3" x14ac:dyDescent="0.2">
      <c r="A1696" s="402"/>
      <c r="B1696" s="402"/>
      <c r="C1696" s="402"/>
    </row>
    <row r="1697" spans="1:3" x14ac:dyDescent="0.2">
      <c r="A1697" s="402"/>
      <c r="B1697" s="402"/>
      <c r="C1697" s="402"/>
    </row>
    <row r="1698" spans="1:3" x14ac:dyDescent="0.2">
      <c r="A1698" s="402"/>
      <c r="B1698" s="402"/>
      <c r="C1698" s="402"/>
    </row>
    <row r="1699" spans="1:3" x14ac:dyDescent="0.2">
      <c r="A1699" s="402"/>
      <c r="B1699" s="402"/>
      <c r="C1699" s="402"/>
    </row>
    <row r="1700" spans="1:3" x14ac:dyDescent="0.2">
      <c r="A1700" s="402"/>
      <c r="B1700" s="402"/>
      <c r="C1700" s="402"/>
    </row>
    <row r="1701" spans="1:3" x14ac:dyDescent="0.2">
      <c r="A1701" s="402"/>
      <c r="B1701" s="402"/>
      <c r="C1701" s="402"/>
    </row>
    <row r="1702" spans="1:3" x14ac:dyDescent="0.2">
      <c r="A1702" s="402"/>
      <c r="B1702" s="402"/>
      <c r="C1702" s="402"/>
    </row>
    <row r="1703" spans="1:3" x14ac:dyDescent="0.2">
      <c r="A1703" s="402"/>
      <c r="B1703" s="402"/>
      <c r="C1703" s="402"/>
    </row>
    <row r="1704" spans="1:3" x14ac:dyDescent="0.2">
      <c r="A1704" s="402"/>
      <c r="B1704" s="402"/>
      <c r="C1704" s="402"/>
    </row>
    <row r="1705" spans="1:3" x14ac:dyDescent="0.2">
      <c r="A1705" s="402"/>
      <c r="B1705" s="402"/>
      <c r="C1705" s="402"/>
    </row>
    <row r="1706" spans="1:3" x14ac:dyDescent="0.2">
      <c r="A1706" s="402"/>
      <c r="B1706" s="402"/>
      <c r="C1706" s="402"/>
    </row>
    <row r="1707" spans="1:3" x14ac:dyDescent="0.2">
      <c r="A1707" s="402"/>
      <c r="B1707" s="402"/>
      <c r="C1707" s="402"/>
    </row>
    <row r="1708" spans="1:3" x14ac:dyDescent="0.2">
      <c r="A1708" s="402"/>
      <c r="B1708" s="402"/>
      <c r="C1708" s="402"/>
    </row>
    <row r="1709" spans="1:3" x14ac:dyDescent="0.2">
      <c r="A1709" s="402"/>
      <c r="B1709" s="402"/>
      <c r="C1709" s="402"/>
    </row>
    <row r="1710" spans="1:3" x14ac:dyDescent="0.2">
      <c r="A1710" s="402"/>
      <c r="B1710" s="402"/>
      <c r="C1710" s="402"/>
    </row>
    <row r="1711" spans="1:3" x14ac:dyDescent="0.2">
      <c r="A1711" s="402"/>
      <c r="B1711" s="402"/>
      <c r="C1711" s="402"/>
    </row>
    <row r="1712" spans="1:3" x14ac:dyDescent="0.2">
      <c r="A1712" s="402"/>
      <c r="B1712" s="402"/>
      <c r="C1712" s="402"/>
    </row>
    <row r="1713" spans="1:3" x14ac:dyDescent="0.2">
      <c r="A1713" s="402"/>
      <c r="B1713" s="402"/>
      <c r="C1713" s="402"/>
    </row>
    <row r="1714" spans="1:3" x14ac:dyDescent="0.2">
      <c r="A1714" s="402"/>
      <c r="B1714" s="402"/>
      <c r="C1714" s="402"/>
    </row>
    <row r="1715" spans="1:3" x14ac:dyDescent="0.2">
      <c r="A1715" s="402"/>
      <c r="B1715" s="402"/>
      <c r="C1715" s="402"/>
    </row>
    <row r="1716" spans="1:3" x14ac:dyDescent="0.2">
      <c r="A1716" s="402"/>
      <c r="B1716" s="402"/>
      <c r="C1716" s="402"/>
    </row>
    <row r="1717" spans="1:3" x14ac:dyDescent="0.2">
      <c r="A1717" s="402"/>
      <c r="B1717" s="402"/>
      <c r="C1717" s="402"/>
    </row>
    <row r="1718" spans="1:3" x14ac:dyDescent="0.2">
      <c r="A1718" s="402"/>
      <c r="B1718" s="402"/>
      <c r="C1718" s="402"/>
    </row>
    <row r="1719" spans="1:3" x14ac:dyDescent="0.2">
      <c r="A1719" s="402"/>
      <c r="B1719" s="402"/>
      <c r="C1719" s="402"/>
    </row>
    <row r="1720" spans="1:3" x14ac:dyDescent="0.2">
      <c r="A1720" s="402"/>
      <c r="B1720" s="402"/>
      <c r="C1720" s="402"/>
    </row>
    <row r="1721" spans="1:3" x14ac:dyDescent="0.2">
      <c r="A1721" s="402"/>
      <c r="B1721" s="402"/>
      <c r="C1721" s="402"/>
    </row>
    <row r="1722" spans="1:3" x14ac:dyDescent="0.2">
      <c r="A1722" s="402"/>
      <c r="B1722" s="402"/>
      <c r="C1722" s="402"/>
    </row>
    <row r="1723" spans="1:3" x14ac:dyDescent="0.2">
      <c r="A1723" s="402"/>
      <c r="B1723" s="402"/>
      <c r="C1723" s="402"/>
    </row>
    <row r="1724" spans="1:3" x14ac:dyDescent="0.2">
      <c r="A1724" s="402"/>
      <c r="B1724" s="402"/>
      <c r="C1724" s="402"/>
    </row>
    <row r="1725" spans="1:3" x14ac:dyDescent="0.2">
      <c r="A1725" s="402"/>
      <c r="B1725" s="402"/>
      <c r="C1725" s="402"/>
    </row>
    <row r="1726" spans="1:3" x14ac:dyDescent="0.2">
      <c r="A1726" s="402"/>
      <c r="B1726" s="402"/>
      <c r="C1726" s="402"/>
    </row>
    <row r="1727" spans="1:3" x14ac:dyDescent="0.2">
      <c r="A1727" s="402"/>
      <c r="B1727" s="402"/>
      <c r="C1727" s="402"/>
    </row>
    <row r="1728" spans="1:3" x14ac:dyDescent="0.2">
      <c r="A1728" s="402"/>
      <c r="B1728" s="402"/>
      <c r="C1728" s="402"/>
    </row>
    <row r="1729" spans="1:3" x14ac:dyDescent="0.2">
      <c r="A1729" s="402"/>
      <c r="B1729" s="402"/>
      <c r="C1729" s="402"/>
    </row>
    <row r="1730" spans="1:3" x14ac:dyDescent="0.2">
      <c r="A1730" s="402"/>
      <c r="B1730" s="402"/>
      <c r="C1730" s="402"/>
    </row>
    <row r="1731" spans="1:3" x14ac:dyDescent="0.2">
      <c r="A1731" s="402"/>
      <c r="B1731" s="402"/>
      <c r="C1731" s="402"/>
    </row>
    <row r="1732" spans="1:3" x14ac:dyDescent="0.2">
      <c r="A1732" s="402"/>
      <c r="B1732" s="402"/>
      <c r="C1732" s="402"/>
    </row>
    <row r="1733" spans="1:3" x14ac:dyDescent="0.2">
      <c r="A1733" s="402"/>
      <c r="B1733" s="402"/>
      <c r="C1733" s="402"/>
    </row>
    <row r="1734" spans="1:3" x14ac:dyDescent="0.2">
      <c r="A1734" s="402"/>
      <c r="B1734" s="402"/>
      <c r="C1734" s="402"/>
    </row>
    <row r="1735" spans="1:3" x14ac:dyDescent="0.2">
      <c r="A1735" s="402"/>
      <c r="B1735" s="402"/>
      <c r="C1735" s="402"/>
    </row>
    <row r="1736" spans="1:3" x14ac:dyDescent="0.2">
      <c r="A1736" s="402"/>
      <c r="B1736" s="402"/>
      <c r="C1736" s="402"/>
    </row>
    <row r="1737" spans="1:3" x14ac:dyDescent="0.2">
      <c r="A1737" s="402"/>
      <c r="B1737" s="402"/>
      <c r="C1737" s="402"/>
    </row>
    <row r="1738" spans="1:3" x14ac:dyDescent="0.2">
      <c r="A1738" s="402"/>
      <c r="B1738" s="402"/>
      <c r="C1738" s="402"/>
    </row>
    <row r="1739" spans="1:3" x14ac:dyDescent="0.2">
      <c r="A1739" s="402"/>
      <c r="B1739" s="402"/>
      <c r="C1739" s="402"/>
    </row>
    <row r="1740" spans="1:3" x14ac:dyDescent="0.2">
      <c r="A1740" s="402"/>
      <c r="B1740" s="402"/>
      <c r="C1740" s="402"/>
    </row>
    <row r="1741" spans="1:3" x14ac:dyDescent="0.2">
      <c r="A1741" s="402"/>
      <c r="B1741" s="402"/>
      <c r="C1741" s="402"/>
    </row>
    <row r="1742" spans="1:3" x14ac:dyDescent="0.2">
      <c r="A1742" s="402"/>
      <c r="B1742" s="402"/>
      <c r="C1742" s="402"/>
    </row>
    <row r="1743" spans="1:3" x14ac:dyDescent="0.2">
      <c r="A1743" s="402"/>
      <c r="B1743" s="402"/>
      <c r="C1743" s="402"/>
    </row>
    <row r="1744" spans="1:3" x14ac:dyDescent="0.2">
      <c r="A1744" s="402"/>
      <c r="B1744" s="402"/>
      <c r="C1744" s="402"/>
    </row>
    <row r="1745" spans="1:3" x14ac:dyDescent="0.2">
      <c r="A1745" s="402"/>
      <c r="B1745" s="402"/>
      <c r="C1745" s="402"/>
    </row>
    <row r="1746" spans="1:3" x14ac:dyDescent="0.2">
      <c r="A1746" s="402"/>
      <c r="B1746" s="402"/>
      <c r="C1746" s="402"/>
    </row>
    <row r="1747" spans="1:3" x14ac:dyDescent="0.2">
      <c r="A1747" s="402"/>
      <c r="B1747" s="402"/>
      <c r="C1747" s="402"/>
    </row>
    <row r="1748" spans="1:3" x14ac:dyDescent="0.2">
      <c r="A1748" s="402"/>
      <c r="B1748" s="402"/>
      <c r="C1748" s="402"/>
    </row>
    <row r="1749" spans="1:3" x14ac:dyDescent="0.2">
      <c r="A1749" s="402"/>
      <c r="B1749" s="402"/>
      <c r="C1749" s="402"/>
    </row>
    <row r="1750" spans="1:3" x14ac:dyDescent="0.2">
      <c r="A1750" s="402"/>
      <c r="B1750" s="402"/>
      <c r="C1750" s="402"/>
    </row>
    <row r="1751" spans="1:3" x14ac:dyDescent="0.2">
      <c r="A1751" s="402"/>
      <c r="B1751" s="402"/>
      <c r="C1751" s="402"/>
    </row>
    <row r="1752" spans="1:3" x14ac:dyDescent="0.2">
      <c r="A1752" s="402"/>
      <c r="B1752" s="402"/>
      <c r="C1752" s="402"/>
    </row>
    <row r="1753" spans="1:3" x14ac:dyDescent="0.2">
      <c r="A1753" s="402"/>
      <c r="B1753" s="402"/>
      <c r="C1753" s="402"/>
    </row>
    <row r="1754" spans="1:3" x14ac:dyDescent="0.2">
      <c r="A1754" s="402"/>
      <c r="B1754" s="402"/>
      <c r="C1754" s="402"/>
    </row>
    <row r="1755" spans="1:3" x14ac:dyDescent="0.2">
      <c r="A1755" s="402"/>
      <c r="B1755" s="402"/>
      <c r="C1755" s="402"/>
    </row>
    <row r="1756" spans="1:3" x14ac:dyDescent="0.2">
      <c r="A1756" s="402"/>
      <c r="B1756" s="402"/>
      <c r="C1756" s="402"/>
    </row>
    <row r="1757" spans="1:3" x14ac:dyDescent="0.2">
      <c r="A1757" s="402"/>
      <c r="B1757" s="402"/>
      <c r="C1757" s="402"/>
    </row>
    <row r="1758" spans="1:3" x14ac:dyDescent="0.2">
      <c r="A1758" s="402"/>
      <c r="B1758" s="402"/>
      <c r="C1758" s="402"/>
    </row>
    <row r="1759" spans="1:3" x14ac:dyDescent="0.2">
      <c r="A1759" s="402"/>
      <c r="B1759" s="402"/>
      <c r="C1759" s="402"/>
    </row>
    <row r="1760" spans="1:3" x14ac:dyDescent="0.2">
      <c r="A1760" s="402"/>
      <c r="B1760" s="402"/>
      <c r="C1760" s="402"/>
    </row>
    <row r="1761" spans="1:3" x14ac:dyDescent="0.2">
      <c r="A1761" s="402"/>
      <c r="B1761" s="402"/>
      <c r="C1761" s="402"/>
    </row>
    <row r="1762" spans="1:3" x14ac:dyDescent="0.2">
      <c r="A1762" s="402"/>
      <c r="B1762" s="402"/>
      <c r="C1762" s="402"/>
    </row>
    <row r="1763" spans="1:3" x14ac:dyDescent="0.2">
      <c r="A1763" s="402"/>
      <c r="B1763" s="402"/>
      <c r="C1763" s="402"/>
    </row>
    <row r="1764" spans="1:3" x14ac:dyDescent="0.2">
      <c r="A1764" s="402"/>
      <c r="B1764" s="402"/>
      <c r="C1764" s="402"/>
    </row>
    <row r="1765" spans="1:3" x14ac:dyDescent="0.2">
      <c r="A1765" s="402"/>
      <c r="B1765" s="402"/>
      <c r="C1765" s="402"/>
    </row>
    <row r="1766" spans="1:3" x14ac:dyDescent="0.2">
      <c r="A1766" s="402"/>
      <c r="B1766" s="402"/>
      <c r="C1766" s="402"/>
    </row>
    <row r="1767" spans="1:3" x14ac:dyDescent="0.2">
      <c r="A1767" s="402"/>
      <c r="B1767" s="402"/>
      <c r="C1767" s="402"/>
    </row>
    <row r="1768" spans="1:3" x14ac:dyDescent="0.2">
      <c r="A1768" s="402"/>
      <c r="B1768" s="402"/>
      <c r="C1768" s="402"/>
    </row>
    <row r="1769" spans="1:3" x14ac:dyDescent="0.2">
      <c r="A1769" s="402"/>
      <c r="B1769" s="402"/>
      <c r="C1769" s="402"/>
    </row>
    <row r="1770" spans="1:3" x14ac:dyDescent="0.2">
      <c r="A1770" s="402"/>
      <c r="B1770" s="402"/>
      <c r="C1770" s="402"/>
    </row>
    <row r="1771" spans="1:3" x14ac:dyDescent="0.2">
      <c r="A1771" s="402"/>
      <c r="B1771" s="402"/>
      <c r="C1771" s="402"/>
    </row>
    <row r="1772" spans="1:3" x14ac:dyDescent="0.2">
      <c r="A1772" s="402"/>
      <c r="B1772" s="402"/>
      <c r="C1772" s="402"/>
    </row>
    <row r="1773" spans="1:3" x14ac:dyDescent="0.2">
      <c r="A1773" s="402"/>
      <c r="B1773" s="402"/>
      <c r="C1773" s="402"/>
    </row>
    <row r="1774" spans="1:3" x14ac:dyDescent="0.2">
      <c r="A1774" s="402"/>
      <c r="B1774" s="402"/>
      <c r="C1774" s="402"/>
    </row>
    <row r="1775" spans="1:3" x14ac:dyDescent="0.2">
      <c r="A1775" s="402"/>
      <c r="B1775" s="402"/>
      <c r="C1775" s="402"/>
    </row>
    <row r="1776" spans="1:3" x14ac:dyDescent="0.2">
      <c r="A1776" s="402"/>
      <c r="B1776" s="402"/>
      <c r="C1776" s="402"/>
    </row>
    <row r="1777" spans="1:3" x14ac:dyDescent="0.2">
      <c r="A1777" s="402"/>
      <c r="B1777" s="402"/>
      <c r="C1777" s="402"/>
    </row>
    <row r="1778" spans="1:3" x14ac:dyDescent="0.2">
      <c r="A1778" s="402"/>
      <c r="B1778" s="402"/>
      <c r="C1778" s="402"/>
    </row>
    <row r="1779" spans="1:3" x14ac:dyDescent="0.2">
      <c r="A1779" s="402"/>
      <c r="B1779" s="402"/>
      <c r="C1779" s="402"/>
    </row>
    <row r="1780" spans="1:3" x14ac:dyDescent="0.2">
      <c r="A1780" s="402"/>
      <c r="B1780" s="402"/>
      <c r="C1780" s="402"/>
    </row>
    <row r="1781" spans="1:3" x14ac:dyDescent="0.2">
      <c r="A1781" s="402"/>
      <c r="B1781" s="402"/>
      <c r="C1781" s="402"/>
    </row>
    <row r="1782" spans="1:3" x14ac:dyDescent="0.2">
      <c r="A1782" s="402"/>
      <c r="B1782" s="402"/>
      <c r="C1782" s="402"/>
    </row>
    <row r="1783" spans="1:3" x14ac:dyDescent="0.2">
      <c r="A1783" s="402"/>
      <c r="B1783" s="402"/>
      <c r="C1783" s="402"/>
    </row>
    <row r="1784" spans="1:3" x14ac:dyDescent="0.2">
      <c r="A1784" s="402"/>
      <c r="B1784" s="402"/>
      <c r="C1784" s="402"/>
    </row>
    <row r="1785" spans="1:3" x14ac:dyDescent="0.2">
      <c r="A1785" s="402"/>
      <c r="B1785" s="402"/>
      <c r="C1785" s="402"/>
    </row>
    <row r="1786" spans="1:3" x14ac:dyDescent="0.2">
      <c r="A1786" s="402"/>
      <c r="B1786" s="402"/>
      <c r="C1786" s="402"/>
    </row>
    <row r="1787" spans="1:3" x14ac:dyDescent="0.2">
      <c r="A1787" s="402"/>
      <c r="B1787" s="402"/>
      <c r="C1787" s="402"/>
    </row>
    <row r="1788" spans="1:3" x14ac:dyDescent="0.2">
      <c r="A1788" s="402"/>
      <c r="B1788" s="402"/>
      <c r="C1788" s="402"/>
    </row>
    <row r="1789" spans="1:3" x14ac:dyDescent="0.2">
      <c r="A1789" s="402"/>
      <c r="B1789" s="402"/>
      <c r="C1789" s="402"/>
    </row>
    <row r="1790" spans="1:3" x14ac:dyDescent="0.2">
      <c r="A1790" s="402"/>
      <c r="B1790" s="402"/>
      <c r="C1790" s="402"/>
    </row>
    <row r="1791" spans="1:3" x14ac:dyDescent="0.2">
      <c r="A1791" s="402"/>
      <c r="B1791" s="402"/>
      <c r="C1791" s="402"/>
    </row>
    <row r="1792" spans="1:3" x14ac:dyDescent="0.2">
      <c r="A1792" s="402"/>
      <c r="B1792" s="402"/>
      <c r="C1792" s="402"/>
    </row>
    <row r="1793" spans="1:3" x14ac:dyDescent="0.2">
      <c r="A1793" s="402"/>
      <c r="B1793" s="402"/>
      <c r="C1793" s="402"/>
    </row>
    <row r="1794" spans="1:3" x14ac:dyDescent="0.2">
      <c r="A1794" s="402"/>
      <c r="B1794" s="402"/>
      <c r="C1794" s="402"/>
    </row>
    <row r="1795" spans="1:3" x14ac:dyDescent="0.2">
      <c r="A1795" s="402"/>
      <c r="B1795" s="402"/>
      <c r="C1795" s="402"/>
    </row>
    <row r="1796" spans="1:3" x14ac:dyDescent="0.2">
      <c r="A1796" s="402"/>
      <c r="B1796" s="402"/>
      <c r="C1796" s="402"/>
    </row>
    <row r="1797" spans="1:3" x14ac:dyDescent="0.2">
      <c r="A1797" s="402"/>
      <c r="B1797" s="402"/>
      <c r="C1797" s="402"/>
    </row>
    <row r="1798" spans="1:3" x14ac:dyDescent="0.2">
      <c r="A1798" s="402"/>
      <c r="B1798" s="402"/>
      <c r="C1798" s="402"/>
    </row>
    <row r="1799" spans="1:3" x14ac:dyDescent="0.2">
      <c r="A1799" s="402"/>
      <c r="B1799" s="402"/>
      <c r="C1799" s="402"/>
    </row>
    <row r="1800" spans="1:3" x14ac:dyDescent="0.2">
      <c r="A1800" s="402"/>
      <c r="B1800" s="402"/>
      <c r="C1800" s="402"/>
    </row>
    <row r="1801" spans="1:3" x14ac:dyDescent="0.2">
      <c r="A1801" s="402"/>
      <c r="B1801" s="402"/>
      <c r="C1801" s="402"/>
    </row>
    <row r="1802" spans="1:3" x14ac:dyDescent="0.2">
      <c r="A1802" s="402"/>
      <c r="B1802" s="402"/>
      <c r="C1802" s="402"/>
    </row>
    <row r="1803" spans="1:3" x14ac:dyDescent="0.2">
      <c r="A1803" s="402"/>
      <c r="B1803" s="402"/>
      <c r="C1803" s="402"/>
    </row>
    <row r="1804" spans="1:3" x14ac:dyDescent="0.2">
      <c r="A1804" s="402"/>
      <c r="B1804" s="402"/>
      <c r="C1804" s="402"/>
    </row>
    <row r="1805" spans="1:3" x14ac:dyDescent="0.2">
      <c r="A1805" s="402"/>
      <c r="B1805" s="402"/>
      <c r="C1805" s="402"/>
    </row>
    <row r="1806" spans="1:3" x14ac:dyDescent="0.2">
      <c r="A1806" s="402"/>
      <c r="B1806" s="402"/>
      <c r="C1806" s="402"/>
    </row>
    <row r="1807" spans="1:3" x14ac:dyDescent="0.2">
      <c r="A1807" s="402"/>
      <c r="B1807" s="402"/>
      <c r="C1807" s="402"/>
    </row>
    <row r="1808" spans="1:3" x14ac:dyDescent="0.2">
      <c r="A1808" s="402"/>
      <c r="B1808" s="402"/>
      <c r="C1808" s="402"/>
    </row>
    <row r="1809" spans="1:3" x14ac:dyDescent="0.2">
      <c r="A1809" s="402"/>
      <c r="B1809" s="402"/>
      <c r="C1809" s="402"/>
    </row>
    <row r="1810" spans="1:3" x14ac:dyDescent="0.2">
      <c r="A1810" s="402"/>
      <c r="B1810" s="402"/>
      <c r="C1810" s="402"/>
    </row>
    <row r="1811" spans="1:3" x14ac:dyDescent="0.2">
      <c r="A1811" s="402"/>
      <c r="B1811" s="402"/>
      <c r="C1811" s="402"/>
    </row>
    <row r="1812" spans="1:3" x14ac:dyDescent="0.2">
      <c r="A1812" s="402"/>
      <c r="B1812" s="402"/>
      <c r="C1812" s="402"/>
    </row>
    <row r="1813" spans="1:3" x14ac:dyDescent="0.2">
      <c r="A1813" s="402"/>
      <c r="B1813" s="402"/>
      <c r="C1813" s="402"/>
    </row>
    <row r="1814" spans="1:3" x14ac:dyDescent="0.2">
      <c r="A1814" s="402"/>
      <c r="B1814" s="402"/>
      <c r="C1814" s="402"/>
    </row>
    <row r="1815" spans="1:3" x14ac:dyDescent="0.2">
      <c r="A1815" s="402"/>
      <c r="B1815" s="402"/>
      <c r="C1815" s="402"/>
    </row>
    <row r="1816" spans="1:3" x14ac:dyDescent="0.2">
      <c r="A1816" s="402"/>
      <c r="B1816" s="402"/>
      <c r="C1816" s="402"/>
    </row>
    <row r="1817" spans="1:3" x14ac:dyDescent="0.2">
      <c r="A1817" s="402"/>
      <c r="B1817" s="402"/>
      <c r="C1817" s="402"/>
    </row>
    <row r="1818" spans="1:3" x14ac:dyDescent="0.2">
      <c r="A1818" s="402"/>
      <c r="B1818" s="402"/>
      <c r="C1818" s="402"/>
    </row>
    <row r="1819" spans="1:3" x14ac:dyDescent="0.2">
      <c r="A1819" s="402"/>
      <c r="B1819" s="402"/>
      <c r="C1819" s="402"/>
    </row>
    <row r="1820" spans="1:3" x14ac:dyDescent="0.2">
      <c r="A1820" s="402"/>
      <c r="B1820" s="402"/>
      <c r="C1820" s="402"/>
    </row>
    <row r="1821" spans="1:3" x14ac:dyDescent="0.2">
      <c r="A1821" s="402"/>
      <c r="B1821" s="402"/>
      <c r="C1821" s="402"/>
    </row>
    <row r="1822" spans="1:3" x14ac:dyDescent="0.2">
      <c r="A1822" s="402"/>
      <c r="B1822" s="402"/>
      <c r="C1822" s="402"/>
    </row>
    <row r="1823" spans="1:3" x14ac:dyDescent="0.2">
      <c r="A1823" s="402"/>
      <c r="B1823" s="402"/>
      <c r="C1823" s="402"/>
    </row>
    <row r="1824" spans="1:3" x14ac:dyDescent="0.2">
      <c r="A1824" s="402"/>
      <c r="B1824" s="402"/>
      <c r="C1824" s="402"/>
    </row>
    <row r="1825" spans="1:3" x14ac:dyDescent="0.2">
      <c r="A1825" s="402"/>
      <c r="B1825" s="402"/>
      <c r="C1825" s="402"/>
    </row>
    <row r="1826" spans="1:3" x14ac:dyDescent="0.2">
      <c r="A1826" s="402"/>
      <c r="B1826" s="402"/>
      <c r="C1826" s="402"/>
    </row>
    <row r="1827" spans="1:3" x14ac:dyDescent="0.2">
      <c r="A1827" s="402"/>
      <c r="B1827" s="402"/>
      <c r="C1827" s="402"/>
    </row>
    <row r="1828" spans="1:3" x14ac:dyDescent="0.2">
      <c r="A1828" s="402"/>
      <c r="B1828" s="402"/>
      <c r="C1828" s="402"/>
    </row>
    <row r="1829" spans="1:3" x14ac:dyDescent="0.2">
      <c r="A1829" s="402"/>
      <c r="B1829" s="402"/>
      <c r="C1829" s="402"/>
    </row>
    <row r="1830" spans="1:3" x14ac:dyDescent="0.2">
      <c r="A1830" s="402"/>
      <c r="B1830" s="402"/>
      <c r="C1830" s="402"/>
    </row>
    <row r="1831" spans="1:3" x14ac:dyDescent="0.2">
      <c r="A1831" s="402"/>
      <c r="B1831" s="402"/>
      <c r="C1831" s="402"/>
    </row>
    <row r="1832" spans="1:3" x14ac:dyDescent="0.2">
      <c r="A1832" s="402"/>
      <c r="B1832" s="402"/>
      <c r="C1832" s="402"/>
    </row>
    <row r="1833" spans="1:3" x14ac:dyDescent="0.2">
      <c r="A1833" s="402"/>
      <c r="B1833" s="402"/>
      <c r="C1833" s="402"/>
    </row>
    <row r="1834" spans="1:3" x14ac:dyDescent="0.2">
      <c r="A1834" s="402"/>
      <c r="B1834" s="402"/>
      <c r="C1834" s="402"/>
    </row>
    <row r="1835" spans="1:3" x14ac:dyDescent="0.2">
      <c r="A1835" s="402"/>
      <c r="B1835" s="402"/>
      <c r="C1835" s="402"/>
    </row>
    <row r="1836" spans="1:3" x14ac:dyDescent="0.2">
      <c r="A1836" s="402"/>
      <c r="B1836" s="402"/>
      <c r="C1836" s="402"/>
    </row>
    <row r="1837" spans="1:3" x14ac:dyDescent="0.2">
      <c r="A1837" s="402"/>
      <c r="B1837" s="402"/>
      <c r="C1837" s="402"/>
    </row>
    <row r="1838" spans="1:3" x14ac:dyDescent="0.2">
      <c r="A1838" s="402"/>
      <c r="B1838" s="402"/>
      <c r="C1838" s="402"/>
    </row>
    <row r="1839" spans="1:3" x14ac:dyDescent="0.2">
      <c r="A1839" s="402"/>
      <c r="B1839" s="402"/>
      <c r="C1839" s="402"/>
    </row>
    <row r="1840" spans="1:3" x14ac:dyDescent="0.2">
      <c r="A1840" s="402"/>
      <c r="B1840" s="402"/>
      <c r="C1840" s="402"/>
    </row>
    <row r="1841" spans="1:3" x14ac:dyDescent="0.2">
      <c r="A1841" s="402"/>
      <c r="B1841" s="402"/>
      <c r="C1841" s="402"/>
    </row>
    <row r="1842" spans="1:3" x14ac:dyDescent="0.2">
      <c r="A1842" s="402"/>
      <c r="B1842" s="402"/>
      <c r="C1842" s="402"/>
    </row>
    <row r="1843" spans="1:3" x14ac:dyDescent="0.2">
      <c r="A1843" s="402"/>
      <c r="B1843" s="402"/>
      <c r="C1843" s="402"/>
    </row>
    <row r="1844" spans="1:3" x14ac:dyDescent="0.2">
      <c r="A1844" s="402"/>
      <c r="B1844" s="402"/>
      <c r="C1844" s="402"/>
    </row>
    <row r="1845" spans="1:3" x14ac:dyDescent="0.2">
      <c r="A1845" s="402"/>
      <c r="B1845" s="402"/>
      <c r="C1845" s="402"/>
    </row>
    <row r="1846" spans="1:3" x14ac:dyDescent="0.2">
      <c r="A1846" s="402"/>
      <c r="B1846" s="402"/>
      <c r="C1846" s="402"/>
    </row>
    <row r="1847" spans="1:3" x14ac:dyDescent="0.2">
      <c r="A1847" s="402"/>
      <c r="B1847" s="402"/>
      <c r="C1847" s="402"/>
    </row>
    <row r="1848" spans="1:3" x14ac:dyDescent="0.2">
      <c r="A1848" s="402"/>
      <c r="B1848" s="402"/>
      <c r="C1848" s="402"/>
    </row>
    <row r="1849" spans="1:3" x14ac:dyDescent="0.2">
      <c r="A1849" s="402"/>
      <c r="B1849" s="402"/>
      <c r="C1849" s="402"/>
    </row>
    <row r="1850" spans="1:3" x14ac:dyDescent="0.2">
      <c r="A1850" s="402"/>
      <c r="B1850" s="402"/>
      <c r="C1850" s="402"/>
    </row>
    <row r="1851" spans="1:3" x14ac:dyDescent="0.2">
      <c r="A1851" s="402"/>
      <c r="B1851" s="402"/>
      <c r="C1851" s="402"/>
    </row>
    <row r="1852" spans="1:3" x14ac:dyDescent="0.2">
      <c r="A1852" s="402"/>
      <c r="B1852" s="402"/>
      <c r="C1852" s="402"/>
    </row>
    <row r="1853" spans="1:3" x14ac:dyDescent="0.2">
      <c r="A1853" s="402"/>
      <c r="B1853" s="402"/>
      <c r="C1853" s="402"/>
    </row>
    <row r="1854" spans="1:3" x14ac:dyDescent="0.2">
      <c r="A1854" s="402"/>
      <c r="B1854" s="402"/>
      <c r="C1854" s="402"/>
    </row>
    <row r="1855" spans="1:3" x14ac:dyDescent="0.2">
      <c r="A1855" s="402"/>
      <c r="B1855" s="402"/>
      <c r="C1855" s="402"/>
    </row>
    <row r="1856" spans="1:3" x14ac:dyDescent="0.2">
      <c r="A1856" s="402"/>
      <c r="B1856" s="402"/>
      <c r="C1856" s="402"/>
    </row>
    <row r="1857" spans="1:3" x14ac:dyDescent="0.2">
      <c r="A1857" s="402"/>
      <c r="B1857" s="402"/>
      <c r="C1857" s="402"/>
    </row>
    <row r="1858" spans="1:3" x14ac:dyDescent="0.2">
      <c r="A1858" s="402"/>
      <c r="B1858" s="402"/>
      <c r="C1858" s="402"/>
    </row>
    <row r="1859" spans="1:3" x14ac:dyDescent="0.2">
      <c r="A1859" s="402"/>
      <c r="B1859" s="402"/>
      <c r="C1859" s="402"/>
    </row>
    <row r="1860" spans="1:3" x14ac:dyDescent="0.2">
      <c r="A1860" s="402"/>
      <c r="B1860" s="402"/>
      <c r="C1860" s="402"/>
    </row>
    <row r="1861" spans="1:3" x14ac:dyDescent="0.2">
      <c r="A1861" s="402"/>
      <c r="B1861" s="402"/>
      <c r="C1861" s="402"/>
    </row>
    <row r="1862" spans="1:3" x14ac:dyDescent="0.2">
      <c r="A1862" s="402"/>
      <c r="B1862" s="402"/>
      <c r="C1862" s="402"/>
    </row>
    <row r="1863" spans="1:3" x14ac:dyDescent="0.2">
      <c r="A1863" s="402"/>
      <c r="B1863" s="402"/>
      <c r="C1863" s="402"/>
    </row>
    <row r="1864" spans="1:3" x14ac:dyDescent="0.2">
      <c r="A1864" s="402"/>
      <c r="B1864" s="402"/>
      <c r="C1864" s="402"/>
    </row>
    <row r="1865" spans="1:3" x14ac:dyDescent="0.2">
      <c r="A1865" s="402"/>
      <c r="B1865" s="402"/>
      <c r="C1865" s="402"/>
    </row>
    <row r="1866" spans="1:3" x14ac:dyDescent="0.2">
      <c r="A1866" s="402"/>
      <c r="B1866" s="402"/>
      <c r="C1866" s="402"/>
    </row>
    <row r="1867" spans="1:3" x14ac:dyDescent="0.2">
      <c r="A1867" s="402"/>
      <c r="B1867" s="402"/>
      <c r="C1867" s="402"/>
    </row>
    <row r="1868" spans="1:3" x14ac:dyDescent="0.2">
      <c r="A1868" s="402"/>
      <c r="B1868" s="402"/>
      <c r="C1868" s="402"/>
    </row>
    <row r="1869" spans="1:3" x14ac:dyDescent="0.2">
      <c r="A1869" s="402"/>
      <c r="B1869" s="402"/>
      <c r="C1869" s="402"/>
    </row>
    <row r="1870" spans="1:3" x14ac:dyDescent="0.2">
      <c r="A1870" s="402"/>
      <c r="B1870" s="402"/>
      <c r="C1870" s="402"/>
    </row>
    <row r="1871" spans="1:3" x14ac:dyDescent="0.2">
      <c r="A1871" s="402"/>
      <c r="B1871" s="402"/>
      <c r="C1871" s="402"/>
    </row>
    <row r="1872" spans="1:3" x14ac:dyDescent="0.2">
      <c r="A1872" s="402"/>
      <c r="B1872" s="402"/>
      <c r="C1872" s="402"/>
    </row>
    <row r="1873" spans="1:3" x14ac:dyDescent="0.2">
      <c r="A1873" s="402"/>
      <c r="B1873" s="402"/>
      <c r="C1873" s="402"/>
    </row>
    <row r="1874" spans="1:3" x14ac:dyDescent="0.2">
      <c r="A1874" s="402"/>
      <c r="B1874" s="402"/>
      <c r="C1874" s="402"/>
    </row>
    <row r="1875" spans="1:3" x14ac:dyDescent="0.2">
      <c r="A1875" s="402"/>
      <c r="B1875" s="402"/>
      <c r="C1875" s="402"/>
    </row>
    <row r="1876" spans="1:3" x14ac:dyDescent="0.2">
      <c r="A1876" s="402"/>
      <c r="B1876" s="402"/>
      <c r="C1876" s="402"/>
    </row>
    <row r="1877" spans="1:3" x14ac:dyDescent="0.2">
      <c r="A1877" s="402"/>
      <c r="B1877" s="402"/>
      <c r="C1877" s="402"/>
    </row>
    <row r="1878" spans="1:3" x14ac:dyDescent="0.2">
      <c r="A1878" s="402"/>
      <c r="B1878" s="402"/>
      <c r="C1878" s="402"/>
    </row>
    <row r="1879" spans="1:3" x14ac:dyDescent="0.2">
      <c r="A1879" s="402"/>
      <c r="B1879" s="402"/>
      <c r="C1879" s="402"/>
    </row>
    <row r="1880" spans="1:3" x14ac:dyDescent="0.2">
      <c r="A1880" s="402"/>
      <c r="B1880" s="402"/>
      <c r="C1880" s="402"/>
    </row>
    <row r="1881" spans="1:3" x14ac:dyDescent="0.2">
      <c r="A1881" s="402"/>
      <c r="B1881" s="402"/>
      <c r="C1881" s="402"/>
    </row>
    <row r="1882" spans="1:3" x14ac:dyDescent="0.2">
      <c r="A1882" s="402"/>
      <c r="B1882" s="402"/>
      <c r="C1882" s="402"/>
    </row>
    <row r="1883" spans="1:3" x14ac:dyDescent="0.2">
      <c r="A1883" s="402"/>
      <c r="B1883" s="402"/>
      <c r="C1883" s="402"/>
    </row>
    <row r="1884" spans="1:3" x14ac:dyDescent="0.2">
      <c r="A1884" s="402"/>
      <c r="B1884" s="402"/>
      <c r="C1884" s="402"/>
    </row>
    <row r="1885" spans="1:3" x14ac:dyDescent="0.2">
      <c r="A1885" s="402"/>
      <c r="B1885" s="402"/>
      <c r="C1885" s="402"/>
    </row>
    <row r="1886" spans="1:3" x14ac:dyDescent="0.2">
      <c r="A1886" s="402"/>
      <c r="B1886" s="402"/>
      <c r="C1886" s="402"/>
    </row>
    <row r="1887" spans="1:3" x14ac:dyDescent="0.2">
      <c r="A1887" s="402"/>
      <c r="B1887" s="402"/>
      <c r="C1887" s="402"/>
    </row>
    <row r="1888" spans="1:3" x14ac:dyDescent="0.2">
      <c r="A1888" s="402"/>
      <c r="B1888" s="402"/>
      <c r="C1888" s="402"/>
    </row>
    <row r="1889" spans="1:3" x14ac:dyDescent="0.2">
      <c r="A1889" s="402"/>
      <c r="B1889" s="402"/>
      <c r="C1889" s="402"/>
    </row>
    <row r="1890" spans="1:3" x14ac:dyDescent="0.2">
      <c r="A1890" s="402"/>
      <c r="B1890" s="402"/>
      <c r="C1890" s="402"/>
    </row>
    <row r="1891" spans="1:3" x14ac:dyDescent="0.2">
      <c r="A1891" s="402"/>
      <c r="B1891" s="402"/>
      <c r="C1891" s="402"/>
    </row>
    <row r="1892" spans="1:3" x14ac:dyDescent="0.2">
      <c r="A1892" s="402"/>
      <c r="B1892" s="402"/>
      <c r="C1892" s="402"/>
    </row>
    <row r="1893" spans="1:3" x14ac:dyDescent="0.2">
      <c r="A1893" s="402"/>
      <c r="B1893" s="402"/>
      <c r="C1893" s="402"/>
    </row>
    <row r="1894" spans="1:3" x14ac:dyDescent="0.2">
      <c r="A1894" s="402"/>
      <c r="B1894" s="402"/>
      <c r="C1894" s="402"/>
    </row>
    <row r="1895" spans="1:3" x14ac:dyDescent="0.2">
      <c r="A1895" s="402"/>
      <c r="B1895" s="402"/>
      <c r="C1895" s="402"/>
    </row>
    <row r="1896" spans="1:3" x14ac:dyDescent="0.2">
      <c r="A1896" s="402"/>
      <c r="B1896" s="402"/>
      <c r="C1896" s="402"/>
    </row>
    <row r="1897" spans="1:3" x14ac:dyDescent="0.2">
      <c r="A1897" s="402"/>
      <c r="B1897" s="402"/>
      <c r="C1897" s="402"/>
    </row>
    <row r="1898" spans="1:3" x14ac:dyDescent="0.2">
      <c r="A1898" s="402"/>
      <c r="B1898" s="402"/>
      <c r="C1898" s="402"/>
    </row>
    <row r="1899" spans="1:3" x14ac:dyDescent="0.2">
      <c r="A1899" s="402"/>
      <c r="B1899" s="402"/>
      <c r="C1899" s="402"/>
    </row>
    <row r="1900" spans="1:3" x14ac:dyDescent="0.2">
      <c r="A1900" s="402"/>
      <c r="B1900" s="402"/>
      <c r="C1900" s="402"/>
    </row>
    <row r="1901" spans="1:3" x14ac:dyDescent="0.2">
      <c r="A1901" s="402"/>
      <c r="B1901" s="402"/>
      <c r="C1901" s="402"/>
    </row>
    <row r="1902" spans="1:3" x14ac:dyDescent="0.2">
      <c r="A1902" s="402"/>
      <c r="B1902" s="402"/>
      <c r="C1902" s="402"/>
    </row>
    <row r="1903" spans="1:3" x14ac:dyDescent="0.2">
      <c r="A1903" s="402"/>
      <c r="B1903" s="402"/>
      <c r="C1903" s="402"/>
    </row>
    <row r="1904" spans="1:3" x14ac:dyDescent="0.2">
      <c r="A1904" s="402"/>
      <c r="B1904" s="402"/>
      <c r="C1904" s="402"/>
    </row>
    <row r="1905" spans="1:3" x14ac:dyDescent="0.2">
      <c r="A1905" s="402"/>
      <c r="B1905" s="402"/>
      <c r="C1905" s="402"/>
    </row>
    <row r="1906" spans="1:3" x14ac:dyDescent="0.2">
      <c r="A1906" s="402"/>
      <c r="B1906" s="402"/>
      <c r="C1906" s="402"/>
    </row>
    <row r="1907" spans="1:3" x14ac:dyDescent="0.2">
      <c r="A1907" s="402"/>
      <c r="B1907" s="402"/>
      <c r="C1907" s="402"/>
    </row>
    <row r="1908" spans="1:3" x14ac:dyDescent="0.2">
      <c r="A1908" s="402"/>
      <c r="B1908" s="402"/>
      <c r="C1908" s="402"/>
    </row>
    <row r="1909" spans="1:3" x14ac:dyDescent="0.2">
      <c r="A1909" s="402"/>
      <c r="B1909" s="402"/>
      <c r="C1909" s="402"/>
    </row>
    <row r="1910" spans="1:3" x14ac:dyDescent="0.2">
      <c r="A1910" s="402"/>
      <c r="B1910" s="402"/>
      <c r="C1910" s="402"/>
    </row>
    <row r="1911" spans="1:3" x14ac:dyDescent="0.2">
      <c r="A1911" s="402"/>
      <c r="B1911" s="402"/>
      <c r="C1911" s="402"/>
    </row>
    <row r="1912" spans="1:3" x14ac:dyDescent="0.2">
      <c r="A1912" s="402"/>
      <c r="B1912" s="402"/>
      <c r="C1912" s="402"/>
    </row>
    <row r="1913" spans="1:3" x14ac:dyDescent="0.2">
      <c r="A1913" s="402"/>
      <c r="B1913" s="402"/>
      <c r="C1913" s="402"/>
    </row>
    <row r="1914" spans="1:3" x14ac:dyDescent="0.2">
      <c r="A1914" s="402"/>
      <c r="B1914" s="402"/>
      <c r="C1914" s="402"/>
    </row>
    <row r="1915" spans="1:3" x14ac:dyDescent="0.2">
      <c r="A1915" s="402"/>
      <c r="B1915" s="402"/>
      <c r="C1915" s="402"/>
    </row>
    <row r="1916" spans="1:3" x14ac:dyDescent="0.2">
      <c r="A1916" s="402"/>
      <c r="B1916" s="402"/>
      <c r="C1916" s="402"/>
    </row>
    <row r="1917" spans="1:3" x14ac:dyDescent="0.2">
      <c r="A1917" s="402"/>
      <c r="B1917" s="402"/>
      <c r="C1917" s="402"/>
    </row>
    <row r="1918" spans="1:3" x14ac:dyDescent="0.2">
      <c r="A1918" s="402"/>
      <c r="B1918" s="402"/>
      <c r="C1918" s="402"/>
    </row>
    <row r="1919" spans="1:3" x14ac:dyDescent="0.2">
      <c r="A1919" s="402"/>
      <c r="B1919" s="402"/>
      <c r="C1919" s="402"/>
    </row>
    <row r="1920" spans="1:3" x14ac:dyDescent="0.2">
      <c r="A1920" s="402"/>
      <c r="B1920" s="402"/>
      <c r="C1920" s="402"/>
    </row>
    <row r="1921" spans="1:3" x14ac:dyDescent="0.2">
      <c r="A1921" s="402"/>
      <c r="B1921" s="402"/>
      <c r="C1921" s="402"/>
    </row>
    <row r="1922" spans="1:3" x14ac:dyDescent="0.2">
      <c r="A1922" s="402"/>
      <c r="B1922" s="402"/>
      <c r="C1922" s="402"/>
    </row>
    <row r="1923" spans="1:3" x14ac:dyDescent="0.2">
      <c r="A1923" s="402"/>
      <c r="B1923" s="402"/>
      <c r="C1923" s="402"/>
    </row>
    <row r="1924" spans="1:3" x14ac:dyDescent="0.2">
      <c r="A1924" s="402"/>
      <c r="B1924" s="402"/>
      <c r="C1924" s="402"/>
    </row>
    <row r="1925" spans="1:3" x14ac:dyDescent="0.2">
      <c r="A1925" s="402"/>
      <c r="B1925" s="402"/>
      <c r="C1925" s="402"/>
    </row>
    <row r="1926" spans="1:3" x14ac:dyDescent="0.2">
      <c r="A1926" s="402"/>
      <c r="B1926" s="402"/>
      <c r="C1926" s="402"/>
    </row>
    <row r="1927" spans="1:3" x14ac:dyDescent="0.2">
      <c r="A1927" s="402"/>
      <c r="B1927" s="402"/>
      <c r="C1927" s="402"/>
    </row>
    <row r="1928" spans="1:3" x14ac:dyDescent="0.2">
      <c r="A1928" s="402"/>
      <c r="B1928" s="402"/>
      <c r="C1928" s="402"/>
    </row>
    <row r="1929" spans="1:3" x14ac:dyDescent="0.2">
      <c r="A1929" s="402"/>
      <c r="B1929" s="402"/>
      <c r="C1929" s="402"/>
    </row>
    <row r="1930" spans="1:3" x14ac:dyDescent="0.2">
      <c r="A1930" s="402"/>
      <c r="B1930" s="402"/>
      <c r="C1930" s="402"/>
    </row>
    <row r="1931" spans="1:3" x14ac:dyDescent="0.2">
      <c r="A1931" s="402"/>
      <c r="B1931" s="402"/>
      <c r="C1931" s="402"/>
    </row>
    <row r="1932" spans="1:3" x14ac:dyDescent="0.2">
      <c r="A1932" s="402"/>
      <c r="B1932" s="402"/>
      <c r="C1932" s="402"/>
    </row>
    <row r="1933" spans="1:3" x14ac:dyDescent="0.2">
      <c r="A1933" s="402"/>
      <c r="B1933" s="402"/>
      <c r="C1933" s="402"/>
    </row>
    <row r="1934" spans="1:3" x14ac:dyDescent="0.2">
      <c r="A1934" s="402"/>
      <c r="B1934" s="402"/>
      <c r="C1934" s="402"/>
    </row>
    <row r="1935" spans="1:3" x14ac:dyDescent="0.2">
      <c r="A1935" s="402"/>
      <c r="B1935" s="402"/>
      <c r="C1935" s="402"/>
    </row>
    <row r="1936" spans="1:3" x14ac:dyDescent="0.2">
      <c r="A1936" s="402"/>
      <c r="B1936" s="402"/>
      <c r="C1936" s="402"/>
    </row>
    <row r="1937" spans="1:3" x14ac:dyDescent="0.2">
      <c r="A1937" s="402"/>
      <c r="B1937" s="402"/>
      <c r="C1937" s="402"/>
    </row>
    <row r="1938" spans="1:3" x14ac:dyDescent="0.2">
      <c r="A1938" s="402"/>
      <c r="B1938" s="402"/>
      <c r="C1938" s="402"/>
    </row>
    <row r="1939" spans="1:3" x14ac:dyDescent="0.2">
      <c r="A1939" s="402"/>
      <c r="B1939" s="402"/>
      <c r="C1939" s="402"/>
    </row>
    <row r="1940" spans="1:3" x14ac:dyDescent="0.2">
      <c r="A1940" s="402"/>
      <c r="B1940" s="402"/>
      <c r="C1940" s="402"/>
    </row>
    <row r="1941" spans="1:3" x14ac:dyDescent="0.2">
      <c r="A1941" s="402"/>
      <c r="B1941" s="402"/>
      <c r="C1941" s="402"/>
    </row>
    <row r="1942" spans="1:3" x14ac:dyDescent="0.2">
      <c r="A1942" s="402"/>
      <c r="B1942" s="402"/>
      <c r="C1942" s="402"/>
    </row>
    <row r="1943" spans="1:3" x14ac:dyDescent="0.2">
      <c r="A1943" s="402"/>
      <c r="B1943" s="402"/>
      <c r="C1943" s="402"/>
    </row>
    <row r="1944" spans="1:3" x14ac:dyDescent="0.2">
      <c r="A1944" s="402"/>
      <c r="B1944" s="402"/>
      <c r="C1944" s="402"/>
    </row>
    <row r="1945" spans="1:3" x14ac:dyDescent="0.2">
      <c r="A1945" s="402"/>
      <c r="B1945" s="402"/>
      <c r="C1945" s="402"/>
    </row>
    <row r="1946" spans="1:3" x14ac:dyDescent="0.2">
      <c r="A1946" s="402"/>
      <c r="B1946" s="402"/>
      <c r="C1946" s="402"/>
    </row>
    <row r="1947" spans="1:3" x14ac:dyDescent="0.2">
      <c r="A1947" s="402"/>
      <c r="B1947" s="402"/>
      <c r="C1947" s="402"/>
    </row>
    <row r="1948" spans="1:3" x14ac:dyDescent="0.2">
      <c r="A1948" s="402"/>
      <c r="B1948" s="402"/>
      <c r="C1948" s="402"/>
    </row>
    <row r="1949" spans="1:3" x14ac:dyDescent="0.2">
      <c r="A1949" s="402"/>
      <c r="B1949" s="402"/>
      <c r="C1949" s="402"/>
    </row>
    <row r="1950" spans="1:3" x14ac:dyDescent="0.2">
      <c r="A1950" s="402"/>
      <c r="B1950" s="402"/>
      <c r="C1950" s="402"/>
    </row>
    <row r="1951" spans="1:3" x14ac:dyDescent="0.2">
      <c r="A1951" s="402"/>
      <c r="B1951" s="402"/>
      <c r="C1951" s="402"/>
    </row>
    <row r="1952" spans="1:3" x14ac:dyDescent="0.2">
      <c r="A1952" s="402"/>
      <c r="B1952" s="402"/>
      <c r="C1952" s="402"/>
    </row>
    <row r="1953" spans="1:3" x14ac:dyDescent="0.2">
      <c r="A1953" s="402"/>
      <c r="B1953" s="402"/>
      <c r="C1953" s="402"/>
    </row>
    <row r="1954" spans="1:3" x14ac:dyDescent="0.2">
      <c r="A1954" s="402"/>
      <c r="B1954" s="402"/>
      <c r="C1954" s="402"/>
    </row>
    <row r="1955" spans="1:3" x14ac:dyDescent="0.2">
      <c r="A1955" s="402"/>
      <c r="B1955" s="402"/>
      <c r="C1955" s="402"/>
    </row>
    <row r="1956" spans="1:3" x14ac:dyDescent="0.2">
      <c r="A1956" s="402"/>
      <c r="B1956" s="402"/>
      <c r="C1956" s="402"/>
    </row>
    <row r="1957" spans="1:3" x14ac:dyDescent="0.2">
      <c r="A1957" s="402"/>
      <c r="B1957" s="402"/>
      <c r="C1957" s="402"/>
    </row>
    <row r="1958" spans="1:3" x14ac:dyDescent="0.2">
      <c r="A1958" s="402"/>
      <c r="B1958" s="402"/>
      <c r="C1958" s="402"/>
    </row>
    <row r="1959" spans="1:3" x14ac:dyDescent="0.2">
      <c r="A1959" s="402"/>
      <c r="B1959" s="402"/>
      <c r="C1959" s="402"/>
    </row>
    <row r="1960" spans="1:3" x14ac:dyDescent="0.2">
      <c r="A1960" s="402"/>
      <c r="B1960" s="402"/>
      <c r="C1960" s="402"/>
    </row>
    <row r="1961" spans="1:3" x14ac:dyDescent="0.2">
      <c r="A1961" s="402"/>
      <c r="B1961" s="402"/>
      <c r="C1961" s="402"/>
    </row>
    <row r="1962" spans="1:3" x14ac:dyDescent="0.2">
      <c r="A1962" s="402"/>
      <c r="B1962" s="402"/>
      <c r="C1962" s="402"/>
    </row>
    <row r="1963" spans="1:3" x14ac:dyDescent="0.2">
      <c r="A1963" s="402"/>
      <c r="B1963" s="402"/>
      <c r="C1963" s="402"/>
    </row>
    <row r="1964" spans="1:3" x14ac:dyDescent="0.2">
      <c r="A1964" s="402"/>
      <c r="B1964" s="402"/>
      <c r="C1964" s="402"/>
    </row>
    <row r="1965" spans="1:3" x14ac:dyDescent="0.2">
      <c r="A1965" s="402"/>
      <c r="B1965" s="402"/>
      <c r="C1965" s="402"/>
    </row>
    <row r="1966" spans="1:3" x14ac:dyDescent="0.2">
      <c r="A1966" s="402"/>
      <c r="B1966" s="402"/>
      <c r="C1966" s="402"/>
    </row>
    <row r="1967" spans="1:3" x14ac:dyDescent="0.2">
      <c r="A1967" s="402"/>
      <c r="B1967" s="402"/>
      <c r="C1967" s="402"/>
    </row>
    <row r="1968" spans="1:3" x14ac:dyDescent="0.2">
      <c r="A1968" s="402"/>
      <c r="B1968" s="402"/>
      <c r="C1968" s="402"/>
    </row>
    <row r="1969" spans="1:3" x14ac:dyDescent="0.2">
      <c r="A1969" s="402"/>
      <c r="B1969" s="402"/>
      <c r="C1969" s="402"/>
    </row>
    <row r="1970" spans="1:3" x14ac:dyDescent="0.2">
      <c r="A1970" s="402"/>
      <c r="B1970" s="402"/>
      <c r="C1970" s="402"/>
    </row>
    <row r="1971" spans="1:3" x14ac:dyDescent="0.2">
      <c r="A1971" s="402"/>
      <c r="B1971" s="402"/>
      <c r="C1971" s="402"/>
    </row>
    <row r="1972" spans="1:3" x14ac:dyDescent="0.2">
      <c r="A1972" s="402"/>
      <c r="B1972" s="402"/>
      <c r="C1972" s="402"/>
    </row>
    <row r="1973" spans="1:3" x14ac:dyDescent="0.2">
      <c r="A1973" s="402"/>
      <c r="B1973" s="402"/>
      <c r="C1973" s="402"/>
    </row>
    <row r="1974" spans="1:3" x14ac:dyDescent="0.2">
      <c r="A1974" s="402"/>
      <c r="B1974" s="402"/>
      <c r="C1974" s="402"/>
    </row>
    <row r="1975" spans="1:3" x14ac:dyDescent="0.2">
      <c r="A1975" s="402"/>
      <c r="B1975" s="402"/>
      <c r="C1975" s="402"/>
    </row>
    <row r="1976" spans="1:3" x14ac:dyDescent="0.2">
      <c r="A1976" s="402"/>
      <c r="B1976" s="402"/>
      <c r="C1976" s="402"/>
    </row>
    <row r="1977" spans="1:3" x14ac:dyDescent="0.2">
      <c r="A1977" s="402"/>
      <c r="B1977" s="402"/>
      <c r="C1977" s="402"/>
    </row>
    <row r="1978" spans="1:3" x14ac:dyDescent="0.2">
      <c r="A1978" s="402"/>
      <c r="B1978" s="402"/>
      <c r="C1978" s="402"/>
    </row>
    <row r="1979" spans="1:3" x14ac:dyDescent="0.2">
      <c r="A1979" s="402"/>
      <c r="B1979" s="402"/>
      <c r="C1979" s="402"/>
    </row>
    <row r="1980" spans="1:3" x14ac:dyDescent="0.2">
      <c r="A1980" s="402"/>
      <c r="B1980" s="402"/>
      <c r="C1980" s="402"/>
    </row>
    <row r="1981" spans="1:3" x14ac:dyDescent="0.2">
      <c r="A1981" s="402"/>
      <c r="B1981" s="402"/>
      <c r="C1981" s="402"/>
    </row>
    <row r="1982" spans="1:3" x14ac:dyDescent="0.2">
      <c r="A1982" s="402"/>
      <c r="B1982" s="402"/>
      <c r="C1982" s="402"/>
    </row>
    <row r="1983" spans="1:3" x14ac:dyDescent="0.2">
      <c r="A1983" s="402"/>
      <c r="B1983" s="402"/>
      <c r="C1983" s="402"/>
    </row>
    <row r="1984" spans="1:3" x14ac:dyDescent="0.2">
      <c r="A1984" s="402"/>
      <c r="B1984" s="402"/>
      <c r="C1984" s="402"/>
    </row>
    <row r="1985" spans="1:3" x14ac:dyDescent="0.2">
      <c r="A1985" s="402"/>
      <c r="B1985" s="402"/>
      <c r="C1985" s="402"/>
    </row>
    <row r="1986" spans="1:3" x14ac:dyDescent="0.2">
      <c r="A1986" s="402"/>
      <c r="B1986" s="402"/>
      <c r="C1986" s="402"/>
    </row>
    <row r="1987" spans="1:3" x14ac:dyDescent="0.2">
      <c r="A1987" s="402"/>
      <c r="B1987" s="402"/>
      <c r="C1987" s="402"/>
    </row>
    <row r="1988" spans="1:3" x14ac:dyDescent="0.2">
      <c r="A1988" s="402"/>
      <c r="B1988" s="402"/>
      <c r="C1988" s="402"/>
    </row>
    <row r="1989" spans="1:3" x14ac:dyDescent="0.2">
      <c r="A1989" s="402"/>
      <c r="B1989" s="402"/>
      <c r="C1989" s="402"/>
    </row>
    <row r="1990" spans="1:3" x14ac:dyDescent="0.2">
      <c r="A1990" s="402"/>
      <c r="B1990" s="402"/>
      <c r="C1990" s="402"/>
    </row>
    <row r="1991" spans="1:3" x14ac:dyDescent="0.2">
      <c r="A1991" s="402"/>
      <c r="B1991" s="402"/>
      <c r="C1991" s="402"/>
    </row>
    <row r="1992" spans="1:3" x14ac:dyDescent="0.2">
      <c r="A1992" s="402"/>
      <c r="B1992" s="402"/>
      <c r="C1992" s="402"/>
    </row>
    <row r="1993" spans="1:3" x14ac:dyDescent="0.2">
      <c r="A1993" s="402"/>
      <c r="B1993" s="402"/>
      <c r="C1993" s="402"/>
    </row>
    <row r="1994" spans="1:3" x14ac:dyDescent="0.2">
      <c r="A1994" s="402"/>
      <c r="B1994" s="402"/>
      <c r="C1994" s="402"/>
    </row>
    <row r="1995" spans="1:3" x14ac:dyDescent="0.2">
      <c r="A1995" s="402"/>
      <c r="B1995" s="402"/>
      <c r="C1995" s="402"/>
    </row>
    <row r="1996" spans="1:3" x14ac:dyDescent="0.2">
      <c r="A1996" s="402"/>
      <c r="B1996" s="402"/>
      <c r="C1996" s="402"/>
    </row>
    <row r="1997" spans="1:3" x14ac:dyDescent="0.2">
      <c r="A1997" s="402"/>
      <c r="B1997" s="402"/>
      <c r="C1997" s="402"/>
    </row>
    <row r="1998" spans="1:3" x14ac:dyDescent="0.2">
      <c r="A1998" s="402"/>
      <c r="B1998" s="402"/>
      <c r="C1998" s="402"/>
    </row>
    <row r="1999" spans="1:3" x14ac:dyDescent="0.2">
      <c r="A1999" s="402"/>
      <c r="B1999" s="402"/>
      <c r="C1999" s="402"/>
    </row>
    <row r="2000" spans="1:3" x14ac:dyDescent="0.2">
      <c r="A2000" s="402"/>
      <c r="B2000" s="402"/>
      <c r="C2000" s="402"/>
    </row>
    <row r="2001" spans="1:3" x14ac:dyDescent="0.2">
      <c r="A2001" s="402"/>
      <c r="B2001" s="402"/>
      <c r="C2001" s="402"/>
    </row>
    <row r="2002" spans="1:3" x14ac:dyDescent="0.2">
      <c r="A2002" s="402"/>
      <c r="B2002" s="402"/>
      <c r="C2002" s="402"/>
    </row>
    <row r="2003" spans="1:3" x14ac:dyDescent="0.2">
      <c r="A2003" s="402"/>
      <c r="B2003" s="402"/>
      <c r="C2003" s="402"/>
    </row>
    <row r="2004" spans="1:3" x14ac:dyDescent="0.2">
      <c r="A2004" s="402"/>
      <c r="B2004" s="402"/>
      <c r="C2004" s="402"/>
    </row>
    <row r="2005" spans="1:3" x14ac:dyDescent="0.2">
      <c r="A2005" s="402"/>
      <c r="B2005" s="402"/>
      <c r="C2005" s="402"/>
    </row>
    <row r="2006" spans="1:3" x14ac:dyDescent="0.2">
      <c r="A2006" s="402"/>
      <c r="B2006" s="402"/>
      <c r="C2006" s="402"/>
    </row>
    <row r="2007" spans="1:3" x14ac:dyDescent="0.2">
      <c r="A2007" s="402"/>
      <c r="B2007" s="402"/>
      <c r="C2007" s="402"/>
    </row>
    <row r="2008" spans="1:3" x14ac:dyDescent="0.2">
      <c r="A2008" s="402"/>
      <c r="B2008" s="402"/>
      <c r="C2008" s="402"/>
    </row>
    <row r="2009" spans="1:3" x14ac:dyDescent="0.2">
      <c r="A2009" s="402"/>
      <c r="B2009" s="402"/>
      <c r="C2009" s="402"/>
    </row>
    <row r="2010" spans="1:3" x14ac:dyDescent="0.2">
      <c r="A2010" s="402"/>
      <c r="B2010" s="402"/>
      <c r="C2010" s="402"/>
    </row>
    <row r="2011" spans="1:3" x14ac:dyDescent="0.2">
      <c r="A2011" s="402"/>
      <c r="B2011" s="402"/>
      <c r="C2011" s="402"/>
    </row>
    <row r="2012" spans="1:3" x14ac:dyDescent="0.2">
      <c r="A2012" s="402"/>
      <c r="B2012" s="402"/>
      <c r="C2012" s="402"/>
    </row>
    <row r="2013" spans="1:3" x14ac:dyDescent="0.2">
      <c r="A2013" s="402"/>
      <c r="B2013" s="402"/>
      <c r="C2013" s="402"/>
    </row>
    <row r="2014" spans="1:3" x14ac:dyDescent="0.2">
      <c r="A2014" s="402"/>
      <c r="B2014" s="402"/>
      <c r="C2014" s="402"/>
    </row>
    <row r="2015" spans="1:3" x14ac:dyDescent="0.2">
      <c r="A2015" s="402"/>
      <c r="B2015" s="402"/>
      <c r="C2015" s="402"/>
    </row>
    <row r="2016" spans="1:3" x14ac:dyDescent="0.2">
      <c r="A2016" s="402"/>
      <c r="B2016" s="402"/>
      <c r="C2016" s="402"/>
    </row>
    <row r="2017" spans="1:3" x14ac:dyDescent="0.2">
      <c r="A2017" s="402"/>
      <c r="B2017" s="402"/>
      <c r="C2017" s="402"/>
    </row>
    <row r="2018" spans="1:3" x14ac:dyDescent="0.2">
      <c r="A2018" s="402"/>
      <c r="B2018" s="402"/>
      <c r="C2018" s="402"/>
    </row>
    <row r="2019" spans="1:3" x14ac:dyDescent="0.2">
      <c r="A2019" s="402"/>
      <c r="B2019" s="402"/>
      <c r="C2019" s="402"/>
    </row>
    <row r="2020" spans="1:3" x14ac:dyDescent="0.2">
      <c r="A2020" s="402"/>
      <c r="B2020" s="402"/>
      <c r="C2020" s="402"/>
    </row>
    <row r="2021" spans="1:3" x14ac:dyDescent="0.2">
      <c r="A2021" s="402"/>
      <c r="B2021" s="402"/>
      <c r="C2021" s="402"/>
    </row>
    <row r="2022" spans="1:3" x14ac:dyDescent="0.2">
      <c r="A2022" s="402"/>
      <c r="B2022" s="402"/>
      <c r="C2022" s="402"/>
    </row>
    <row r="2023" spans="1:3" x14ac:dyDescent="0.2">
      <c r="A2023" s="402"/>
      <c r="B2023" s="402"/>
      <c r="C2023" s="402"/>
    </row>
    <row r="2024" spans="1:3" x14ac:dyDescent="0.2">
      <c r="A2024" s="402"/>
      <c r="B2024" s="402"/>
      <c r="C2024" s="402"/>
    </row>
    <row r="2025" spans="1:3" x14ac:dyDescent="0.2">
      <c r="A2025" s="402"/>
      <c r="B2025" s="402"/>
      <c r="C2025" s="402"/>
    </row>
    <row r="2026" spans="1:3" x14ac:dyDescent="0.2">
      <c r="A2026" s="402"/>
      <c r="B2026" s="402"/>
      <c r="C2026" s="402"/>
    </row>
    <row r="2027" spans="1:3" x14ac:dyDescent="0.2">
      <c r="A2027" s="402"/>
      <c r="B2027" s="402"/>
      <c r="C2027" s="402"/>
    </row>
    <row r="2028" spans="1:3" x14ac:dyDescent="0.2">
      <c r="A2028" s="402"/>
      <c r="B2028" s="402"/>
      <c r="C2028" s="402"/>
    </row>
    <row r="2029" spans="1:3" x14ac:dyDescent="0.2">
      <c r="A2029" s="402"/>
      <c r="B2029" s="402"/>
      <c r="C2029" s="402"/>
    </row>
    <row r="2030" spans="1:3" x14ac:dyDescent="0.2">
      <c r="A2030" s="402"/>
      <c r="B2030" s="402"/>
      <c r="C2030" s="402"/>
    </row>
    <row r="2031" spans="1:3" x14ac:dyDescent="0.2">
      <c r="A2031" s="402"/>
      <c r="B2031" s="402"/>
      <c r="C2031" s="402"/>
    </row>
    <row r="2032" spans="1:3" x14ac:dyDescent="0.2">
      <c r="A2032" s="402"/>
      <c r="B2032" s="402"/>
      <c r="C2032" s="402"/>
    </row>
    <row r="2033" spans="1:3" x14ac:dyDescent="0.2">
      <c r="A2033" s="402"/>
      <c r="B2033" s="402"/>
      <c r="C2033" s="402"/>
    </row>
    <row r="2034" spans="1:3" x14ac:dyDescent="0.2">
      <c r="A2034" s="402"/>
      <c r="B2034" s="402"/>
      <c r="C2034" s="402"/>
    </row>
    <row r="2035" spans="1:3" x14ac:dyDescent="0.2">
      <c r="A2035" s="402"/>
      <c r="B2035" s="402"/>
      <c r="C2035" s="402"/>
    </row>
    <row r="2036" spans="1:3" x14ac:dyDescent="0.2">
      <c r="A2036" s="402"/>
      <c r="B2036" s="402"/>
      <c r="C2036" s="402"/>
    </row>
    <row r="2037" spans="1:3" x14ac:dyDescent="0.2">
      <c r="A2037" s="402"/>
      <c r="B2037" s="402"/>
      <c r="C2037" s="402"/>
    </row>
    <row r="2038" spans="1:3" x14ac:dyDescent="0.2">
      <c r="A2038" s="402"/>
      <c r="B2038" s="402"/>
      <c r="C2038" s="402"/>
    </row>
    <row r="2039" spans="1:3" x14ac:dyDescent="0.2">
      <c r="A2039" s="402"/>
      <c r="B2039" s="402"/>
      <c r="C2039" s="402"/>
    </row>
    <row r="2040" spans="1:3" x14ac:dyDescent="0.2">
      <c r="A2040" s="402"/>
      <c r="B2040" s="402"/>
      <c r="C2040" s="402"/>
    </row>
    <row r="2041" spans="1:3" x14ac:dyDescent="0.2">
      <c r="A2041" s="402"/>
      <c r="B2041" s="402"/>
      <c r="C2041" s="402"/>
    </row>
    <row r="2042" spans="1:3" x14ac:dyDescent="0.2">
      <c r="A2042" s="402"/>
      <c r="B2042" s="402"/>
      <c r="C2042" s="402"/>
    </row>
    <row r="2043" spans="1:3" x14ac:dyDescent="0.2">
      <c r="A2043" s="402"/>
      <c r="B2043" s="402"/>
      <c r="C2043" s="402"/>
    </row>
    <row r="2044" spans="1:3" x14ac:dyDescent="0.2">
      <c r="A2044" s="402"/>
      <c r="B2044" s="402"/>
      <c r="C2044" s="402"/>
    </row>
    <row r="2045" spans="1:3" x14ac:dyDescent="0.2">
      <c r="A2045" s="402"/>
      <c r="B2045" s="402"/>
      <c r="C2045" s="402"/>
    </row>
    <row r="2046" spans="1:3" x14ac:dyDescent="0.2">
      <c r="A2046" s="402"/>
      <c r="B2046" s="402"/>
      <c r="C2046" s="402"/>
    </row>
    <row r="2047" spans="1:3" x14ac:dyDescent="0.2">
      <c r="A2047" s="402"/>
      <c r="B2047" s="402"/>
      <c r="C2047" s="402"/>
    </row>
    <row r="2048" spans="1:3" x14ac:dyDescent="0.2">
      <c r="A2048" s="402"/>
      <c r="B2048" s="402"/>
      <c r="C2048" s="402"/>
    </row>
    <row r="2049" spans="1:3" x14ac:dyDescent="0.2">
      <c r="A2049" s="402"/>
      <c r="B2049" s="402"/>
      <c r="C2049" s="402"/>
    </row>
    <row r="2050" spans="1:3" x14ac:dyDescent="0.2">
      <c r="A2050" s="402"/>
      <c r="B2050" s="402"/>
      <c r="C2050" s="402"/>
    </row>
    <row r="2051" spans="1:3" x14ac:dyDescent="0.2">
      <c r="A2051" s="402"/>
      <c r="B2051" s="402"/>
      <c r="C2051" s="402"/>
    </row>
    <row r="2052" spans="1:3" x14ac:dyDescent="0.2">
      <c r="A2052" s="402"/>
      <c r="B2052" s="402"/>
      <c r="C2052" s="402"/>
    </row>
    <row r="2053" spans="1:3" x14ac:dyDescent="0.2">
      <c r="A2053" s="402"/>
      <c r="B2053" s="402"/>
      <c r="C2053" s="402"/>
    </row>
    <row r="2054" spans="1:3" x14ac:dyDescent="0.2">
      <c r="A2054" s="402"/>
      <c r="B2054" s="402"/>
      <c r="C2054" s="402"/>
    </row>
    <row r="2055" spans="1:3" x14ac:dyDescent="0.2">
      <c r="A2055" s="402"/>
      <c r="B2055" s="402"/>
      <c r="C2055" s="402"/>
    </row>
    <row r="2056" spans="1:3" x14ac:dyDescent="0.2">
      <c r="A2056" s="402"/>
      <c r="B2056" s="402"/>
      <c r="C2056" s="402"/>
    </row>
    <row r="2057" spans="1:3" x14ac:dyDescent="0.2">
      <c r="A2057" s="402"/>
      <c r="B2057" s="402"/>
      <c r="C2057" s="402"/>
    </row>
    <row r="2058" spans="1:3" x14ac:dyDescent="0.2">
      <c r="A2058" s="402"/>
      <c r="B2058" s="402"/>
      <c r="C2058" s="402"/>
    </row>
    <row r="2059" spans="1:3" x14ac:dyDescent="0.2">
      <c r="A2059" s="402"/>
      <c r="B2059" s="402"/>
      <c r="C2059" s="402"/>
    </row>
    <row r="2060" spans="1:3" x14ac:dyDescent="0.2">
      <c r="A2060" s="402"/>
      <c r="B2060" s="402"/>
      <c r="C2060" s="402"/>
    </row>
    <row r="2061" spans="1:3" x14ac:dyDescent="0.2">
      <c r="A2061" s="402"/>
      <c r="B2061" s="402"/>
      <c r="C2061" s="402"/>
    </row>
    <row r="2062" spans="1:3" x14ac:dyDescent="0.2">
      <c r="A2062" s="402"/>
      <c r="B2062" s="402"/>
      <c r="C2062" s="402"/>
    </row>
    <row r="2063" spans="1:3" x14ac:dyDescent="0.2">
      <c r="A2063" s="402"/>
      <c r="B2063" s="402"/>
      <c r="C2063" s="402"/>
    </row>
    <row r="2064" spans="1:3" x14ac:dyDescent="0.2">
      <c r="A2064" s="402"/>
      <c r="B2064" s="402"/>
      <c r="C2064" s="402"/>
    </row>
    <row r="2065" spans="1:3" x14ac:dyDescent="0.2">
      <c r="A2065" s="402"/>
      <c r="B2065" s="402"/>
      <c r="C2065" s="402"/>
    </row>
    <row r="2066" spans="1:3" x14ac:dyDescent="0.2">
      <c r="A2066" s="402"/>
      <c r="B2066" s="402"/>
      <c r="C2066" s="402"/>
    </row>
    <row r="2067" spans="1:3" x14ac:dyDescent="0.2">
      <c r="A2067" s="402"/>
      <c r="B2067" s="402"/>
      <c r="C2067" s="402"/>
    </row>
    <row r="2068" spans="1:3" x14ac:dyDescent="0.2">
      <c r="A2068" s="402"/>
      <c r="B2068" s="402"/>
      <c r="C2068" s="402"/>
    </row>
    <row r="2069" spans="1:3" x14ac:dyDescent="0.2">
      <c r="A2069" s="402"/>
      <c r="B2069" s="402"/>
      <c r="C2069" s="402"/>
    </row>
    <row r="2070" spans="1:3" x14ac:dyDescent="0.2">
      <c r="A2070" s="402"/>
      <c r="B2070" s="402"/>
      <c r="C2070" s="402"/>
    </row>
    <row r="2071" spans="1:3" x14ac:dyDescent="0.2">
      <c r="A2071" s="402"/>
      <c r="B2071" s="402"/>
      <c r="C2071" s="402"/>
    </row>
    <row r="2072" spans="1:3" x14ac:dyDescent="0.2">
      <c r="A2072" s="402"/>
      <c r="B2072" s="402"/>
      <c r="C2072" s="402"/>
    </row>
    <row r="2073" spans="1:3" x14ac:dyDescent="0.2">
      <c r="A2073" s="402"/>
      <c r="B2073" s="402"/>
      <c r="C2073" s="402"/>
    </row>
    <row r="2074" spans="1:3" x14ac:dyDescent="0.2">
      <c r="A2074" s="402"/>
      <c r="B2074" s="402"/>
      <c r="C2074" s="402"/>
    </row>
    <row r="2075" spans="1:3" x14ac:dyDescent="0.2">
      <c r="A2075" s="402"/>
      <c r="B2075" s="402"/>
      <c r="C2075" s="402"/>
    </row>
    <row r="2076" spans="1:3" x14ac:dyDescent="0.2">
      <c r="A2076" s="402"/>
      <c r="B2076" s="402"/>
      <c r="C2076" s="402"/>
    </row>
    <row r="2077" spans="1:3" x14ac:dyDescent="0.2">
      <c r="A2077" s="402"/>
      <c r="B2077" s="402"/>
      <c r="C2077" s="402"/>
    </row>
    <row r="2078" spans="1:3" x14ac:dyDescent="0.2">
      <c r="A2078" s="402"/>
      <c r="B2078" s="402"/>
      <c r="C2078" s="402"/>
    </row>
    <row r="2079" spans="1:3" x14ac:dyDescent="0.2">
      <c r="A2079" s="402"/>
      <c r="B2079" s="402"/>
      <c r="C2079" s="402"/>
    </row>
    <row r="2080" spans="1:3" x14ac:dyDescent="0.2">
      <c r="A2080" s="402"/>
      <c r="B2080" s="402"/>
      <c r="C2080" s="402"/>
    </row>
    <row r="2081" spans="1:3" x14ac:dyDescent="0.2">
      <c r="A2081" s="402"/>
      <c r="B2081" s="402"/>
      <c r="C2081" s="402"/>
    </row>
    <row r="2082" spans="1:3" x14ac:dyDescent="0.2">
      <c r="A2082" s="402"/>
      <c r="B2082" s="402"/>
      <c r="C2082" s="402"/>
    </row>
    <row r="2083" spans="1:3" x14ac:dyDescent="0.2">
      <c r="A2083" s="402"/>
      <c r="B2083" s="402"/>
      <c r="C2083" s="402"/>
    </row>
    <row r="2084" spans="1:3" x14ac:dyDescent="0.2">
      <c r="A2084" s="402"/>
      <c r="B2084" s="402"/>
      <c r="C2084" s="402"/>
    </row>
    <row r="2085" spans="1:3" x14ac:dyDescent="0.2">
      <c r="A2085" s="402"/>
      <c r="B2085" s="402"/>
      <c r="C2085" s="402"/>
    </row>
    <row r="2086" spans="1:3" x14ac:dyDescent="0.2">
      <c r="A2086" s="402"/>
      <c r="B2086" s="402"/>
      <c r="C2086" s="402"/>
    </row>
    <row r="2087" spans="1:3" x14ac:dyDescent="0.2">
      <c r="A2087" s="402"/>
      <c r="B2087" s="402"/>
      <c r="C2087" s="402"/>
    </row>
    <row r="2088" spans="1:3" x14ac:dyDescent="0.2">
      <c r="A2088" s="402"/>
      <c r="B2088" s="402"/>
      <c r="C2088" s="402"/>
    </row>
    <row r="2089" spans="1:3" x14ac:dyDescent="0.2">
      <c r="A2089" s="402"/>
      <c r="B2089" s="402"/>
      <c r="C2089" s="402"/>
    </row>
    <row r="2090" spans="1:3" x14ac:dyDescent="0.2">
      <c r="A2090" s="402"/>
      <c r="B2090" s="402"/>
      <c r="C2090" s="402"/>
    </row>
    <row r="2091" spans="1:3" x14ac:dyDescent="0.2">
      <c r="A2091" s="402"/>
      <c r="B2091" s="402"/>
      <c r="C2091" s="402"/>
    </row>
    <row r="2092" spans="1:3" x14ac:dyDescent="0.2">
      <c r="A2092" s="402"/>
      <c r="B2092" s="402"/>
      <c r="C2092" s="402"/>
    </row>
    <row r="2093" spans="1:3" x14ac:dyDescent="0.2">
      <c r="A2093" s="402"/>
      <c r="B2093" s="402"/>
      <c r="C2093" s="402"/>
    </row>
    <row r="2094" spans="1:3" x14ac:dyDescent="0.2">
      <c r="A2094" s="402"/>
      <c r="B2094" s="402"/>
      <c r="C2094" s="402"/>
    </row>
    <row r="2095" spans="1:3" x14ac:dyDescent="0.2">
      <c r="A2095" s="402"/>
      <c r="B2095" s="402"/>
      <c r="C2095" s="402"/>
    </row>
    <row r="2096" spans="1:3" x14ac:dyDescent="0.2">
      <c r="A2096" s="402"/>
      <c r="B2096" s="402"/>
      <c r="C2096" s="402"/>
    </row>
    <row r="2097" spans="1:3" x14ac:dyDescent="0.2">
      <c r="A2097" s="402"/>
      <c r="B2097" s="402"/>
      <c r="C2097" s="402"/>
    </row>
    <row r="2098" spans="1:3" x14ac:dyDescent="0.2">
      <c r="A2098" s="402"/>
      <c r="B2098" s="402"/>
      <c r="C2098" s="402"/>
    </row>
    <row r="2099" spans="1:3" x14ac:dyDescent="0.2">
      <c r="A2099" s="402"/>
      <c r="B2099" s="402"/>
      <c r="C2099" s="402"/>
    </row>
    <row r="2100" spans="1:3" x14ac:dyDescent="0.2">
      <c r="A2100" s="402"/>
      <c r="B2100" s="402"/>
      <c r="C2100" s="402"/>
    </row>
    <row r="2101" spans="1:3" x14ac:dyDescent="0.2">
      <c r="A2101" s="402"/>
      <c r="B2101" s="402"/>
      <c r="C2101" s="402"/>
    </row>
    <row r="2102" spans="1:3" x14ac:dyDescent="0.2">
      <c r="A2102" s="402"/>
      <c r="B2102" s="402"/>
      <c r="C2102" s="402"/>
    </row>
    <row r="2103" spans="1:3" x14ac:dyDescent="0.2">
      <c r="A2103" s="402"/>
      <c r="B2103" s="402"/>
      <c r="C2103" s="402"/>
    </row>
    <row r="2104" spans="1:3" x14ac:dyDescent="0.2">
      <c r="A2104" s="402"/>
      <c r="B2104" s="402"/>
      <c r="C2104" s="402"/>
    </row>
    <row r="2105" spans="1:3" x14ac:dyDescent="0.2">
      <c r="A2105" s="402"/>
      <c r="B2105" s="402"/>
      <c r="C2105" s="402"/>
    </row>
    <row r="2106" spans="1:3" x14ac:dyDescent="0.2">
      <c r="A2106" s="402"/>
      <c r="B2106" s="402"/>
      <c r="C2106" s="402"/>
    </row>
    <row r="2107" spans="1:3" x14ac:dyDescent="0.2">
      <c r="A2107" s="402"/>
      <c r="B2107" s="402"/>
      <c r="C2107" s="402"/>
    </row>
    <row r="2108" spans="1:3" x14ac:dyDescent="0.2">
      <c r="A2108" s="402"/>
      <c r="B2108" s="402"/>
      <c r="C2108" s="402"/>
    </row>
    <row r="2109" spans="1:3" x14ac:dyDescent="0.2">
      <c r="A2109" s="402"/>
      <c r="B2109" s="402"/>
      <c r="C2109" s="402"/>
    </row>
    <row r="2110" spans="1:3" x14ac:dyDescent="0.2">
      <c r="A2110" s="402"/>
      <c r="B2110" s="402"/>
      <c r="C2110" s="402"/>
    </row>
    <row r="2111" spans="1:3" x14ac:dyDescent="0.2">
      <c r="A2111" s="402"/>
      <c r="B2111" s="402"/>
      <c r="C2111" s="402"/>
    </row>
    <row r="2112" spans="1:3" x14ac:dyDescent="0.2">
      <c r="A2112" s="402"/>
      <c r="B2112" s="402"/>
      <c r="C2112" s="402"/>
    </row>
    <row r="2113" spans="1:3" x14ac:dyDescent="0.2">
      <c r="A2113" s="402"/>
      <c r="B2113" s="402"/>
      <c r="C2113" s="402"/>
    </row>
    <row r="2114" spans="1:3" x14ac:dyDescent="0.2">
      <c r="A2114" s="402"/>
      <c r="B2114" s="402"/>
      <c r="C2114" s="402"/>
    </row>
    <row r="2115" spans="1:3" x14ac:dyDescent="0.2">
      <c r="A2115" s="402"/>
      <c r="B2115" s="402"/>
      <c r="C2115" s="402"/>
    </row>
    <row r="2116" spans="1:3" x14ac:dyDescent="0.2">
      <c r="A2116" s="402"/>
      <c r="B2116" s="402"/>
      <c r="C2116" s="402"/>
    </row>
    <row r="2117" spans="1:3" x14ac:dyDescent="0.2">
      <c r="A2117" s="402"/>
      <c r="B2117" s="402"/>
      <c r="C2117" s="402"/>
    </row>
    <row r="2118" spans="1:3" x14ac:dyDescent="0.2">
      <c r="A2118" s="402"/>
      <c r="B2118" s="402"/>
      <c r="C2118" s="402"/>
    </row>
    <row r="2119" spans="1:3" x14ac:dyDescent="0.2">
      <c r="A2119" s="402"/>
      <c r="B2119" s="402"/>
      <c r="C2119" s="402"/>
    </row>
    <row r="2120" spans="1:3" x14ac:dyDescent="0.2">
      <c r="A2120" s="402"/>
      <c r="B2120" s="402"/>
      <c r="C2120" s="402"/>
    </row>
    <row r="2121" spans="1:3" x14ac:dyDescent="0.2">
      <c r="A2121" s="402"/>
      <c r="B2121" s="402"/>
      <c r="C2121" s="402"/>
    </row>
    <row r="2122" spans="1:3" x14ac:dyDescent="0.2">
      <c r="A2122" s="402"/>
      <c r="B2122" s="402"/>
      <c r="C2122" s="402"/>
    </row>
    <row r="2123" spans="1:3" x14ac:dyDescent="0.2">
      <c r="A2123" s="402"/>
      <c r="B2123" s="402"/>
      <c r="C2123" s="402"/>
    </row>
    <row r="2124" spans="1:3" x14ac:dyDescent="0.2">
      <c r="A2124" s="402"/>
      <c r="B2124" s="402"/>
      <c r="C2124" s="402"/>
    </row>
    <row r="2125" spans="1:3" x14ac:dyDescent="0.2">
      <c r="A2125" s="402"/>
      <c r="B2125" s="402"/>
      <c r="C2125" s="402"/>
    </row>
    <row r="2126" spans="1:3" x14ac:dyDescent="0.2">
      <c r="A2126" s="402"/>
      <c r="B2126" s="402"/>
      <c r="C2126" s="402"/>
    </row>
    <row r="2127" spans="1:3" x14ac:dyDescent="0.2">
      <c r="A2127" s="402"/>
      <c r="B2127" s="402"/>
      <c r="C2127" s="402"/>
    </row>
    <row r="2128" spans="1:3" x14ac:dyDescent="0.2">
      <c r="A2128" s="402"/>
      <c r="B2128" s="402"/>
      <c r="C2128" s="402"/>
    </row>
    <row r="2129" spans="1:3" x14ac:dyDescent="0.2">
      <c r="A2129" s="402"/>
      <c r="B2129" s="402"/>
      <c r="C2129" s="402"/>
    </row>
    <row r="2130" spans="1:3" x14ac:dyDescent="0.2">
      <c r="A2130" s="402"/>
      <c r="B2130" s="402"/>
      <c r="C2130" s="402"/>
    </row>
    <row r="2131" spans="1:3" x14ac:dyDescent="0.2">
      <c r="A2131" s="402"/>
      <c r="B2131" s="402"/>
      <c r="C2131" s="402"/>
    </row>
    <row r="2132" spans="1:3" x14ac:dyDescent="0.2">
      <c r="A2132" s="402"/>
      <c r="B2132" s="402"/>
      <c r="C2132" s="402"/>
    </row>
    <row r="2133" spans="1:3" x14ac:dyDescent="0.2">
      <c r="A2133" s="402"/>
      <c r="B2133" s="402"/>
      <c r="C2133" s="402"/>
    </row>
    <row r="2134" spans="1:3" x14ac:dyDescent="0.2">
      <c r="A2134" s="402"/>
      <c r="B2134" s="402"/>
      <c r="C2134" s="402"/>
    </row>
    <row r="2135" spans="1:3" x14ac:dyDescent="0.2">
      <c r="A2135" s="402"/>
      <c r="B2135" s="402"/>
      <c r="C2135" s="402"/>
    </row>
    <row r="2136" spans="1:3" x14ac:dyDescent="0.2">
      <c r="A2136" s="402"/>
      <c r="B2136" s="402"/>
      <c r="C2136" s="402"/>
    </row>
    <row r="2137" spans="1:3" x14ac:dyDescent="0.2">
      <c r="A2137" s="402"/>
      <c r="B2137" s="402"/>
      <c r="C2137" s="402"/>
    </row>
    <row r="2138" spans="1:3" x14ac:dyDescent="0.2">
      <c r="A2138" s="402"/>
      <c r="B2138" s="402"/>
      <c r="C2138" s="402"/>
    </row>
    <row r="2139" spans="1:3" x14ac:dyDescent="0.2">
      <c r="A2139" s="402"/>
      <c r="B2139" s="402"/>
      <c r="C2139" s="402"/>
    </row>
    <row r="2140" spans="1:3" x14ac:dyDescent="0.2">
      <c r="A2140" s="402"/>
      <c r="B2140" s="402"/>
      <c r="C2140" s="402"/>
    </row>
    <row r="2141" spans="1:3" x14ac:dyDescent="0.2">
      <c r="A2141" s="402"/>
      <c r="B2141" s="402"/>
      <c r="C2141" s="402"/>
    </row>
    <row r="2142" spans="1:3" x14ac:dyDescent="0.2">
      <c r="A2142" s="402"/>
      <c r="B2142" s="402"/>
      <c r="C2142" s="402"/>
    </row>
    <row r="2143" spans="1:3" x14ac:dyDescent="0.2">
      <c r="A2143" s="402"/>
      <c r="B2143" s="402"/>
      <c r="C2143" s="402"/>
    </row>
    <row r="2144" spans="1:3" x14ac:dyDescent="0.2">
      <c r="A2144" s="402"/>
      <c r="B2144" s="402"/>
      <c r="C2144" s="402"/>
    </row>
    <row r="2145" spans="1:3" x14ac:dyDescent="0.2">
      <c r="A2145" s="402"/>
      <c r="B2145" s="402"/>
      <c r="C2145" s="402"/>
    </row>
    <row r="2146" spans="1:3" x14ac:dyDescent="0.2">
      <c r="A2146" s="402"/>
      <c r="B2146" s="402"/>
      <c r="C2146" s="402"/>
    </row>
    <row r="2147" spans="1:3" x14ac:dyDescent="0.2">
      <c r="A2147" s="402"/>
      <c r="B2147" s="402"/>
      <c r="C2147" s="402"/>
    </row>
    <row r="2148" spans="1:3" x14ac:dyDescent="0.2">
      <c r="A2148" s="402"/>
      <c r="B2148" s="402"/>
      <c r="C2148" s="402"/>
    </row>
    <row r="2149" spans="1:3" x14ac:dyDescent="0.2">
      <c r="A2149" s="402"/>
      <c r="B2149" s="402"/>
      <c r="C2149" s="402"/>
    </row>
    <row r="2150" spans="1:3" x14ac:dyDescent="0.2">
      <c r="A2150" s="402"/>
      <c r="B2150" s="402"/>
      <c r="C2150" s="402"/>
    </row>
    <row r="2151" spans="1:3" x14ac:dyDescent="0.2">
      <c r="A2151" s="402"/>
      <c r="B2151" s="402"/>
      <c r="C2151" s="402"/>
    </row>
    <row r="2152" spans="1:3" x14ac:dyDescent="0.2">
      <c r="A2152" s="402"/>
      <c r="B2152" s="402"/>
      <c r="C2152" s="402"/>
    </row>
    <row r="2153" spans="1:3" x14ac:dyDescent="0.2">
      <c r="A2153" s="402"/>
      <c r="B2153" s="402"/>
      <c r="C2153" s="402"/>
    </row>
    <row r="2154" spans="1:3" x14ac:dyDescent="0.2">
      <c r="A2154" s="402"/>
      <c r="B2154" s="402"/>
      <c r="C2154" s="402"/>
    </row>
    <row r="2155" spans="1:3" x14ac:dyDescent="0.2">
      <c r="A2155" s="402"/>
      <c r="B2155" s="402"/>
      <c r="C2155" s="402"/>
    </row>
    <row r="2156" spans="1:3" x14ac:dyDescent="0.2">
      <c r="A2156" s="402"/>
      <c r="B2156" s="402"/>
      <c r="C2156" s="402"/>
    </row>
    <row r="2157" spans="1:3" x14ac:dyDescent="0.2">
      <c r="A2157" s="402"/>
      <c r="B2157" s="402"/>
      <c r="C2157" s="402"/>
    </row>
    <row r="2158" spans="1:3" x14ac:dyDescent="0.2">
      <c r="A2158" s="402"/>
      <c r="B2158" s="402"/>
      <c r="C2158" s="402"/>
    </row>
    <row r="2159" spans="1:3" x14ac:dyDescent="0.2">
      <c r="A2159" s="402"/>
      <c r="B2159" s="402"/>
      <c r="C2159" s="402"/>
    </row>
    <row r="2160" spans="1:3" x14ac:dyDescent="0.2">
      <c r="A2160" s="402"/>
      <c r="B2160" s="402"/>
      <c r="C2160" s="402"/>
    </row>
    <row r="2161" spans="1:3" x14ac:dyDescent="0.2">
      <c r="A2161" s="402"/>
      <c r="B2161" s="402"/>
      <c r="C2161" s="402"/>
    </row>
    <row r="2162" spans="1:3" x14ac:dyDescent="0.2">
      <c r="A2162" s="402"/>
      <c r="B2162" s="402"/>
      <c r="C2162" s="402"/>
    </row>
    <row r="2163" spans="1:3" x14ac:dyDescent="0.2">
      <c r="A2163" s="402"/>
      <c r="B2163" s="402"/>
      <c r="C2163" s="402"/>
    </row>
    <row r="2164" spans="1:3" x14ac:dyDescent="0.2">
      <c r="A2164" s="402"/>
      <c r="B2164" s="402"/>
      <c r="C2164" s="402"/>
    </row>
    <row r="2165" spans="1:3" x14ac:dyDescent="0.2">
      <c r="A2165" s="402"/>
      <c r="B2165" s="402"/>
      <c r="C2165" s="402"/>
    </row>
    <row r="2166" spans="1:3" x14ac:dyDescent="0.2">
      <c r="A2166" s="402"/>
      <c r="B2166" s="402"/>
      <c r="C2166" s="402"/>
    </row>
    <row r="2167" spans="1:3" x14ac:dyDescent="0.2">
      <c r="A2167" s="402"/>
      <c r="B2167" s="402"/>
      <c r="C2167" s="402"/>
    </row>
    <row r="2168" spans="1:3" x14ac:dyDescent="0.2">
      <c r="A2168" s="402"/>
      <c r="B2168" s="402"/>
      <c r="C2168" s="402"/>
    </row>
    <row r="2169" spans="1:3" x14ac:dyDescent="0.2">
      <c r="A2169" s="402"/>
      <c r="B2169" s="402"/>
      <c r="C2169" s="402"/>
    </row>
    <row r="2170" spans="1:3" x14ac:dyDescent="0.2">
      <c r="A2170" s="402"/>
      <c r="B2170" s="402"/>
      <c r="C2170" s="402"/>
    </row>
    <row r="2171" spans="1:3" x14ac:dyDescent="0.2">
      <c r="A2171" s="402"/>
      <c r="B2171" s="402"/>
      <c r="C2171" s="402"/>
    </row>
    <row r="2172" spans="1:3" x14ac:dyDescent="0.2">
      <c r="A2172" s="402"/>
      <c r="B2172" s="402"/>
      <c r="C2172" s="402"/>
    </row>
    <row r="2173" spans="1:3" x14ac:dyDescent="0.2">
      <c r="A2173" s="402"/>
      <c r="B2173" s="402"/>
      <c r="C2173" s="402"/>
    </row>
    <row r="2174" spans="1:3" x14ac:dyDescent="0.2">
      <c r="A2174" s="402"/>
      <c r="B2174" s="402"/>
      <c r="C2174" s="402"/>
    </row>
    <row r="2175" spans="1:3" x14ac:dyDescent="0.2">
      <c r="A2175" s="402"/>
      <c r="B2175" s="402"/>
      <c r="C2175" s="402"/>
    </row>
    <row r="2176" spans="1:3" x14ac:dyDescent="0.2">
      <c r="A2176" s="402"/>
      <c r="B2176" s="402"/>
      <c r="C2176" s="402"/>
    </row>
    <row r="2177" spans="1:3" x14ac:dyDescent="0.2">
      <c r="A2177" s="402"/>
      <c r="B2177" s="402"/>
      <c r="C2177" s="402"/>
    </row>
    <row r="2178" spans="1:3" x14ac:dyDescent="0.2">
      <c r="A2178" s="402"/>
      <c r="B2178" s="402"/>
      <c r="C2178" s="402"/>
    </row>
    <row r="2179" spans="1:3" x14ac:dyDescent="0.2">
      <c r="A2179" s="402"/>
      <c r="B2179" s="402"/>
      <c r="C2179" s="402"/>
    </row>
    <row r="2180" spans="1:3" x14ac:dyDescent="0.2">
      <c r="A2180" s="402"/>
      <c r="B2180" s="402"/>
      <c r="C2180" s="402"/>
    </row>
    <row r="2181" spans="1:3" x14ac:dyDescent="0.2">
      <c r="A2181" s="402"/>
      <c r="B2181" s="402"/>
      <c r="C2181" s="402"/>
    </row>
    <row r="2182" spans="1:3" x14ac:dyDescent="0.2">
      <c r="A2182" s="402"/>
      <c r="B2182" s="402"/>
      <c r="C2182" s="402"/>
    </row>
    <row r="2183" spans="1:3" x14ac:dyDescent="0.2">
      <c r="A2183" s="402"/>
      <c r="B2183" s="402"/>
      <c r="C2183" s="402"/>
    </row>
    <row r="2184" spans="1:3" x14ac:dyDescent="0.2">
      <c r="A2184" s="402"/>
      <c r="B2184" s="402"/>
      <c r="C2184" s="402"/>
    </row>
    <row r="2185" spans="1:3" x14ac:dyDescent="0.2">
      <c r="A2185" s="402"/>
      <c r="B2185" s="402"/>
      <c r="C2185" s="402"/>
    </row>
    <row r="2186" spans="1:3" x14ac:dyDescent="0.2">
      <c r="A2186" s="402"/>
      <c r="B2186" s="402"/>
      <c r="C2186" s="402"/>
    </row>
    <row r="2187" spans="1:3" x14ac:dyDescent="0.2">
      <c r="A2187" s="402"/>
      <c r="B2187" s="402"/>
      <c r="C2187" s="402"/>
    </row>
    <row r="2188" spans="1:3" x14ac:dyDescent="0.2">
      <c r="A2188" s="402"/>
      <c r="B2188" s="402"/>
      <c r="C2188" s="402"/>
    </row>
    <row r="2189" spans="1:3" x14ac:dyDescent="0.2">
      <c r="A2189" s="402"/>
      <c r="B2189" s="402"/>
      <c r="C2189" s="402"/>
    </row>
    <row r="2190" spans="1:3" x14ac:dyDescent="0.2">
      <c r="A2190" s="402"/>
      <c r="B2190" s="402"/>
      <c r="C2190" s="402"/>
    </row>
    <row r="2191" spans="1:3" x14ac:dyDescent="0.2">
      <c r="A2191" s="402"/>
      <c r="B2191" s="402"/>
      <c r="C2191" s="402"/>
    </row>
    <row r="2192" spans="1:3" x14ac:dyDescent="0.2">
      <c r="A2192" s="402"/>
      <c r="B2192" s="402"/>
      <c r="C2192" s="402"/>
    </row>
    <row r="2193" spans="1:3" x14ac:dyDescent="0.2">
      <c r="A2193" s="402"/>
      <c r="B2193" s="402"/>
      <c r="C2193" s="402"/>
    </row>
    <row r="2194" spans="1:3" x14ac:dyDescent="0.2">
      <c r="A2194" s="402"/>
      <c r="B2194" s="402"/>
      <c r="C2194" s="402"/>
    </row>
    <row r="2195" spans="1:3" x14ac:dyDescent="0.2">
      <c r="A2195" s="402"/>
      <c r="B2195" s="402"/>
      <c r="C2195" s="402"/>
    </row>
    <row r="2196" spans="1:3" x14ac:dyDescent="0.2">
      <c r="A2196" s="402"/>
      <c r="B2196" s="402"/>
      <c r="C2196" s="402"/>
    </row>
    <row r="2197" spans="1:3" x14ac:dyDescent="0.2">
      <c r="A2197" s="402"/>
      <c r="B2197" s="402"/>
      <c r="C2197" s="402"/>
    </row>
    <row r="2198" spans="1:3" x14ac:dyDescent="0.2">
      <c r="A2198" s="402"/>
      <c r="B2198" s="402"/>
      <c r="C2198" s="402"/>
    </row>
    <row r="2199" spans="1:3" x14ac:dyDescent="0.2">
      <c r="A2199" s="402"/>
      <c r="B2199" s="402"/>
      <c r="C2199" s="402"/>
    </row>
    <row r="2200" spans="1:3" x14ac:dyDescent="0.2">
      <c r="A2200" s="402"/>
      <c r="B2200" s="402"/>
      <c r="C2200" s="402"/>
    </row>
    <row r="2201" spans="1:3" x14ac:dyDescent="0.2">
      <c r="A2201" s="402"/>
      <c r="B2201" s="402"/>
      <c r="C2201" s="402"/>
    </row>
    <row r="2202" spans="1:3" x14ac:dyDescent="0.2">
      <c r="A2202" s="402"/>
      <c r="B2202" s="402"/>
      <c r="C2202" s="402"/>
    </row>
    <row r="2203" spans="1:3" x14ac:dyDescent="0.2">
      <c r="A2203" s="402"/>
      <c r="B2203" s="402"/>
      <c r="C2203" s="402"/>
    </row>
    <row r="2204" spans="1:3" x14ac:dyDescent="0.2">
      <c r="A2204" s="402"/>
      <c r="B2204" s="402"/>
      <c r="C2204" s="402"/>
    </row>
    <row r="2205" spans="1:3" x14ac:dyDescent="0.2">
      <c r="A2205" s="402"/>
      <c r="B2205" s="402"/>
      <c r="C2205" s="402"/>
    </row>
    <row r="2206" spans="1:3" x14ac:dyDescent="0.2">
      <c r="A2206" s="402"/>
      <c r="B2206" s="402"/>
      <c r="C2206" s="402"/>
    </row>
    <row r="2207" spans="1:3" x14ac:dyDescent="0.2">
      <c r="A2207" s="402"/>
      <c r="B2207" s="402"/>
      <c r="C2207" s="402"/>
    </row>
    <row r="2208" spans="1:3" x14ac:dyDescent="0.2">
      <c r="A2208" s="402"/>
      <c r="B2208" s="402"/>
      <c r="C2208" s="402"/>
    </row>
    <row r="2209" spans="1:3" x14ac:dyDescent="0.2">
      <c r="A2209" s="402"/>
      <c r="B2209" s="402"/>
      <c r="C2209" s="402"/>
    </row>
    <row r="2210" spans="1:3" x14ac:dyDescent="0.2">
      <c r="A2210" s="402"/>
      <c r="B2210" s="402"/>
      <c r="C2210" s="402"/>
    </row>
    <row r="2211" spans="1:3" x14ac:dyDescent="0.2">
      <c r="A2211" s="402"/>
      <c r="B2211" s="402"/>
      <c r="C2211" s="402"/>
    </row>
    <row r="2212" spans="1:3" x14ac:dyDescent="0.2">
      <c r="A2212" s="402"/>
      <c r="B2212" s="402"/>
      <c r="C2212" s="402"/>
    </row>
    <row r="2213" spans="1:3" x14ac:dyDescent="0.2">
      <c r="A2213" s="402"/>
      <c r="B2213" s="402"/>
      <c r="C2213" s="402"/>
    </row>
    <row r="2214" spans="1:3" x14ac:dyDescent="0.2">
      <c r="A2214" s="402"/>
      <c r="B2214" s="402"/>
      <c r="C2214" s="402"/>
    </row>
    <row r="2215" spans="1:3" x14ac:dyDescent="0.2">
      <c r="A2215" s="402"/>
      <c r="B2215" s="402"/>
      <c r="C2215" s="402"/>
    </row>
    <row r="2216" spans="1:3" x14ac:dyDescent="0.2">
      <c r="A2216" s="402"/>
      <c r="B2216" s="402"/>
      <c r="C2216" s="402"/>
    </row>
    <row r="2217" spans="1:3" x14ac:dyDescent="0.2">
      <c r="A2217" s="402"/>
      <c r="B2217" s="402"/>
      <c r="C2217" s="402"/>
    </row>
    <row r="2218" spans="1:3" x14ac:dyDescent="0.2">
      <c r="A2218" s="402"/>
      <c r="B2218" s="402"/>
      <c r="C2218" s="402"/>
    </row>
    <row r="2219" spans="1:3" x14ac:dyDescent="0.2">
      <c r="A2219" s="402"/>
      <c r="B2219" s="402"/>
      <c r="C2219" s="402"/>
    </row>
    <row r="2220" spans="1:3" x14ac:dyDescent="0.2">
      <c r="A2220" s="402"/>
      <c r="B2220" s="402"/>
      <c r="C2220" s="402"/>
    </row>
    <row r="2221" spans="1:3" x14ac:dyDescent="0.2">
      <c r="A2221" s="402"/>
      <c r="B2221" s="402"/>
      <c r="C2221" s="402"/>
    </row>
    <row r="2222" spans="1:3" x14ac:dyDescent="0.2">
      <c r="A2222" s="402"/>
      <c r="B2222" s="402"/>
      <c r="C2222" s="402"/>
    </row>
    <row r="2223" spans="1:3" x14ac:dyDescent="0.2">
      <c r="A2223" s="402"/>
      <c r="B2223" s="402"/>
      <c r="C2223" s="402"/>
    </row>
    <row r="2224" spans="1:3" x14ac:dyDescent="0.2">
      <c r="A2224" s="402"/>
      <c r="B2224" s="402"/>
      <c r="C2224" s="402"/>
    </row>
    <row r="2225" spans="1:3" x14ac:dyDescent="0.2">
      <c r="A2225" s="402"/>
      <c r="B2225" s="402"/>
      <c r="C2225" s="402"/>
    </row>
    <row r="2226" spans="1:3" x14ac:dyDescent="0.2">
      <c r="A2226" s="402"/>
      <c r="B2226" s="402"/>
      <c r="C2226" s="402"/>
    </row>
    <row r="2227" spans="1:3" x14ac:dyDescent="0.2">
      <c r="A2227" s="402"/>
      <c r="B2227" s="402"/>
      <c r="C2227" s="402"/>
    </row>
    <row r="2228" spans="1:3" x14ac:dyDescent="0.2">
      <c r="A2228" s="402"/>
      <c r="B2228" s="402"/>
      <c r="C2228" s="402"/>
    </row>
    <row r="2229" spans="1:3" x14ac:dyDescent="0.2">
      <c r="A2229" s="402"/>
      <c r="B2229" s="402"/>
      <c r="C2229" s="402"/>
    </row>
    <row r="2230" spans="1:3" x14ac:dyDescent="0.2">
      <c r="A2230" s="402"/>
      <c r="B2230" s="402"/>
      <c r="C2230" s="402"/>
    </row>
    <row r="2231" spans="1:3" x14ac:dyDescent="0.2">
      <c r="A2231" s="402"/>
      <c r="B2231" s="402"/>
      <c r="C2231" s="402"/>
    </row>
    <row r="2232" spans="1:3" x14ac:dyDescent="0.2">
      <c r="A2232" s="402"/>
      <c r="B2232" s="402"/>
      <c r="C2232" s="402"/>
    </row>
    <row r="2233" spans="1:3" x14ac:dyDescent="0.2">
      <c r="A2233" s="402"/>
      <c r="B2233" s="402"/>
      <c r="C2233" s="402"/>
    </row>
    <row r="2234" spans="1:3" x14ac:dyDescent="0.2">
      <c r="A2234" s="402"/>
      <c r="B2234" s="402"/>
      <c r="C2234" s="402"/>
    </row>
    <row r="2235" spans="1:3" x14ac:dyDescent="0.2">
      <c r="A2235" s="402"/>
      <c r="B2235" s="402"/>
      <c r="C2235" s="402"/>
    </row>
    <row r="2236" spans="1:3" x14ac:dyDescent="0.2">
      <c r="A2236" s="402"/>
      <c r="B2236" s="402"/>
      <c r="C2236" s="402"/>
    </row>
    <row r="2237" spans="1:3" x14ac:dyDescent="0.2">
      <c r="A2237" s="402"/>
      <c r="B2237" s="402"/>
      <c r="C2237" s="402"/>
    </row>
    <row r="2238" spans="1:3" x14ac:dyDescent="0.2">
      <c r="A2238" s="402"/>
      <c r="B2238" s="402"/>
      <c r="C2238" s="402"/>
    </row>
    <row r="2239" spans="1:3" x14ac:dyDescent="0.2">
      <c r="A2239" s="402"/>
      <c r="B2239" s="402"/>
      <c r="C2239" s="402"/>
    </row>
    <row r="2240" spans="1:3" x14ac:dyDescent="0.2">
      <c r="A2240" s="402"/>
      <c r="B2240" s="402"/>
      <c r="C2240" s="402"/>
    </row>
    <row r="2241" spans="1:3" x14ac:dyDescent="0.2">
      <c r="A2241" s="402"/>
      <c r="B2241" s="402"/>
      <c r="C2241" s="402"/>
    </row>
    <row r="2242" spans="1:3" x14ac:dyDescent="0.2">
      <c r="A2242" s="402"/>
      <c r="B2242" s="402"/>
      <c r="C2242" s="402"/>
    </row>
    <row r="2243" spans="1:3" x14ac:dyDescent="0.2">
      <c r="A2243" s="402"/>
      <c r="B2243" s="402"/>
      <c r="C2243" s="402"/>
    </row>
    <row r="2244" spans="1:3" x14ac:dyDescent="0.2">
      <c r="A2244" s="402"/>
      <c r="B2244" s="402"/>
      <c r="C2244" s="402"/>
    </row>
    <row r="2245" spans="1:3" x14ac:dyDescent="0.2">
      <c r="A2245" s="402"/>
      <c r="B2245" s="402"/>
      <c r="C2245" s="402"/>
    </row>
    <row r="2246" spans="1:3" x14ac:dyDescent="0.2">
      <c r="A2246" s="402"/>
      <c r="B2246" s="402"/>
      <c r="C2246" s="402"/>
    </row>
    <row r="2247" spans="1:3" x14ac:dyDescent="0.2">
      <c r="A2247" s="402"/>
      <c r="B2247" s="402"/>
      <c r="C2247" s="402"/>
    </row>
    <row r="2248" spans="1:3" x14ac:dyDescent="0.2">
      <c r="A2248" s="402"/>
      <c r="B2248" s="402"/>
      <c r="C2248" s="402"/>
    </row>
    <row r="2249" spans="1:3" x14ac:dyDescent="0.2">
      <c r="A2249" s="402"/>
      <c r="B2249" s="402"/>
      <c r="C2249" s="402"/>
    </row>
    <row r="2250" spans="1:3" x14ac:dyDescent="0.2">
      <c r="A2250" s="402"/>
      <c r="B2250" s="402"/>
      <c r="C2250" s="402"/>
    </row>
    <row r="2251" spans="1:3" x14ac:dyDescent="0.2">
      <c r="A2251" s="402"/>
      <c r="B2251" s="402"/>
      <c r="C2251" s="402"/>
    </row>
    <row r="2252" spans="1:3" x14ac:dyDescent="0.2">
      <c r="A2252" s="402"/>
      <c r="B2252" s="402"/>
      <c r="C2252" s="402"/>
    </row>
    <row r="2253" spans="1:3" x14ac:dyDescent="0.2">
      <c r="A2253" s="402"/>
      <c r="B2253" s="402"/>
      <c r="C2253" s="402"/>
    </row>
    <row r="2254" spans="1:3" x14ac:dyDescent="0.2">
      <c r="A2254" s="402"/>
      <c r="B2254" s="402"/>
      <c r="C2254" s="402"/>
    </row>
    <row r="2255" spans="1:3" x14ac:dyDescent="0.2">
      <c r="A2255" s="402"/>
      <c r="B2255" s="402"/>
      <c r="C2255" s="402"/>
    </row>
    <row r="2256" spans="1:3" x14ac:dyDescent="0.2">
      <c r="A2256" s="402"/>
      <c r="B2256" s="402"/>
      <c r="C2256" s="402"/>
    </row>
    <row r="2257" spans="1:3" x14ac:dyDescent="0.2">
      <c r="A2257" s="402"/>
      <c r="B2257" s="402"/>
      <c r="C2257" s="402"/>
    </row>
    <row r="2258" spans="1:3" x14ac:dyDescent="0.2">
      <c r="A2258" s="402"/>
      <c r="B2258" s="402"/>
      <c r="C2258" s="402"/>
    </row>
    <row r="2259" spans="1:3" x14ac:dyDescent="0.2">
      <c r="A2259" s="402"/>
      <c r="B2259" s="402"/>
      <c r="C2259" s="402"/>
    </row>
    <row r="2260" spans="1:3" x14ac:dyDescent="0.2">
      <c r="A2260" s="402"/>
      <c r="B2260" s="402"/>
      <c r="C2260" s="402"/>
    </row>
    <row r="2261" spans="1:3" x14ac:dyDescent="0.2">
      <c r="A2261" s="402"/>
      <c r="B2261" s="402"/>
      <c r="C2261" s="402"/>
    </row>
    <row r="2262" spans="1:3" x14ac:dyDescent="0.2">
      <c r="A2262" s="402"/>
      <c r="B2262" s="402"/>
      <c r="C2262" s="402"/>
    </row>
    <row r="2263" spans="1:3" x14ac:dyDescent="0.2">
      <c r="A2263" s="402"/>
      <c r="B2263" s="402"/>
      <c r="C2263" s="402"/>
    </row>
    <row r="2264" spans="1:3" x14ac:dyDescent="0.2">
      <c r="A2264" s="402"/>
      <c r="B2264" s="402"/>
      <c r="C2264" s="402"/>
    </row>
    <row r="2265" spans="1:3" x14ac:dyDescent="0.2">
      <c r="A2265" s="402"/>
      <c r="B2265" s="402"/>
      <c r="C2265" s="402"/>
    </row>
    <row r="2266" spans="1:3" x14ac:dyDescent="0.2">
      <c r="A2266" s="402"/>
      <c r="B2266" s="402"/>
      <c r="C2266" s="402"/>
    </row>
    <row r="2267" spans="1:3" x14ac:dyDescent="0.2">
      <c r="A2267" s="402"/>
      <c r="B2267" s="402"/>
      <c r="C2267" s="402"/>
    </row>
    <row r="2268" spans="1:3" x14ac:dyDescent="0.2">
      <c r="A2268" s="402"/>
      <c r="B2268" s="402"/>
      <c r="C2268" s="402"/>
    </row>
    <row r="2269" spans="1:3" x14ac:dyDescent="0.2">
      <c r="A2269" s="402"/>
      <c r="B2269" s="402"/>
      <c r="C2269" s="402"/>
    </row>
    <row r="2270" spans="1:3" x14ac:dyDescent="0.2">
      <c r="A2270" s="402"/>
      <c r="B2270" s="402"/>
      <c r="C2270" s="402"/>
    </row>
    <row r="2271" spans="1:3" x14ac:dyDescent="0.2">
      <c r="A2271" s="402"/>
      <c r="B2271" s="402"/>
      <c r="C2271" s="402"/>
    </row>
    <row r="2272" spans="1:3" x14ac:dyDescent="0.2">
      <c r="A2272" s="402"/>
      <c r="B2272" s="402"/>
      <c r="C2272" s="402"/>
    </row>
    <row r="2273" spans="1:3" x14ac:dyDescent="0.2">
      <c r="A2273" s="402"/>
      <c r="B2273" s="402"/>
      <c r="C2273" s="402"/>
    </row>
    <row r="2274" spans="1:3" x14ac:dyDescent="0.2">
      <c r="A2274" s="402"/>
      <c r="B2274" s="402"/>
      <c r="C2274" s="402"/>
    </row>
    <row r="2275" spans="1:3" x14ac:dyDescent="0.2">
      <c r="A2275" s="402"/>
      <c r="B2275" s="402"/>
      <c r="C2275" s="402"/>
    </row>
    <row r="2276" spans="1:3" x14ac:dyDescent="0.2">
      <c r="A2276" s="402"/>
      <c r="B2276" s="402"/>
      <c r="C2276" s="402"/>
    </row>
    <row r="2277" spans="1:3" x14ac:dyDescent="0.2">
      <c r="A2277" s="402"/>
      <c r="B2277" s="402"/>
      <c r="C2277" s="402"/>
    </row>
    <row r="2278" spans="1:3" x14ac:dyDescent="0.2">
      <c r="A2278" s="402"/>
      <c r="B2278" s="402"/>
      <c r="C2278" s="402"/>
    </row>
    <row r="2279" spans="1:3" x14ac:dyDescent="0.2">
      <c r="A2279" s="402"/>
      <c r="B2279" s="402"/>
      <c r="C2279" s="402"/>
    </row>
    <row r="2280" spans="1:3" x14ac:dyDescent="0.2">
      <c r="A2280" s="402"/>
      <c r="B2280" s="402"/>
      <c r="C2280" s="402"/>
    </row>
    <row r="2281" spans="1:3" x14ac:dyDescent="0.2">
      <c r="A2281" s="402"/>
      <c r="B2281" s="402"/>
      <c r="C2281" s="402"/>
    </row>
    <row r="2282" spans="1:3" x14ac:dyDescent="0.2">
      <c r="A2282" s="402"/>
      <c r="B2282" s="402"/>
      <c r="C2282" s="402"/>
    </row>
    <row r="2283" spans="1:3" x14ac:dyDescent="0.2">
      <c r="A2283" s="402"/>
      <c r="B2283" s="402"/>
      <c r="C2283" s="402"/>
    </row>
    <row r="2284" spans="1:3" x14ac:dyDescent="0.2">
      <c r="A2284" s="402"/>
      <c r="B2284" s="402"/>
      <c r="C2284" s="402"/>
    </row>
    <row r="2285" spans="1:3" x14ac:dyDescent="0.2">
      <c r="A2285" s="402"/>
      <c r="B2285" s="402"/>
      <c r="C2285" s="402"/>
    </row>
    <row r="2286" spans="1:3" x14ac:dyDescent="0.2">
      <c r="A2286" s="402"/>
      <c r="B2286" s="402"/>
      <c r="C2286" s="402"/>
    </row>
    <row r="2287" spans="1:3" x14ac:dyDescent="0.2">
      <c r="A2287" s="402"/>
      <c r="B2287" s="402"/>
      <c r="C2287" s="402"/>
    </row>
    <row r="2288" spans="1:3" x14ac:dyDescent="0.2">
      <c r="A2288" s="402"/>
      <c r="B2288" s="402"/>
      <c r="C2288" s="402"/>
    </row>
    <row r="2289" spans="1:3" x14ac:dyDescent="0.2">
      <c r="A2289" s="402"/>
      <c r="B2289" s="402"/>
      <c r="C2289" s="402"/>
    </row>
    <row r="2290" spans="1:3" x14ac:dyDescent="0.2">
      <c r="A2290" s="402"/>
      <c r="B2290" s="402"/>
      <c r="C2290" s="402"/>
    </row>
    <row r="2291" spans="1:3" x14ac:dyDescent="0.2">
      <c r="A2291" s="402"/>
      <c r="B2291" s="402"/>
      <c r="C2291" s="402"/>
    </row>
    <row r="2292" spans="1:3" x14ac:dyDescent="0.2">
      <c r="A2292" s="402"/>
      <c r="B2292" s="402"/>
      <c r="C2292" s="402"/>
    </row>
    <row r="2293" spans="1:3" x14ac:dyDescent="0.2">
      <c r="A2293" s="402"/>
      <c r="B2293" s="402"/>
      <c r="C2293" s="402"/>
    </row>
    <row r="2294" spans="1:3" x14ac:dyDescent="0.2">
      <c r="A2294" s="402"/>
      <c r="B2294" s="402"/>
      <c r="C2294" s="402"/>
    </row>
    <row r="2295" spans="1:3" x14ac:dyDescent="0.2">
      <c r="A2295" s="402"/>
      <c r="B2295" s="402"/>
      <c r="C2295" s="402"/>
    </row>
    <row r="2296" spans="1:3" x14ac:dyDescent="0.2">
      <c r="A2296" s="402"/>
      <c r="B2296" s="402"/>
      <c r="C2296" s="402"/>
    </row>
    <row r="2297" spans="1:3" x14ac:dyDescent="0.2">
      <c r="A2297" s="402"/>
      <c r="B2297" s="402"/>
      <c r="C2297" s="402"/>
    </row>
    <row r="2298" spans="1:3" x14ac:dyDescent="0.2">
      <c r="A2298" s="402"/>
      <c r="B2298" s="402"/>
      <c r="C2298" s="402"/>
    </row>
    <row r="2299" spans="1:3" x14ac:dyDescent="0.2">
      <c r="A2299" s="402"/>
      <c r="B2299" s="402"/>
      <c r="C2299" s="402"/>
    </row>
    <row r="2300" spans="1:3" x14ac:dyDescent="0.2">
      <c r="A2300" s="402"/>
      <c r="B2300" s="402"/>
      <c r="C2300" s="402"/>
    </row>
    <row r="2301" spans="1:3" x14ac:dyDescent="0.2">
      <c r="A2301" s="402"/>
      <c r="B2301" s="402"/>
      <c r="C2301" s="402"/>
    </row>
    <row r="2302" spans="1:3" x14ac:dyDescent="0.2">
      <c r="A2302" s="402"/>
      <c r="B2302" s="402"/>
      <c r="C2302" s="402"/>
    </row>
    <row r="2303" spans="1:3" x14ac:dyDescent="0.2">
      <c r="A2303" s="402"/>
      <c r="B2303" s="402"/>
      <c r="C2303" s="402"/>
    </row>
    <row r="2304" spans="1:3" x14ac:dyDescent="0.2">
      <c r="A2304" s="402"/>
      <c r="B2304" s="402"/>
      <c r="C2304" s="402"/>
    </row>
    <row r="2305" spans="1:3" x14ac:dyDescent="0.2">
      <c r="A2305" s="402"/>
      <c r="B2305" s="402"/>
      <c r="C2305" s="402"/>
    </row>
    <row r="2306" spans="1:3" x14ac:dyDescent="0.2">
      <c r="A2306" s="402"/>
      <c r="B2306" s="402"/>
      <c r="C2306" s="402"/>
    </row>
    <row r="2307" spans="1:3" x14ac:dyDescent="0.2">
      <c r="A2307" s="402"/>
      <c r="B2307" s="402"/>
      <c r="C2307" s="402"/>
    </row>
    <row r="2308" spans="1:3" x14ac:dyDescent="0.2">
      <c r="A2308" s="402"/>
      <c r="B2308" s="402"/>
      <c r="C2308" s="402"/>
    </row>
    <row r="2309" spans="1:3" x14ac:dyDescent="0.2">
      <c r="A2309" s="402"/>
      <c r="B2309" s="402"/>
      <c r="C2309" s="402"/>
    </row>
    <row r="2310" spans="1:3" x14ac:dyDescent="0.2">
      <c r="A2310" s="402"/>
      <c r="B2310" s="402"/>
      <c r="C2310" s="402"/>
    </row>
    <row r="2311" spans="1:3" x14ac:dyDescent="0.2">
      <c r="A2311" s="402"/>
      <c r="B2311" s="402"/>
      <c r="C2311" s="402"/>
    </row>
    <row r="2312" spans="1:3" x14ac:dyDescent="0.2">
      <c r="A2312" s="402"/>
      <c r="B2312" s="402"/>
      <c r="C2312" s="402"/>
    </row>
    <row r="2313" spans="1:3" x14ac:dyDescent="0.2">
      <c r="A2313" s="402"/>
      <c r="B2313" s="402"/>
      <c r="C2313" s="402"/>
    </row>
    <row r="2314" spans="1:3" x14ac:dyDescent="0.2">
      <c r="A2314" s="402"/>
      <c r="B2314" s="402"/>
      <c r="C2314" s="402"/>
    </row>
    <row r="2315" spans="1:3" x14ac:dyDescent="0.2">
      <c r="A2315" s="402"/>
      <c r="B2315" s="402"/>
      <c r="C2315" s="402"/>
    </row>
    <row r="2316" spans="1:3" x14ac:dyDescent="0.2">
      <c r="A2316" s="402"/>
      <c r="B2316" s="402"/>
      <c r="C2316" s="402"/>
    </row>
    <row r="2317" spans="1:3" x14ac:dyDescent="0.2">
      <c r="A2317" s="402"/>
      <c r="B2317" s="402"/>
      <c r="C2317" s="402"/>
    </row>
    <row r="2318" spans="1:3" x14ac:dyDescent="0.2">
      <c r="A2318" s="402"/>
      <c r="B2318" s="402"/>
      <c r="C2318" s="402"/>
    </row>
    <row r="2319" spans="1:3" x14ac:dyDescent="0.2">
      <c r="A2319" s="402"/>
      <c r="B2319" s="402"/>
      <c r="C2319" s="402"/>
    </row>
    <row r="2320" spans="1:3" x14ac:dyDescent="0.2">
      <c r="A2320" s="402"/>
      <c r="B2320" s="402"/>
      <c r="C2320" s="402"/>
    </row>
    <row r="2321" spans="1:3" x14ac:dyDescent="0.2">
      <c r="A2321" s="402"/>
      <c r="B2321" s="402"/>
      <c r="C2321" s="402"/>
    </row>
    <row r="2322" spans="1:3" x14ac:dyDescent="0.2">
      <c r="A2322" s="402"/>
      <c r="B2322" s="402"/>
      <c r="C2322" s="402"/>
    </row>
    <row r="2323" spans="1:3" x14ac:dyDescent="0.2">
      <c r="A2323" s="402"/>
      <c r="B2323" s="402"/>
      <c r="C2323" s="402"/>
    </row>
    <row r="2324" spans="1:3" x14ac:dyDescent="0.2">
      <c r="A2324" s="402"/>
      <c r="B2324" s="402"/>
      <c r="C2324" s="402"/>
    </row>
    <row r="2325" spans="1:3" x14ac:dyDescent="0.2">
      <c r="A2325" s="402"/>
      <c r="B2325" s="402"/>
      <c r="C2325" s="402"/>
    </row>
    <row r="2326" spans="1:3" x14ac:dyDescent="0.2">
      <c r="A2326" s="402"/>
      <c r="B2326" s="402"/>
      <c r="C2326" s="402"/>
    </row>
    <row r="2327" spans="1:3" x14ac:dyDescent="0.2">
      <c r="A2327" s="402"/>
      <c r="B2327" s="402"/>
      <c r="C2327" s="402"/>
    </row>
    <row r="2328" spans="1:3" x14ac:dyDescent="0.2">
      <c r="A2328" s="402"/>
      <c r="B2328" s="402"/>
      <c r="C2328" s="402"/>
    </row>
    <row r="2329" spans="1:3" x14ac:dyDescent="0.2">
      <c r="A2329" s="402"/>
      <c r="B2329" s="402"/>
      <c r="C2329" s="402"/>
    </row>
    <row r="2330" spans="1:3" x14ac:dyDescent="0.2">
      <c r="A2330" s="402"/>
      <c r="B2330" s="402"/>
      <c r="C2330" s="402"/>
    </row>
    <row r="2331" spans="1:3" x14ac:dyDescent="0.2">
      <c r="A2331" s="402"/>
      <c r="B2331" s="402"/>
      <c r="C2331" s="402"/>
    </row>
    <row r="2332" spans="1:3" x14ac:dyDescent="0.2">
      <c r="A2332" s="402"/>
      <c r="B2332" s="402"/>
      <c r="C2332" s="402"/>
    </row>
    <row r="2333" spans="1:3" x14ac:dyDescent="0.2">
      <c r="A2333" s="402"/>
      <c r="B2333" s="402"/>
      <c r="C2333" s="402"/>
    </row>
    <row r="2334" spans="1:3" x14ac:dyDescent="0.2">
      <c r="A2334" s="402"/>
      <c r="B2334" s="402"/>
      <c r="C2334" s="402"/>
    </row>
    <row r="2335" spans="1:3" x14ac:dyDescent="0.2">
      <c r="A2335" s="402"/>
      <c r="B2335" s="402"/>
      <c r="C2335" s="402"/>
    </row>
    <row r="2336" spans="1:3" x14ac:dyDescent="0.2">
      <c r="A2336" s="402"/>
      <c r="B2336" s="402"/>
      <c r="C2336" s="402"/>
    </row>
    <row r="2337" spans="1:3" x14ac:dyDescent="0.2">
      <c r="A2337" s="402"/>
      <c r="B2337" s="402"/>
      <c r="C2337" s="402"/>
    </row>
    <row r="2338" spans="1:3" x14ac:dyDescent="0.2">
      <c r="A2338" s="402"/>
      <c r="B2338" s="402"/>
      <c r="C2338" s="402"/>
    </row>
    <row r="2339" spans="1:3" x14ac:dyDescent="0.2">
      <c r="A2339" s="402"/>
      <c r="B2339" s="402"/>
      <c r="C2339" s="402"/>
    </row>
    <row r="2340" spans="1:3" x14ac:dyDescent="0.2">
      <c r="A2340" s="402"/>
      <c r="B2340" s="402"/>
      <c r="C2340" s="402"/>
    </row>
    <row r="2341" spans="1:3" x14ac:dyDescent="0.2">
      <c r="A2341" s="402"/>
      <c r="B2341" s="402"/>
      <c r="C2341" s="402"/>
    </row>
    <row r="2342" spans="1:3" x14ac:dyDescent="0.2">
      <c r="A2342" s="402"/>
      <c r="B2342" s="402"/>
      <c r="C2342" s="402"/>
    </row>
    <row r="2343" spans="1:3" x14ac:dyDescent="0.2">
      <c r="A2343" s="402"/>
      <c r="B2343" s="402"/>
      <c r="C2343" s="402"/>
    </row>
    <row r="2344" spans="1:3" x14ac:dyDescent="0.2">
      <c r="A2344" s="402"/>
      <c r="B2344" s="402"/>
      <c r="C2344" s="402"/>
    </row>
    <row r="2345" spans="1:3" x14ac:dyDescent="0.2">
      <c r="A2345" s="402"/>
      <c r="B2345" s="402"/>
      <c r="C2345" s="402"/>
    </row>
    <row r="2346" spans="1:3" x14ac:dyDescent="0.2">
      <c r="A2346" s="402"/>
      <c r="B2346" s="402"/>
      <c r="C2346" s="402"/>
    </row>
    <row r="2347" spans="1:3" x14ac:dyDescent="0.2">
      <c r="A2347" s="402"/>
      <c r="B2347" s="402"/>
      <c r="C2347" s="402"/>
    </row>
    <row r="2348" spans="1:3" x14ac:dyDescent="0.2">
      <c r="A2348" s="402"/>
      <c r="B2348" s="402"/>
      <c r="C2348" s="402"/>
    </row>
    <row r="2349" spans="1:3" x14ac:dyDescent="0.2">
      <c r="A2349" s="402"/>
      <c r="B2349" s="402"/>
      <c r="C2349" s="402"/>
    </row>
    <row r="2350" spans="1:3" x14ac:dyDescent="0.2">
      <c r="A2350" s="402"/>
      <c r="B2350" s="402"/>
      <c r="C2350" s="402"/>
    </row>
    <row r="2351" spans="1:3" x14ac:dyDescent="0.2">
      <c r="A2351" s="402"/>
      <c r="B2351" s="402"/>
      <c r="C2351" s="402"/>
    </row>
    <row r="2352" spans="1:3" x14ac:dyDescent="0.2">
      <c r="A2352" s="402"/>
      <c r="B2352" s="402"/>
      <c r="C2352" s="402"/>
    </row>
    <row r="2353" spans="1:3" x14ac:dyDescent="0.2">
      <c r="A2353" s="402"/>
      <c r="B2353" s="402"/>
      <c r="C2353" s="402"/>
    </row>
    <row r="2354" spans="1:3" x14ac:dyDescent="0.2">
      <c r="A2354" s="402"/>
      <c r="B2354" s="402"/>
      <c r="C2354" s="402"/>
    </row>
    <row r="2355" spans="1:3" x14ac:dyDescent="0.2">
      <c r="A2355" s="402"/>
      <c r="B2355" s="402"/>
      <c r="C2355" s="402"/>
    </row>
    <row r="2356" spans="1:3" x14ac:dyDescent="0.2">
      <c r="A2356" s="402"/>
      <c r="B2356" s="402"/>
      <c r="C2356" s="402"/>
    </row>
    <row r="2357" spans="1:3" x14ac:dyDescent="0.2">
      <c r="A2357" s="402"/>
      <c r="B2357" s="402"/>
      <c r="C2357" s="402"/>
    </row>
    <row r="2358" spans="1:3" x14ac:dyDescent="0.2">
      <c r="A2358" s="402"/>
      <c r="B2358" s="402"/>
      <c r="C2358" s="402"/>
    </row>
    <row r="2359" spans="1:3" x14ac:dyDescent="0.2">
      <c r="A2359" s="402"/>
      <c r="B2359" s="402"/>
      <c r="C2359" s="402"/>
    </row>
    <row r="2360" spans="1:3" x14ac:dyDescent="0.2">
      <c r="A2360" s="402"/>
      <c r="B2360" s="402"/>
      <c r="C2360" s="402"/>
    </row>
    <row r="2361" spans="1:3" x14ac:dyDescent="0.2">
      <c r="A2361" s="402"/>
      <c r="B2361" s="402"/>
      <c r="C2361" s="402"/>
    </row>
    <row r="2362" spans="1:3" x14ac:dyDescent="0.2">
      <c r="A2362" s="402"/>
      <c r="B2362" s="402"/>
      <c r="C2362" s="402"/>
    </row>
    <row r="2363" spans="1:3" x14ac:dyDescent="0.2">
      <c r="A2363" s="402"/>
      <c r="B2363" s="402"/>
      <c r="C2363" s="402"/>
    </row>
    <row r="2364" spans="1:3" x14ac:dyDescent="0.2">
      <c r="A2364" s="402"/>
      <c r="B2364" s="402"/>
      <c r="C2364" s="402"/>
    </row>
    <row r="2365" spans="1:3" x14ac:dyDescent="0.2">
      <c r="A2365" s="402"/>
      <c r="B2365" s="402"/>
      <c r="C2365" s="402"/>
    </row>
    <row r="2366" spans="1:3" x14ac:dyDescent="0.2">
      <c r="A2366" s="402"/>
      <c r="B2366" s="402"/>
      <c r="C2366" s="402"/>
    </row>
    <row r="2367" spans="1:3" x14ac:dyDescent="0.2">
      <c r="A2367" s="402"/>
      <c r="B2367" s="402"/>
      <c r="C2367" s="402"/>
    </row>
    <row r="2368" spans="1:3" x14ac:dyDescent="0.2">
      <c r="A2368" s="402"/>
      <c r="B2368" s="402"/>
      <c r="C2368" s="402"/>
    </row>
    <row r="2369" spans="1:3" x14ac:dyDescent="0.2">
      <c r="A2369" s="402"/>
      <c r="B2369" s="402"/>
      <c r="C2369" s="402"/>
    </row>
    <row r="2370" spans="1:3" x14ac:dyDescent="0.2">
      <c r="A2370" s="402"/>
      <c r="B2370" s="402"/>
      <c r="C2370" s="402"/>
    </row>
    <row r="2371" spans="1:3" x14ac:dyDescent="0.2">
      <c r="A2371" s="402"/>
      <c r="B2371" s="402"/>
      <c r="C2371" s="402"/>
    </row>
    <row r="2372" spans="1:3" x14ac:dyDescent="0.2">
      <c r="A2372" s="402"/>
      <c r="B2372" s="402"/>
      <c r="C2372" s="402"/>
    </row>
    <row r="2373" spans="1:3" x14ac:dyDescent="0.2">
      <c r="A2373" s="402"/>
      <c r="B2373" s="402"/>
      <c r="C2373" s="402"/>
    </row>
    <row r="2374" spans="1:3" x14ac:dyDescent="0.2">
      <c r="A2374" s="402"/>
      <c r="B2374" s="402"/>
      <c r="C2374" s="402"/>
    </row>
    <row r="2375" spans="1:3" x14ac:dyDescent="0.2">
      <c r="A2375" s="402"/>
      <c r="B2375" s="402"/>
      <c r="C2375" s="402"/>
    </row>
    <row r="2376" spans="1:3" x14ac:dyDescent="0.2">
      <c r="A2376" s="402"/>
      <c r="B2376" s="402"/>
      <c r="C2376" s="402"/>
    </row>
    <row r="2377" spans="1:3" x14ac:dyDescent="0.2">
      <c r="A2377" s="402"/>
      <c r="B2377" s="402"/>
      <c r="C2377" s="402"/>
    </row>
    <row r="2378" spans="1:3" x14ac:dyDescent="0.2">
      <c r="A2378" s="402"/>
      <c r="B2378" s="402"/>
      <c r="C2378" s="402"/>
    </row>
    <row r="2379" spans="1:3" x14ac:dyDescent="0.2">
      <c r="A2379" s="402"/>
      <c r="B2379" s="402"/>
      <c r="C2379" s="402"/>
    </row>
    <row r="2380" spans="1:3" x14ac:dyDescent="0.2">
      <c r="A2380" s="402"/>
      <c r="B2380" s="402"/>
      <c r="C2380" s="402"/>
    </row>
    <row r="2381" spans="1:3" x14ac:dyDescent="0.2">
      <c r="A2381" s="402"/>
      <c r="B2381" s="402"/>
      <c r="C2381" s="402"/>
    </row>
    <row r="2382" spans="1:3" x14ac:dyDescent="0.2">
      <c r="A2382" s="402"/>
      <c r="B2382" s="402"/>
      <c r="C2382" s="402"/>
    </row>
    <row r="2383" spans="1:3" x14ac:dyDescent="0.2">
      <c r="A2383" s="402"/>
      <c r="B2383" s="402"/>
      <c r="C2383" s="402"/>
    </row>
    <row r="2384" spans="1:3" x14ac:dyDescent="0.2">
      <c r="A2384" s="402"/>
      <c r="B2384" s="402"/>
      <c r="C2384" s="402"/>
    </row>
    <row r="2385" spans="1:3" x14ac:dyDescent="0.2">
      <c r="A2385" s="402"/>
      <c r="B2385" s="402"/>
      <c r="C2385" s="402"/>
    </row>
    <row r="2386" spans="1:3" x14ac:dyDescent="0.2">
      <c r="A2386" s="402"/>
      <c r="B2386" s="402"/>
      <c r="C2386" s="402"/>
    </row>
    <row r="2387" spans="1:3" x14ac:dyDescent="0.2">
      <c r="A2387" s="402"/>
      <c r="B2387" s="402"/>
      <c r="C2387" s="402"/>
    </row>
    <row r="2388" spans="1:3" x14ac:dyDescent="0.2">
      <c r="A2388" s="402"/>
      <c r="B2388" s="402"/>
      <c r="C2388" s="402"/>
    </row>
    <row r="2389" spans="1:3" x14ac:dyDescent="0.2">
      <c r="A2389" s="402"/>
      <c r="B2389" s="402"/>
      <c r="C2389" s="402"/>
    </row>
    <row r="2390" spans="1:3" x14ac:dyDescent="0.2">
      <c r="A2390" s="402"/>
      <c r="B2390" s="402"/>
      <c r="C2390" s="402"/>
    </row>
    <row r="2391" spans="1:3" x14ac:dyDescent="0.2">
      <c r="A2391" s="402"/>
      <c r="B2391" s="402"/>
      <c r="C2391" s="402"/>
    </row>
    <row r="2392" spans="1:3" x14ac:dyDescent="0.2">
      <c r="A2392" s="402"/>
      <c r="B2392" s="402"/>
      <c r="C2392" s="402"/>
    </row>
    <row r="2393" spans="1:3" x14ac:dyDescent="0.2">
      <c r="A2393" s="402"/>
      <c r="B2393" s="402"/>
      <c r="C2393" s="402"/>
    </row>
    <row r="2394" spans="1:3" x14ac:dyDescent="0.2">
      <c r="A2394" s="402"/>
      <c r="B2394" s="402"/>
      <c r="C2394" s="402"/>
    </row>
    <row r="2395" spans="1:3" x14ac:dyDescent="0.2">
      <c r="A2395" s="402"/>
      <c r="B2395" s="402"/>
      <c r="C2395" s="402"/>
    </row>
    <row r="2396" spans="1:3" x14ac:dyDescent="0.2">
      <c r="A2396" s="402"/>
      <c r="B2396" s="402"/>
      <c r="C2396" s="402"/>
    </row>
    <row r="2397" spans="1:3" x14ac:dyDescent="0.2">
      <c r="A2397" s="402"/>
      <c r="B2397" s="402"/>
      <c r="C2397" s="402"/>
    </row>
    <row r="2398" spans="1:3" x14ac:dyDescent="0.2">
      <c r="A2398" s="402"/>
      <c r="B2398" s="402"/>
      <c r="C2398" s="402"/>
    </row>
    <row r="2399" spans="1:3" x14ac:dyDescent="0.2">
      <c r="A2399" s="402"/>
      <c r="B2399" s="402"/>
      <c r="C2399" s="402"/>
    </row>
    <row r="2400" spans="1:3" x14ac:dyDescent="0.2">
      <c r="A2400" s="402"/>
      <c r="B2400" s="402"/>
      <c r="C2400" s="402"/>
    </row>
    <row r="2401" spans="1:3" x14ac:dyDescent="0.2">
      <c r="A2401" s="402"/>
      <c r="B2401" s="402"/>
      <c r="C2401" s="402"/>
    </row>
    <row r="2402" spans="1:3" x14ac:dyDescent="0.2">
      <c r="A2402" s="402"/>
      <c r="B2402" s="402"/>
      <c r="C2402" s="402"/>
    </row>
    <row r="2403" spans="1:3" x14ac:dyDescent="0.2">
      <c r="A2403" s="402"/>
      <c r="B2403" s="402"/>
      <c r="C2403" s="402"/>
    </row>
    <row r="2404" spans="1:3" x14ac:dyDescent="0.2">
      <c r="A2404" s="402"/>
      <c r="B2404" s="402"/>
      <c r="C2404" s="402"/>
    </row>
    <row r="2405" spans="1:3" x14ac:dyDescent="0.2">
      <c r="A2405" s="402"/>
      <c r="B2405" s="402"/>
      <c r="C2405" s="402"/>
    </row>
    <row r="2406" spans="1:3" x14ac:dyDescent="0.2">
      <c r="A2406" s="402"/>
      <c r="B2406" s="402"/>
      <c r="C2406" s="402"/>
    </row>
    <row r="2407" spans="1:3" x14ac:dyDescent="0.2">
      <c r="A2407" s="402"/>
      <c r="B2407" s="402"/>
      <c r="C2407" s="402"/>
    </row>
    <row r="2408" spans="1:3" x14ac:dyDescent="0.2">
      <c r="A2408" s="402"/>
      <c r="B2408" s="402"/>
      <c r="C2408" s="402"/>
    </row>
    <row r="2409" spans="1:3" x14ac:dyDescent="0.2">
      <c r="A2409" s="402"/>
      <c r="B2409" s="402"/>
      <c r="C2409" s="402"/>
    </row>
    <row r="2410" spans="1:3" x14ac:dyDescent="0.2">
      <c r="A2410" s="402"/>
      <c r="B2410" s="402"/>
      <c r="C2410" s="402"/>
    </row>
    <row r="2411" spans="1:3" x14ac:dyDescent="0.2">
      <c r="A2411" s="402"/>
      <c r="B2411" s="402"/>
      <c r="C2411" s="402"/>
    </row>
    <row r="2412" spans="1:3" x14ac:dyDescent="0.2">
      <c r="A2412" s="402"/>
      <c r="B2412" s="402"/>
      <c r="C2412" s="402"/>
    </row>
    <row r="2413" spans="1:3" x14ac:dyDescent="0.2">
      <c r="A2413" s="402"/>
      <c r="B2413" s="402"/>
      <c r="C2413" s="402"/>
    </row>
    <row r="2414" spans="1:3" x14ac:dyDescent="0.2">
      <c r="A2414" s="402"/>
      <c r="B2414" s="402"/>
      <c r="C2414" s="402"/>
    </row>
    <row r="2415" spans="1:3" x14ac:dyDescent="0.2">
      <c r="A2415" s="402"/>
      <c r="B2415" s="402"/>
      <c r="C2415" s="402"/>
    </row>
    <row r="2416" spans="1:3" x14ac:dyDescent="0.2">
      <c r="A2416" s="402"/>
      <c r="B2416" s="402"/>
      <c r="C2416" s="402"/>
    </row>
    <row r="2417" spans="1:3" x14ac:dyDescent="0.2">
      <c r="A2417" s="402"/>
      <c r="B2417" s="402"/>
      <c r="C2417" s="402"/>
    </row>
    <row r="2418" spans="1:3" x14ac:dyDescent="0.2">
      <c r="A2418" s="402"/>
      <c r="B2418" s="402"/>
      <c r="C2418" s="402"/>
    </row>
    <row r="2419" spans="1:3" x14ac:dyDescent="0.2">
      <c r="A2419" s="402"/>
      <c r="B2419" s="402"/>
      <c r="C2419" s="402"/>
    </row>
    <row r="2420" spans="1:3" x14ac:dyDescent="0.2">
      <c r="A2420" s="402"/>
      <c r="B2420" s="402"/>
      <c r="C2420" s="402"/>
    </row>
    <row r="2421" spans="1:3" x14ac:dyDescent="0.2">
      <c r="A2421" s="402"/>
      <c r="B2421" s="402"/>
      <c r="C2421" s="402"/>
    </row>
    <row r="2422" spans="1:3" x14ac:dyDescent="0.2">
      <c r="A2422" s="402"/>
      <c r="B2422" s="402"/>
      <c r="C2422" s="402"/>
    </row>
    <row r="2423" spans="1:3" x14ac:dyDescent="0.2">
      <c r="A2423" s="402"/>
      <c r="B2423" s="402"/>
      <c r="C2423" s="402"/>
    </row>
    <row r="2424" spans="1:3" x14ac:dyDescent="0.2">
      <c r="A2424" s="402"/>
      <c r="B2424" s="402"/>
      <c r="C2424" s="402"/>
    </row>
    <row r="2425" spans="1:3" x14ac:dyDescent="0.2">
      <c r="A2425" s="402"/>
      <c r="B2425" s="402"/>
      <c r="C2425" s="402"/>
    </row>
    <row r="2426" spans="1:3" x14ac:dyDescent="0.2">
      <c r="A2426" s="402"/>
      <c r="B2426" s="402"/>
      <c r="C2426" s="402"/>
    </row>
    <row r="2427" spans="1:3" x14ac:dyDescent="0.2">
      <c r="A2427" s="402"/>
      <c r="B2427" s="402"/>
      <c r="C2427" s="402"/>
    </row>
    <row r="2428" spans="1:3" x14ac:dyDescent="0.2">
      <c r="A2428" s="402"/>
      <c r="B2428" s="402"/>
      <c r="C2428" s="402"/>
    </row>
    <row r="2429" spans="1:3" x14ac:dyDescent="0.2">
      <c r="A2429" s="402"/>
      <c r="B2429" s="402"/>
      <c r="C2429" s="402"/>
    </row>
    <row r="2430" spans="1:3" x14ac:dyDescent="0.2">
      <c r="A2430" s="402"/>
      <c r="B2430" s="402"/>
      <c r="C2430" s="402"/>
    </row>
    <row r="2431" spans="1:3" x14ac:dyDescent="0.2">
      <c r="A2431" s="402"/>
      <c r="B2431" s="402"/>
      <c r="C2431" s="402"/>
    </row>
    <row r="2432" spans="1:3" x14ac:dyDescent="0.2">
      <c r="A2432" s="402"/>
      <c r="B2432" s="402"/>
      <c r="C2432" s="402"/>
    </row>
    <row r="2433" spans="1:3" x14ac:dyDescent="0.2">
      <c r="A2433" s="402"/>
      <c r="B2433" s="402"/>
      <c r="C2433" s="402"/>
    </row>
    <row r="2434" spans="1:3" x14ac:dyDescent="0.2">
      <c r="A2434" s="402"/>
      <c r="B2434" s="402"/>
      <c r="C2434" s="402"/>
    </row>
    <row r="2435" spans="1:3" x14ac:dyDescent="0.2">
      <c r="A2435" s="402"/>
      <c r="B2435" s="402"/>
      <c r="C2435" s="402"/>
    </row>
    <row r="2436" spans="1:3" x14ac:dyDescent="0.2">
      <c r="A2436" s="402"/>
      <c r="B2436" s="402"/>
      <c r="C2436" s="402"/>
    </row>
    <row r="2437" spans="1:3" x14ac:dyDescent="0.2">
      <c r="A2437" s="402"/>
      <c r="B2437" s="402"/>
      <c r="C2437" s="402"/>
    </row>
    <row r="2438" spans="1:3" x14ac:dyDescent="0.2">
      <c r="A2438" s="402"/>
      <c r="B2438" s="402"/>
      <c r="C2438" s="402"/>
    </row>
    <row r="2439" spans="1:3" x14ac:dyDescent="0.2">
      <c r="A2439" s="402"/>
      <c r="B2439" s="402"/>
      <c r="C2439" s="402"/>
    </row>
    <row r="2440" spans="1:3" x14ac:dyDescent="0.2">
      <c r="A2440" s="402"/>
      <c r="B2440" s="402"/>
      <c r="C2440" s="402"/>
    </row>
    <row r="2441" spans="1:3" x14ac:dyDescent="0.2">
      <c r="A2441" s="402"/>
      <c r="B2441" s="402"/>
      <c r="C2441" s="402"/>
    </row>
    <row r="2442" spans="1:3" x14ac:dyDescent="0.2">
      <c r="A2442" s="402"/>
      <c r="B2442" s="402"/>
      <c r="C2442" s="402"/>
    </row>
    <row r="2443" spans="1:3" x14ac:dyDescent="0.2">
      <c r="A2443" s="402"/>
      <c r="B2443" s="402"/>
      <c r="C2443" s="402"/>
    </row>
    <row r="2444" spans="1:3" x14ac:dyDescent="0.2">
      <c r="A2444" s="402"/>
      <c r="B2444" s="402"/>
      <c r="C2444" s="402"/>
    </row>
    <row r="2445" spans="1:3" x14ac:dyDescent="0.2">
      <c r="A2445" s="402"/>
      <c r="B2445" s="402"/>
      <c r="C2445" s="402"/>
    </row>
    <row r="2446" spans="1:3" x14ac:dyDescent="0.2">
      <c r="A2446" s="402"/>
      <c r="B2446" s="402"/>
      <c r="C2446" s="402"/>
    </row>
    <row r="2447" spans="1:3" x14ac:dyDescent="0.2">
      <c r="A2447" s="402"/>
      <c r="B2447" s="402"/>
      <c r="C2447" s="402"/>
    </row>
    <row r="2448" spans="1:3" x14ac:dyDescent="0.2">
      <c r="A2448" s="402"/>
      <c r="B2448" s="402"/>
      <c r="C2448" s="402"/>
    </row>
    <row r="2449" spans="1:3" x14ac:dyDescent="0.2">
      <c r="A2449" s="402"/>
      <c r="B2449" s="402"/>
      <c r="C2449" s="402"/>
    </row>
    <row r="2450" spans="1:3" x14ac:dyDescent="0.2">
      <c r="A2450" s="402"/>
      <c r="B2450" s="402"/>
      <c r="C2450" s="402"/>
    </row>
    <row r="2451" spans="1:3" x14ac:dyDescent="0.2">
      <c r="A2451" s="402"/>
      <c r="B2451" s="402"/>
      <c r="C2451" s="402"/>
    </row>
    <row r="2452" spans="1:3" x14ac:dyDescent="0.2">
      <c r="A2452" s="402"/>
      <c r="B2452" s="402"/>
      <c r="C2452" s="402"/>
    </row>
    <row r="2453" spans="1:3" x14ac:dyDescent="0.2">
      <c r="A2453" s="402"/>
      <c r="B2453" s="402"/>
      <c r="C2453" s="402"/>
    </row>
    <row r="2454" spans="1:3" x14ac:dyDescent="0.2">
      <c r="A2454" s="402"/>
      <c r="B2454" s="402"/>
      <c r="C2454" s="402"/>
    </row>
    <row r="2455" spans="1:3" x14ac:dyDescent="0.2">
      <c r="A2455" s="402"/>
      <c r="B2455" s="402"/>
      <c r="C2455" s="402"/>
    </row>
    <row r="2456" spans="1:3" x14ac:dyDescent="0.2">
      <c r="A2456" s="402"/>
      <c r="B2456" s="402"/>
      <c r="C2456" s="402"/>
    </row>
    <row r="2457" spans="1:3" x14ac:dyDescent="0.2">
      <c r="A2457" s="402"/>
      <c r="B2457" s="402"/>
      <c r="C2457" s="402"/>
    </row>
    <row r="2458" spans="1:3" x14ac:dyDescent="0.2">
      <c r="A2458" s="402"/>
      <c r="B2458" s="402"/>
      <c r="C2458" s="402"/>
    </row>
    <row r="2459" spans="1:3" x14ac:dyDescent="0.2">
      <c r="A2459" s="402"/>
      <c r="B2459" s="402"/>
      <c r="C2459" s="402"/>
    </row>
    <row r="2460" spans="1:3" x14ac:dyDescent="0.2">
      <c r="A2460" s="402"/>
      <c r="B2460" s="402"/>
      <c r="C2460" s="402"/>
    </row>
    <row r="2461" spans="1:3" x14ac:dyDescent="0.2">
      <c r="A2461" s="402"/>
      <c r="B2461" s="402"/>
      <c r="C2461" s="402"/>
    </row>
    <row r="2462" spans="1:3" x14ac:dyDescent="0.2">
      <c r="A2462" s="402"/>
      <c r="B2462" s="402"/>
      <c r="C2462" s="402"/>
    </row>
    <row r="2463" spans="1:3" x14ac:dyDescent="0.2">
      <c r="A2463" s="402"/>
      <c r="B2463" s="402"/>
      <c r="C2463" s="402"/>
    </row>
    <row r="2464" spans="1:3" x14ac:dyDescent="0.2">
      <c r="A2464" s="402"/>
      <c r="B2464" s="402"/>
      <c r="C2464" s="402"/>
    </row>
    <row r="2465" spans="1:3" x14ac:dyDescent="0.2">
      <c r="A2465" s="402"/>
      <c r="B2465" s="402"/>
      <c r="C2465" s="402"/>
    </row>
    <row r="2466" spans="1:3" x14ac:dyDescent="0.2">
      <c r="A2466" s="402"/>
      <c r="B2466" s="402"/>
      <c r="C2466" s="402"/>
    </row>
    <row r="2467" spans="1:3" x14ac:dyDescent="0.2">
      <c r="A2467" s="402"/>
      <c r="B2467" s="402"/>
      <c r="C2467" s="402"/>
    </row>
    <row r="2468" spans="1:3" x14ac:dyDescent="0.2">
      <c r="A2468" s="402"/>
      <c r="B2468" s="402"/>
      <c r="C2468" s="402"/>
    </row>
    <row r="2469" spans="1:3" x14ac:dyDescent="0.2">
      <c r="A2469" s="402"/>
      <c r="B2469" s="402"/>
      <c r="C2469" s="402"/>
    </row>
    <row r="2470" spans="1:3" x14ac:dyDescent="0.2">
      <c r="A2470" s="402"/>
      <c r="B2470" s="402"/>
      <c r="C2470" s="402"/>
    </row>
    <row r="2471" spans="1:3" x14ac:dyDescent="0.2">
      <c r="A2471" s="402"/>
      <c r="B2471" s="402"/>
      <c r="C2471" s="402"/>
    </row>
    <row r="2472" spans="1:3" x14ac:dyDescent="0.2">
      <c r="A2472" s="402"/>
      <c r="B2472" s="402"/>
      <c r="C2472" s="402"/>
    </row>
    <row r="2473" spans="1:3" x14ac:dyDescent="0.2">
      <c r="A2473" s="402"/>
      <c r="B2473" s="402"/>
      <c r="C2473" s="402"/>
    </row>
    <row r="2474" spans="1:3" x14ac:dyDescent="0.2">
      <c r="A2474" s="402"/>
      <c r="B2474" s="402"/>
      <c r="C2474" s="402"/>
    </row>
    <row r="2475" spans="1:3" x14ac:dyDescent="0.2">
      <c r="A2475" s="402"/>
      <c r="B2475" s="402"/>
      <c r="C2475" s="402"/>
    </row>
    <row r="2476" spans="1:3" x14ac:dyDescent="0.2">
      <c r="A2476" s="402"/>
      <c r="B2476" s="402"/>
      <c r="C2476" s="402"/>
    </row>
    <row r="2477" spans="1:3" x14ac:dyDescent="0.2">
      <c r="A2477" s="402"/>
      <c r="B2477" s="402"/>
      <c r="C2477" s="402"/>
    </row>
    <row r="2478" spans="1:3" x14ac:dyDescent="0.2">
      <c r="A2478" s="402"/>
      <c r="B2478" s="402"/>
      <c r="C2478" s="402"/>
    </row>
    <row r="2479" spans="1:3" x14ac:dyDescent="0.2">
      <c r="A2479" s="402"/>
      <c r="B2479" s="402"/>
      <c r="C2479" s="402"/>
    </row>
    <row r="2480" spans="1:3" x14ac:dyDescent="0.2">
      <c r="A2480" s="402"/>
      <c r="B2480" s="402"/>
      <c r="C2480" s="402"/>
    </row>
    <row r="2481" spans="1:3" x14ac:dyDescent="0.2">
      <c r="A2481" s="402"/>
      <c r="B2481" s="402"/>
      <c r="C2481" s="402"/>
    </row>
    <row r="2482" spans="1:3" x14ac:dyDescent="0.2">
      <c r="A2482" s="402"/>
      <c r="B2482" s="402"/>
      <c r="C2482" s="402"/>
    </row>
    <row r="2483" spans="1:3" x14ac:dyDescent="0.2">
      <c r="A2483" s="402"/>
      <c r="B2483" s="402"/>
      <c r="C2483" s="402"/>
    </row>
    <row r="2484" spans="1:3" x14ac:dyDescent="0.2">
      <c r="A2484" s="402"/>
      <c r="B2484" s="402"/>
      <c r="C2484" s="402"/>
    </row>
    <row r="2485" spans="1:3" x14ac:dyDescent="0.2">
      <c r="A2485" s="402"/>
      <c r="B2485" s="402"/>
      <c r="C2485" s="402"/>
    </row>
    <row r="2486" spans="1:3" x14ac:dyDescent="0.2">
      <c r="A2486" s="402"/>
      <c r="B2486" s="402"/>
      <c r="C2486" s="402"/>
    </row>
    <row r="2487" spans="1:3" x14ac:dyDescent="0.2">
      <c r="A2487" s="402"/>
      <c r="B2487" s="402"/>
      <c r="C2487" s="402"/>
    </row>
    <row r="2488" spans="1:3" x14ac:dyDescent="0.2">
      <c r="A2488" s="402"/>
      <c r="B2488" s="402"/>
      <c r="C2488" s="402"/>
    </row>
    <row r="2489" spans="1:3" x14ac:dyDescent="0.2">
      <c r="A2489" s="402"/>
      <c r="B2489" s="402"/>
      <c r="C2489" s="402"/>
    </row>
    <row r="2490" spans="1:3" x14ac:dyDescent="0.2">
      <c r="A2490" s="402"/>
      <c r="B2490" s="402"/>
      <c r="C2490" s="402"/>
    </row>
    <row r="2491" spans="1:3" x14ac:dyDescent="0.2">
      <c r="A2491" s="402"/>
      <c r="B2491" s="402"/>
      <c r="C2491" s="402"/>
    </row>
    <row r="2492" spans="1:3" x14ac:dyDescent="0.2">
      <c r="A2492" s="402"/>
      <c r="B2492" s="402"/>
      <c r="C2492" s="402"/>
    </row>
    <row r="2493" spans="1:3" x14ac:dyDescent="0.2">
      <c r="A2493" s="402"/>
      <c r="B2493" s="402"/>
      <c r="C2493" s="402"/>
    </row>
    <row r="2494" spans="1:3" x14ac:dyDescent="0.2">
      <c r="A2494" s="402"/>
      <c r="B2494" s="402"/>
      <c r="C2494" s="402"/>
    </row>
    <row r="2495" spans="1:3" x14ac:dyDescent="0.2">
      <c r="A2495" s="402"/>
      <c r="B2495" s="402"/>
      <c r="C2495" s="402"/>
    </row>
    <row r="2496" spans="1:3" x14ac:dyDescent="0.2">
      <c r="A2496" s="402"/>
      <c r="B2496" s="402"/>
      <c r="C2496" s="402"/>
    </row>
    <row r="2497" spans="1:3" x14ac:dyDescent="0.2">
      <c r="A2497" s="402"/>
      <c r="B2497" s="402"/>
      <c r="C2497" s="402"/>
    </row>
    <row r="2498" spans="1:3" x14ac:dyDescent="0.2">
      <c r="A2498" s="402"/>
      <c r="B2498" s="402"/>
      <c r="C2498" s="402"/>
    </row>
    <row r="2499" spans="1:3" x14ac:dyDescent="0.2">
      <c r="A2499" s="402"/>
      <c r="B2499" s="402"/>
      <c r="C2499" s="402"/>
    </row>
    <row r="2500" spans="1:3" x14ac:dyDescent="0.2">
      <c r="A2500" s="402"/>
      <c r="B2500" s="402"/>
      <c r="C2500" s="402"/>
    </row>
    <row r="2501" spans="1:3" x14ac:dyDescent="0.2">
      <c r="A2501" s="402"/>
      <c r="B2501" s="402"/>
      <c r="C2501" s="402"/>
    </row>
    <row r="2502" spans="1:3" x14ac:dyDescent="0.2">
      <c r="A2502" s="402"/>
      <c r="B2502" s="402"/>
      <c r="C2502" s="402"/>
    </row>
    <row r="2503" spans="1:3" x14ac:dyDescent="0.2">
      <c r="A2503" s="402"/>
      <c r="B2503" s="402"/>
      <c r="C2503" s="402"/>
    </row>
    <row r="2504" spans="1:3" x14ac:dyDescent="0.2">
      <c r="A2504" s="402"/>
      <c r="B2504" s="402"/>
      <c r="C2504" s="402"/>
    </row>
    <row r="2505" spans="1:3" x14ac:dyDescent="0.2">
      <c r="A2505" s="402"/>
      <c r="B2505" s="402"/>
      <c r="C2505" s="402"/>
    </row>
    <row r="2506" spans="1:3" x14ac:dyDescent="0.2">
      <c r="A2506" s="402"/>
      <c r="B2506" s="402"/>
      <c r="C2506" s="402"/>
    </row>
    <row r="2507" spans="1:3" x14ac:dyDescent="0.2">
      <c r="A2507" s="402"/>
      <c r="B2507" s="402"/>
      <c r="C2507" s="402"/>
    </row>
    <row r="2508" spans="1:3" x14ac:dyDescent="0.2">
      <c r="A2508" s="402"/>
      <c r="B2508" s="402"/>
      <c r="C2508" s="402"/>
    </row>
    <row r="2509" spans="1:3" x14ac:dyDescent="0.2">
      <c r="A2509" s="402"/>
      <c r="B2509" s="402"/>
      <c r="C2509" s="402"/>
    </row>
    <row r="2510" spans="1:3" x14ac:dyDescent="0.2">
      <c r="A2510" s="402"/>
      <c r="B2510" s="402"/>
      <c r="C2510" s="402"/>
    </row>
    <row r="2511" spans="1:3" x14ac:dyDescent="0.2">
      <c r="A2511" s="402"/>
      <c r="B2511" s="402"/>
      <c r="C2511" s="402"/>
    </row>
    <row r="2512" spans="1:3" x14ac:dyDescent="0.2">
      <c r="A2512" s="402"/>
      <c r="B2512" s="402"/>
      <c r="C2512" s="402"/>
    </row>
    <row r="2513" spans="1:3" x14ac:dyDescent="0.2">
      <c r="A2513" s="402"/>
      <c r="B2513" s="402"/>
      <c r="C2513" s="402"/>
    </row>
    <row r="2514" spans="1:3" x14ac:dyDescent="0.2">
      <c r="A2514" s="402"/>
      <c r="B2514" s="402"/>
      <c r="C2514" s="402"/>
    </row>
    <row r="2515" spans="1:3" x14ac:dyDescent="0.2">
      <c r="A2515" s="402"/>
      <c r="B2515" s="402"/>
      <c r="C2515" s="402"/>
    </row>
    <row r="2516" spans="1:3" x14ac:dyDescent="0.2">
      <c r="A2516" s="402"/>
      <c r="B2516" s="402"/>
      <c r="C2516" s="402"/>
    </row>
    <row r="2517" spans="1:3" x14ac:dyDescent="0.2">
      <c r="A2517" s="402"/>
      <c r="B2517" s="402"/>
      <c r="C2517" s="402"/>
    </row>
    <row r="2518" spans="1:3" x14ac:dyDescent="0.2">
      <c r="A2518" s="402"/>
      <c r="B2518" s="402"/>
      <c r="C2518" s="402"/>
    </row>
    <row r="2519" spans="1:3" x14ac:dyDescent="0.2">
      <c r="A2519" s="402"/>
      <c r="B2519" s="402"/>
      <c r="C2519" s="402"/>
    </row>
    <row r="2520" spans="1:3" x14ac:dyDescent="0.2">
      <c r="A2520" s="402"/>
      <c r="B2520" s="402"/>
      <c r="C2520" s="402"/>
    </row>
    <row r="2521" spans="1:3" x14ac:dyDescent="0.2">
      <c r="A2521" s="402"/>
      <c r="B2521" s="402"/>
      <c r="C2521" s="402"/>
    </row>
    <row r="2522" spans="1:3" x14ac:dyDescent="0.2">
      <c r="A2522" s="402"/>
      <c r="B2522" s="402"/>
      <c r="C2522" s="402"/>
    </row>
    <row r="2523" spans="1:3" x14ac:dyDescent="0.2">
      <c r="A2523" s="402"/>
      <c r="B2523" s="402"/>
      <c r="C2523" s="402"/>
    </row>
    <row r="2524" spans="1:3" x14ac:dyDescent="0.2">
      <c r="A2524" s="402"/>
      <c r="B2524" s="402"/>
      <c r="C2524" s="402"/>
    </row>
    <row r="2525" spans="1:3" x14ac:dyDescent="0.2">
      <c r="A2525" s="402"/>
      <c r="B2525" s="402"/>
      <c r="C2525" s="402"/>
    </row>
    <row r="2526" spans="1:3" x14ac:dyDescent="0.2">
      <c r="A2526" s="402"/>
      <c r="B2526" s="402"/>
      <c r="C2526" s="402"/>
    </row>
    <row r="2527" spans="1:3" x14ac:dyDescent="0.2">
      <c r="A2527" s="402"/>
      <c r="B2527" s="402"/>
      <c r="C2527" s="402"/>
    </row>
    <row r="2528" spans="1:3" x14ac:dyDescent="0.2">
      <c r="A2528" s="402"/>
      <c r="B2528" s="402"/>
      <c r="C2528" s="402"/>
    </row>
    <row r="2529" spans="1:3" x14ac:dyDescent="0.2">
      <c r="A2529" s="402"/>
      <c r="B2529" s="402"/>
      <c r="C2529" s="402"/>
    </row>
    <row r="2530" spans="1:3" x14ac:dyDescent="0.2">
      <c r="A2530" s="402"/>
      <c r="B2530" s="402"/>
      <c r="C2530" s="402"/>
    </row>
    <row r="2531" spans="1:3" x14ac:dyDescent="0.2">
      <c r="A2531" s="402"/>
      <c r="B2531" s="402"/>
      <c r="C2531" s="402"/>
    </row>
    <row r="2532" spans="1:3" x14ac:dyDescent="0.2">
      <c r="A2532" s="402"/>
      <c r="B2532" s="402"/>
      <c r="C2532" s="402"/>
    </row>
    <row r="2533" spans="1:3" x14ac:dyDescent="0.2">
      <c r="A2533" s="402"/>
      <c r="B2533" s="402"/>
      <c r="C2533" s="402"/>
    </row>
    <row r="2534" spans="1:3" x14ac:dyDescent="0.2">
      <c r="A2534" s="402"/>
      <c r="B2534" s="402"/>
      <c r="C2534" s="402"/>
    </row>
    <row r="2535" spans="1:3" x14ac:dyDescent="0.2">
      <c r="A2535" s="402"/>
      <c r="B2535" s="402"/>
      <c r="C2535" s="402"/>
    </row>
    <row r="2536" spans="1:3" x14ac:dyDescent="0.2">
      <c r="A2536" s="402"/>
      <c r="B2536" s="402"/>
      <c r="C2536" s="402"/>
    </row>
    <row r="2537" spans="1:3" x14ac:dyDescent="0.2">
      <c r="A2537" s="402"/>
      <c r="B2537" s="402"/>
      <c r="C2537" s="402"/>
    </row>
    <row r="2538" spans="1:3" x14ac:dyDescent="0.2">
      <c r="A2538" s="402"/>
      <c r="B2538" s="402"/>
      <c r="C2538" s="402"/>
    </row>
    <row r="2539" spans="1:3" x14ac:dyDescent="0.2">
      <c r="A2539" s="402"/>
      <c r="B2539" s="402"/>
      <c r="C2539" s="402"/>
    </row>
    <row r="2540" spans="1:3" x14ac:dyDescent="0.2">
      <c r="A2540" s="402"/>
      <c r="B2540" s="402"/>
      <c r="C2540" s="402"/>
    </row>
    <row r="2541" spans="1:3" x14ac:dyDescent="0.2">
      <c r="A2541" s="402"/>
      <c r="B2541" s="402"/>
      <c r="C2541" s="402"/>
    </row>
    <row r="2542" spans="1:3" x14ac:dyDescent="0.2">
      <c r="A2542" s="402"/>
      <c r="B2542" s="402"/>
      <c r="C2542" s="402"/>
    </row>
    <row r="2543" spans="1:3" x14ac:dyDescent="0.2">
      <c r="A2543" s="402"/>
      <c r="B2543" s="402"/>
      <c r="C2543" s="402"/>
    </row>
    <row r="2544" spans="1:3" x14ac:dyDescent="0.2">
      <c r="A2544" s="402"/>
      <c r="B2544" s="402"/>
      <c r="C2544" s="402"/>
    </row>
    <row r="2545" spans="1:3" x14ac:dyDescent="0.2">
      <c r="A2545" s="402"/>
      <c r="B2545" s="402"/>
      <c r="C2545" s="402"/>
    </row>
    <row r="2546" spans="1:3" x14ac:dyDescent="0.2">
      <c r="A2546" s="402"/>
      <c r="B2546" s="402"/>
      <c r="C2546" s="402"/>
    </row>
    <row r="2547" spans="1:3" x14ac:dyDescent="0.2">
      <c r="A2547" s="402"/>
      <c r="B2547" s="402"/>
      <c r="C2547" s="402"/>
    </row>
    <row r="2548" spans="1:3" x14ac:dyDescent="0.2">
      <c r="A2548" s="402"/>
      <c r="B2548" s="402"/>
      <c r="C2548" s="402"/>
    </row>
    <row r="2549" spans="1:3" x14ac:dyDescent="0.2">
      <c r="A2549" s="402"/>
      <c r="B2549" s="402"/>
      <c r="C2549" s="402"/>
    </row>
    <row r="2550" spans="1:3" x14ac:dyDescent="0.2">
      <c r="A2550" s="402"/>
      <c r="B2550" s="402"/>
      <c r="C2550" s="402"/>
    </row>
    <row r="2551" spans="1:3" x14ac:dyDescent="0.2">
      <c r="A2551" s="402"/>
      <c r="B2551" s="402"/>
      <c r="C2551" s="402"/>
    </row>
    <row r="2552" spans="1:3" x14ac:dyDescent="0.2">
      <c r="A2552" s="402"/>
      <c r="B2552" s="402"/>
      <c r="C2552" s="402"/>
    </row>
    <row r="2553" spans="1:3" x14ac:dyDescent="0.2">
      <c r="A2553" s="402"/>
      <c r="B2553" s="402"/>
      <c r="C2553" s="402"/>
    </row>
    <row r="2554" spans="1:3" x14ac:dyDescent="0.2">
      <c r="A2554" s="402"/>
      <c r="B2554" s="402"/>
      <c r="C2554" s="402"/>
    </row>
    <row r="2555" spans="1:3" x14ac:dyDescent="0.2">
      <c r="A2555" s="402"/>
      <c r="B2555" s="402"/>
      <c r="C2555" s="402"/>
    </row>
    <row r="2556" spans="1:3" x14ac:dyDescent="0.2">
      <c r="A2556" s="402"/>
      <c r="B2556" s="402"/>
      <c r="C2556" s="402"/>
    </row>
    <row r="2557" spans="1:3" x14ac:dyDescent="0.2">
      <c r="A2557" s="402"/>
      <c r="B2557" s="402"/>
      <c r="C2557" s="402"/>
    </row>
    <row r="2558" spans="1:3" x14ac:dyDescent="0.2">
      <c r="A2558" s="402"/>
      <c r="B2558" s="402"/>
      <c r="C2558" s="402"/>
    </row>
    <row r="2559" spans="1:3" x14ac:dyDescent="0.2">
      <c r="A2559" s="402"/>
      <c r="B2559" s="402"/>
      <c r="C2559" s="402"/>
    </row>
    <row r="2560" spans="1:3" x14ac:dyDescent="0.2">
      <c r="A2560" s="402"/>
      <c r="B2560" s="402"/>
      <c r="C2560" s="402"/>
    </row>
    <row r="2561" spans="1:3" x14ac:dyDescent="0.2">
      <c r="A2561" s="402"/>
      <c r="B2561" s="402"/>
      <c r="C2561" s="402"/>
    </row>
    <row r="2562" spans="1:3" x14ac:dyDescent="0.2">
      <c r="A2562" s="402"/>
      <c r="B2562" s="402"/>
      <c r="C2562" s="402"/>
    </row>
    <row r="2563" spans="1:3" x14ac:dyDescent="0.2">
      <c r="A2563" s="402"/>
      <c r="B2563" s="402"/>
      <c r="C2563" s="402"/>
    </row>
    <row r="2564" spans="1:3" x14ac:dyDescent="0.2">
      <c r="A2564" s="402"/>
      <c r="B2564" s="402"/>
      <c r="C2564" s="402"/>
    </row>
    <row r="2565" spans="1:3" x14ac:dyDescent="0.2">
      <c r="A2565" s="402"/>
      <c r="B2565" s="402"/>
      <c r="C2565" s="402"/>
    </row>
    <row r="2566" spans="1:3" x14ac:dyDescent="0.2">
      <c r="A2566" s="402"/>
      <c r="B2566" s="402"/>
      <c r="C2566" s="402"/>
    </row>
    <row r="2567" spans="1:3" x14ac:dyDescent="0.2">
      <c r="A2567" s="402"/>
      <c r="B2567" s="402"/>
      <c r="C2567" s="402"/>
    </row>
    <row r="2568" spans="1:3" x14ac:dyDescent="0.2">
      <c r="A2568" s="402"/>
      <c r="B2568" s="402"/>
      <c r="C2568" s="402"/>
    </row>
    <row r="2569" spans="1:3" x14ac:dyDescent="0.2">
      <c r="A2569" s="402"/>
      <c r="B2569" s="402"/>
      <c r="C2569" s="402"/>
    </row>
    <row r="2570" spans="1:3" x14ac:dyDescent="0.2">
      <c r="A2570" s="402"/>
      <c r="B2570" s="402"/>
      <c r="C2570" s="402"/>
    </row>
    <row r="2571" spans="1:3" x14ac:dyDescent="0.2">
      <c r="A2571" s="402"/>
      <c r="B2571" s="402"/>
      <c r="C2571" s="402"/>
    </row>
    <row r="2572" spans="1:3" x14ac:dyDescent="0.2">
      <c r="A2572" s="402"/>
      <c r="B2572" s="402"/>
      <c r="C2572" s="402"/>
    </row>
    <row r="2573" spans="1:3" x14ac:dyDescent="0.2">
      <c r="A2573" s="402"/>
      <c r="B2573" s="402"/>
      <c r="C2573" s="402"/>
    </row>
    <row r="2574" spans="1:3" x14ac:dyDescent="0.2">
      <c r="A2574" s="402"/>
      <c r="B2574" s="402"/>
      <c r="C2574" s="402"/>
    </row>
    <row r="2575" spans="1:3" x14ac:dyDescent="0.2">
      <c r="A2575" s="402"/>
      <c r="B2575" s="402"/>
      <c r="C2575" s="402"/>
    </row>
    <row r="2576" spans="1:3" x14ac:dyDescent="0.2">
      <c r="A2576" s="402"/>
      <c r="B2576" s="402"/>
      <c r="C2576" s="402"/>
    </row>
    <row r="2577" spans="1:3" x14ac:dyDescent="0.2">
      <c r="A2577" s="402"/>
      <c r="B2577" s="402"/>
      <c r="C2577" s="402"/>
    </row>
    <row r="2578" spans="1:3" x14ac:dyDescent="0.2">
      <c r="A2578" s="402"/>
      <c r="B2578" s="402"/>
      <c r="C2578" s="402"/>
    </row>
    <row r="2579" spans="1:3" x14ac:dyDescent="0.2">
      <c r="A2579" s="402"/>
      <c r="B2579" s="402"/>
      <c r="C2579" s="402"/>
    </row>
    <row r="2580" spans="1:3" x14ac:dyDescent="0.2">
      <c r="A2580" s="402"/>
      <c r="B2580" s="402"/>
      <c r="C2580" s="402"/>
    </row>
    <row r="2581" spans="1:3" x14ac:dyDescent="0.2">
      <c r="A2581" s="402"/>
      <c r="B2581" s="402"/>
      <c r="C2581" s="402"/>
    </row>
    <row r="2582" spans="1:3" x14ac:dyDescent="0.2">
      <c r="A2582" s="402"/>
      <c r="B2582" s="402"/>
      <c r="C2582" s="402"/>
    </row>
    <row r="2583" spans="1:3" x14ac:dyDescent="0.2">
      <c r="A2583" s="402"/>
      <c r="B2583" s="402"/>
      <c r="C2583" s="402"/>
    </row>
    <row r="2584" spans="1:3" x14ac:dyDescent="0.2">
      <c r="A2584" s="402"/>
      <c r="B2584" s="402"/>
      <c r="C2584" s="402"/>
    </row>
    <row r="2585" spans="1:3" x14ac:dyDescent="0.2">
      <c r="A2585" s="402"/>
      <c r="B2585" s="402"/>
      <c r="C2585" s="402"/>
    </row>
    <row r="2586" spans="1:3" x14ac:dyDescent="0.2">
      <c r="A2586" s="402"/>
      <c r="B2586" s="402"/>
      <c r="C2586" s="402"/>
    </row>
    <row r="2587" spans="1:3" x14ac:dyDescent="0.2">
      <c r="A2587" s="402"/>
      <c r="B2587" s="402"/>
      <c r="C2587" s="402"/>
    </row>
    <row r="2588" spans="1:3" x14ac:dyDescent="0.2">
      <c r="A2588" s="402"/>
      <c r="B2588" s="402"/>
      <c r="C2588" s="402"/>
    </row>
    <row r="2589" spans="1:3" x14ac:dyDescent="0.2">
      <c r="A2589" s="402"/>
      <c r="B2589" s="402"/>
      <c r="C2589" s="402"/>
    </row>
    <row r="2590" spans="1:3" x14ac:dyDescent="0.2">
      <c r="A2590" s="402"/>
      <c r="B2590" s="402"/>
      <c r="C2590" s="402"/>
    </row>
    <row r="2591" spans="1:3" x14ac:dyDescent="0.2">
      <c r="A2591" s="402"/>
      <c r="B2591" s="402"/>
      <c r="C2591" s="402"/>
    </row>
    <row r="2592" spans="1:3" x14ac:dyDescent="0.2">
      <c r="A2592" s="402"/>
      <c r="B2592" s="402"/>
      <c r="C2592" s="402"/>
    </row>
    <row r="2593" spans="1:3" x14ac:dyDescent="0.2">
      <c r="A2593" s="402"/>
      <c r="B2593" s="402"/>
      <c r="C2593" s="402"/>
    </row>
    <row r="2594" spans="1:3" x14ac:dyDescent="0.2">
      <c r="A2594" s="402"/>
      <c r="B2594" s="402"/>
      <c r="C2594" s="402"/>
    </row>
    <row r="2595" spans="1:3" x14ac:dyDescent="0.2">
      <c r="A2595" s="402"/>
      <c r="B2595" s="402"/>
      <c r="C2595" s="402"/>
    </row>
    <row r="2596" spans="1:3" x14ac:dyDescent="0.2">
      <c r="A2596" s="402"/>
      <c r="B2596" s="402"/>
      <c r="C2596" s="402"/>
    </row>
    <row r="2597" spans="1:3" x14ac:dyDescent="0.2">
      <c r="A2597" s="402"/>
      <c r="B2597" s="402"/>
      <c r="C2597" s="402"/>
    </row>
    <row r="2598" spans="1:3" x14ac:dyDescent="0.2">
      <c r="A2598" s="402"/>
      <c r="B2598" s="402"/>
      <c r="C2598" s="402"/>
    </row>
    <row r="2599" spans="1:3" x14ac:dyDescent="0.2">
      <c r="A2599" s="402"/>
      <c r="B2599" s="402"/>
      <c r="C2599" s="402"/>
    </row>
    <row r="2600" spans="1:3" x14ac:dyDescent="0.2">
      <c r="A2600" s="402"/>
      <c r="B2600" s="402"/>
      <c r="C2600" s="402"/>
    </row>
    <row r="2601" spans="1:3" x14ac:dyDescent="0.2">
      <c r="A2601" s="402"/>
      <c r="B2601" s="402"/>
      <c r="C2601" s="402"/>
    </row>
    <row r="2602" spans="1:3" x14ac:dyDescent="0.2">
      <c r="A2602" s="402"/>
      <c r="B2602" s="402"/>
      <c r="C2602" s="402"/>
    </row>
    <row r="2603" spans="1:3" x14ac:dyDescent="0.2">
      <c r="A2603" s="402"/>
      <c r="B2603" s="402"/>
      <c r="C2603" s="402"/>
    </row>
    <row r="2604" spans="1:3" x14ac:dyDescent="0.2">
      <c r="A2604" s="402"/>
      <c r="B2604" s="402"/>
      <c r="C2604" s="402"/>
    </row>
    <row r="2605" spans="1:3" x14ac:dyDescent="0.2">
      <c r="A2605" s="402"/>
      <c r="B2605" s="402"/>
      <c r="C2605" s="402"/>
    </row>
    <row r="2606" spans="1:3" x14ac:dyDescent="0.2">
      <c r="A2606" s="402"/>
      <c r="B2606" s="402"/>
      <c r="C2606" s="402"/>
    </row>
    <row r="2607" spans="1:3" x14ac:dyDescent="0.2">
      <c r="A2607" s="402"/>
      <c r="B2607" s="402"/>
      <c r="C2607" s="402"/>
    </row>
    <row r="2608" spans="1:3" x14ac:dyDescent="0.2">
      <c r="A2608" s="402"/>
      <c r="B2608" s="402"/>
      <c r="C2608" s="402"/>
    </row>
    <row r="2609" spans="1:3" x14ac:dyDescent="0.2">
      <c r="A2609" s="402"/>
      <c r="B2609" s="402"/>
      <c r="C2609" s="402"/>
    </row>
    <row r="2610" spans="1:3" x14ac:dyDescent="0.2">
      <c r="A2610" s="402"/>
      <c r="B2610" s="402"/>
      <c r="C2610" s="402"/>
    </row>
    <row r="2611" spans="1:3" x14ac:dyDescent="0.2">
      <c r="A2611" s="402"/>
      <c r="B2611" s="402"/>
      <c r="C2611" s="402"/>
    </row>
    <row r="2612" spans="1:3" x14ac:dyDescent="0.2">
      <c r="A2612" s="402"/>
      <c r="B2612" s="402"/>
      <c r="C2612" s="402"/>
    </row>
    <row r="2613" spans="1:3" x14ac:dyDescent="0.2">
      <c r="A2613" s="402"/>
      <c r="B2613" s="402"/>
      <c r="C2613" s="402"/>
    </row>
    <row r="2614" spans="1:3" x14ac:dyDescent="0.2">
      <c r="A2614" s="402"/>
      <c r="B2614" s="402"/>
      <c r="C2614" s="402"/>
    </row>
    <row r="2615" spans="1:3" x14ac:dyDescent="0.2">
      <c r="A2615" s="402"/>
      <c r="B2615" s="402"/>
      <c r="C2615" s="402"/>
    </row>
    <row r="2616" spans="1:3" x14ac:dyDescent="0.2">
      <c r="A2616" s="402"/>
      <c r="B2616" s="402"/>
      <c r="C2616" s="402"/>
    </row>
    <row r="2617" spans="1:3" x14ac:dyDescent="0.2">
      <c r="A2617" s="402"/>
      <c r="B2617" s="402"/>
      <c r="C2617" s="402"/>
    </row>
    <row r="2618" spans="1:3" x14ac:dyDescent="0.2">
      <c r="A2618" s="402"/>
      <c r="B2618" s="402"/>
      <c r="C2618" s="402"/>
    </row>
    <row r="2619" spans="1:3" x14ac:dyDescent="0.2">
      <c r="A2619" s="402"/>
      <c r="B2619" s="402"/>
      <c r="C2619" s="402"/>
    </row>
    <row r="2620" spans="1:3" x14ac:dyDescent="0.2">
      <c r="A2620" s="402"/>
      <c r="B2620" s="402"/>
      <c r="C2620" s="402"/>
    </row>
    <row r="2621" spans="1:3" x14ac:dyDescent="0.2">
      <c r="A2621" s="402"/>
      <c r="B2621" s="402"/>
      <c r="C2621" s="402"/>
    </row>
    <row r="2622" spans="1:3" x14ac:dyDescent="0.2">
      <c r="A2622" s="402"/>
      <c r="B2622" s="402"/>
      <c r="C2622" s="402"/>
    </row>
    <row r="2623" spans="1:3" x14ac:dyDescent="0.2">
      <c r="A2623" s="402"/>
      <c r="B2623" s="402"/>
      <c r="C2623" s="402"/>
    </row>
    <row r="2624" spans="1:3" x14ac:dyDescent="0.2">
      <c r="A2624" s="402"/>
      <c r="B2624" s="402"/>
      <c r="C2624" s="402"/>
    </row>
    <row r="2625" spans="1:3" x14ac:dyDescent="0.2">
      <c r="A2625" s="402"/>
      <c r="B2625" s="402"/>
      <c r="C2625" s="402"/>
    </row>
    <row r="2626" spans="1:3" x14ac:dyDescent="0.2">
      <c r="A2626" s="402"/>
      <c r="B2626" s="402"/>
      <c r="C2626" s="402"/>
    </row>
    <row r="2627" spans="1:3" x14ac:dyDescent="0.2">
      <c r="A2627" s="402"/>
      <c r="B2627" s="402"/>
      <c r="C2627" s="402"/>
    </row>
    <row r="2628" spans="1:3" x14ac:dyDescent="0.2">
      <c r="A2628" s="402"/>
      <c r="B2628" s="402"/>
      <c r="C2628" s="402"/>
    </row>
    <row r="2629" spans="1:3" x14ac:dyDescent="0.2">
      <c r="A2629" s="402"/>
      <c r="B2629" s="402"/>
      <c r="C2629" s="402"/>
    </row>
    <row r="2630" spans="1:3" x14ac:dyDescent="0.2">
      <c r="A2630" s="402"/>
      <c r="B2630" s="402"/>
      <c r="C2630" s="402"/>
    </row>
    <row r="2631" spans="1:3" x14ac:dyDescent="0.2">
      <c r="A2631" s="402"/>
      <c r="B2631" s="402"/>
      <c r="C2631" s="402"/>
    </row>
    <row r="2632" spans="1:3" x14ac:dyDescent="0.2">
      <c r="A2632" s="402"/>
      <c r="B2632" s="402"/>
      <c r="C2632" s="402"/>
    </row>
    <row r="2633" spans="1:3" x14ac:dyDescent="0.2">
      <c r="A2633" s="402"/>
      <c r="B2633" s="402"/>
      <c r="C2633" s="402"/>
    </row>
    <row r="2634" spans="1:3" x14ac:dyDescent="0.2">
      <c r="A2634" s="402"/>
      <c r="B2634" s="402"/>
      <c r="C2634" s="402"/>
    </row>
    <row r="2635" spans="1:3" x14ac:dyDescent="0.2">
      <c r="A2635" s="402"/>
      <c r="B2635" s="402"/>
      <c r="C2635" s="402"/>
    </row>
    <row r="2636" spans="1:3" x14ac:dyDescent="0.2">
      <c r="A2636" s="402"/>
      <c r="B2636" s="402"/>
      <c r="C2636" s="402"/>
    </row>
    <row r="2637" spans="1:3" x14ac:dyDescent="0.2">
      <c r="A2637" s="402"/>
      <c r="B2637" s="402"/>
      <c r="C2637" s="402"/>
    </row>
    <row r="2638" spans="1:3" x14ac:dyDescent="0.2">
      <c r="A2638" s="402"/>
      <c r="B2638" s="402"/>
      <c r="C2638" s="402"/>
    </row>
    <row r="2639" spans="1:3" x14ac:dyDescent="0.2">
      <c r="A2639" s="402"/>
      <c r="B2639" s="402"/>
      <c r="C2639" s="402"/>
    </row>
    <row r="2640" spans="1:3" x14ac:dyDescent="0.2">
      <c r="A2640" s="402"/>
      <c r="B2640" s="402"/>
      <c r="C2640" s="402"/>
    </row>
    <row r="2641" spans="1:3" x14ac:dyDescent="0.2">
      <c r="A2641" s="402"/>
      <c r="B2641" s="402"/>
      <c r="C2641" s="402"/>
    </row>
    <row r="2642" spans="1:3" x14ac:dyDescent="0.2">
      <c r="A2642" s="402"/>
      <c r="B2642" s="402"/>
      <c r="C2642" s="402"/>
    </row>
    <row r="2643" spans="1:3" x14ac:dyDescent="0.2">
      <c r="A2643" s="402"/>
      <c r="B2643" s="402"/>
      <c r="C2643" s="402"/>
    </row>
    <row r="2644" spans="1:3" x14ac:dyDescent="0.2">
      <c r="A2644" s="402"/>
      <c r="B2644" s="402"/>
      <c r="C2644" s="402"/>
    </row>
    <row r="2645" spans="1:3" x14ac:dyDescent="0.2">
      <c r="A2645" s="402"/>
      <c r="B2645" s="402"/>
      <c r="C2645" s="402"/>
    </row>
    <row r="2646" spans="1:3" x14ac:dyDescent="0.2">
      <c r="A2646" s="402"/>
      <c r="B2646" s="402"/>
      <c r="C2646" s="402"/>
    </row>
    <row r="2647" spans="1:3" x14ac:dyDescent="0.2">
      <c r="A2647" s="402"/>
      <c r="B2647" s="402"/>
      <c r="C2647" s="402"/>
    </row>
    <row r="2648" spans="1:3" x14ac:dyDescent="0.2">
      <c r="A2648" s="402"/>
      <c r="B2648" s="402"/>
      <c r="C2648" s="402"/>
    </row>
    <row r="2649" spans="1:3" x14ac:dyDescent="0.2">
      <c r="A2649" s="402"/>
      <c r="B2649" s="402"/>
      <c r="C2649" s="402"/>
    </row>
    <row r="2650" spans="1:3" x14ac:dyDescent="0.2">
      <c r="A2650" s="402"/>
      <c r="B2650" s="402"/>
      <c r="C2650" s="402"/>
    </row>
    <row r="2651" spans="1:3" x14ac:dyDescent="0.2">
      <c r="A2651" s="402"/>
      <c r="B2651" s="402"/>
      <c r="C2651" s="402"/>
    </row>
    <row r="2652" spans="1:3" x14ac:dyDescent="0.2">
      <c r="A2652" s="402"/>
      <c r="B2652" s="402"/>
      <c r="C2652" s="402"/>
    </row>
    <row r="2653" spans="1:3" x14ac:dyDescent="0.2">
      <c r="A2653" s="402"/>
      <c r="B2653" s="402"/>
      <c r="C2653" s="402"/>
    </row>
    <row r="2654" spans="1:3" x14ac:dyDescent="0.2">
      <c r="A2654" s="402"/>
      <c r="B2654" s="402"/>
      <c r="C2654" s="402"/>
    </row>
    <row r="2655" spans="1:3" x14ac:dyDescent="0.2">
      <c r="A2655" s="402"/>
      <c r="B2655" s="402"/>
      <c r="C2655" s="402"/>
    </row>
    <row r="2656" spans="1:3" x14ac:dyDescent="0.2">
      <c r="A2656" s="402"/>
      <c r="B2656" s="402"/>
      <c r="C2656" s="402"/>
    </row>
    <row r="2657" spans="1:3" x14ac:dyDescent="0.2">
      <c r="A2657" s="402"/>
      <c r="B2657" s="402"/>
      <c r="C2657" s="402"/>
    </row>
    <row r="2658" spans="1:3" x14ac:dyDescent="0.2">
      <c r="A2658" s="402"/>
      <c r="B2658" s="402"/>
      <c r="C2658" s="402"/>
    </row>
    <row r="2659" spans="1:3" x14ac:dyDescent="0.2">
      <c r="A2659" s="402"/>
      <c r="B2659" s="402"/>
      <c r="C2659" s="402"/>
    </row>
    <row r="2660" spans="1:3" x14ac:dyDescent="0.2">
      <c r="A2660" s="402"/>
      <c r="B2660" s="402"/>
      <c r="C2660" s="402"/>
    </row>
    <row r="2661" spans="1:3" x14ac:dyDescent="0.2">
      <c r="A2661" s="402"/>
      <c r="B2661" s="402"/>
      <c r="C2661" s="402"/>
    </row>
    <row r="2662" spans="1:3" x14ac:dyDescent="0.2">
      <c r="A2662" s="402"/>
      <c r="B2662" s="402"/>
      <c r="C2662" s="402"/>
    </row>
    <row r="2663" spans="1:3" x14ac:dyDescent="0.2">
      <c r="A2663" s="402"/>
      <c r="B2663" s="402"/>
      <c r="C2663" s="402"/>
    </row>
    <row r="2664" spans="1:3" x14ac:dyDescent="0.2">
      <c r="A2664" s="402"/>
      <c r="B2664" s="402"/>
      <c r="C2664" s="402"/>
    </row>
    <row r="2665" spans="1:3" x14ac:dyDescent="0.2">
      <c r="A2665" s="402"/>
      <c r="B2665" s="402"/>
      <c r="C2665" s="402"/>
    </row>
    <row r="2666" spans="1:3" x14ac:dyDescent="0.2">
      <c r="A2666" s="402"/>
      <c r="B2666" s="402"/>
      <c r="C2666" s="402"/>
    </row>
    <row r="2667" spans="1:3" x14ac:dyDescent="0.2">
      <c r="A2667" s="402"/>
      <c r="B2667" s="402"/>
      <c r="C2667" s="402"/>
    </row>
    <row r="2668" spans="1:3" x14ac:dyDescent="0.2">
      <c r="A2668" s="402"/>
      <c r="B2668" s="402"/>
      <c r="C2668" s="402"/>
    </row>
    <row r="2669" spans="1:3" x14ac:dyDescent="0.2">
      <c r="A2669" s="402"/>
      <c r="B2669" s="402"/>
      <c r="C2669" s="402"/>
    </row>
    <row r="2670" spans="1:3" x14ac:dyDescent="0.2">
      <c r="A2670" s="402"/>
      <c r="B2670" s="402"/>
      <c r="C2670" s="402"/>
    </row>
    <row r="2671" spans="1:3" x14ac:dyDescent="0.2">
      <c r="A2671" s="402"/>
      <c r="B2671" s="402"/>
      <c r="C2671" s="402"/>
    </row>
    <row r="2672" spans="1:3" x14ac:dyDescent="0.2">
      <c r="A2672" s="402"/>
      <c r="B2672" s="402"/>
      <c r="C2672" s="402"/>
    </row>
    <row r="2673" spans="1:3" x14ac:dyDescent="0.2">
      <c r="A2673" s="402"/>
      <c r="B2673" s="402"/>
      <c r="C2673" s="402"/>
    </row>
    <row r="2674" spans="1:3" x14ac:dyDescent="0.2">
      <c r="A2674" s="402"/>
      <c r="B2674" s="402"/>
      <c r="C2674" s="402"/>
    </row>
    <row r="2675" spans="1:3" x14ac:dyDescent="0.2">
      <c r="A2675" s="402"/>
      <c r="B2675" s="402"/>
      <c r="C2675" s="402"/>
    </row>
    <row r="2676" spans="1:3" x14ac:dyDescent="0.2">
      <c r="A2676" s="402"/>
      <c r="B2676" s="402"/>
      <c r="C2676" s="402"/>
    </row>
    <row r="2677" spans="1:3" x14ac:dyDescent="0.2">
      <c r="A2677" s="402"/>
      <c r="B2677" s="402"/>
      <c r="C2677" s="402"/>
    </row>
    <row r="2678" spans="1:3" x14ac:dyDescent="0.2">
      <c r="A2678" s="402"/>
      <c r="B2678" s="402"/>
      <c r="C2678" s="402"/>
    </row>
    <row r="2679" spans="1:3" x14ac:dyDescent="0.2">
      <c r="A2679" s="402"/>
      <c r="B2679" s="402"/>
      <c r="C2679" s="402"/>
    </row>
    <row r="2680" spans="1:3" x14ac:dyDescent="0.2">
      <c r="A2680" s="402"/>
      <c r="B2680" s="402"/>
      <c r="C2680" s="402"/>
    </row>
    <row r="2681" spans="1:3" x14ac:dyDescent="0.2">
      <c r="A2681" s="402"/>
      <c r="B2681" s="402"/>
      <c r="C2681" s="402"/>
    </row>
    <row r="2682" spans="1:3" x14ac:dyDescent="0.2">
      <c r="A2682" s="402"/>
      <c r="B2682" s="402"/>
      <c r="C2682" s="402"/>
    </row>
    <row r="2683" spans="1:3" x14ac:dyDescent="0.2">
      <c r="A2683" s="402"/>
      <c r="B2683" s="402"/>
      <c r="C2683" s="402"/>
    </row>
    <row r="2684" spans="1:3" x14ac:dyDescent="0.2">
      <c r="A2684" s="402"/>
      <c r="B2684" s="402"/>
      <c r="C2684" s="402"/>
    </row>
    <row r="2685" spans="1:3" x14ac:dyDescent="0.2">
      <c r="A2685" s="402"/>
      <c r="B2685" s="402"/>
      <c r="C2685" s="402"/>
    </row>
    <row r="2686" spans="1:3" x14ac:dyDescent="0.2">
      <c r="A2686" s="402"/>
      <c r="B2686" s="402"/>
      <c r="C2686" s="402"/>
    </row>
    <row r="2687" spans="1:3" x14ac:dyDescent="0.2">
      <c r="A2687" s="402"/>
      <c r="B2687" s="402"/>
      <c r="C2687" s="402"/>
    </row>
    <row r="2688" spans="1:3" x14ac:dyDescent="0.2">
      <c r="A2688" s="402"/>
      <c r="B2688" s="402"/>
      <c r="C2688" s="402"/>
    </row>
    <row r="2689" spans="1:3" x14ac:dyDescent="0.2">
      <c r="A2689" s="402"/>
      <c r="B2689" s="402"/>
      <c r="C2689" s="402"/>
    </row>
    <row r="2690" spans="1:3" x14ac:dyDescent="0.2">
      <c r="A2690" s="402"/>
      <c r="B2690" s="402"/>
      <c r="C2690" s="402"/>
    </row>
    <row r="2691" spans="1:3" x14ac:dyDescent="0.2">
      <c r="A2691" s="402"/>
      <c r="B2691" s="402"/>
      <c r="C2691" s="402"/>
    </row>
    <row r="2692" spans="1:3" x14ac:dyDescent="0.2">
      <c r="A2692" s="402"/>
      <c r="B2692" s="402"/>
      <c r="C2692" s="402"/>
    </row>
    <row r="2693" spans="1:3" x14ac:dyDescent="0.2">
      <c r="A2693" s="402"/>
      <c r="B2693" s="402"/>
      <c r="C2693" s="402"/>
    </row>
    <row r="2694" spans="1:3" x14ac:dyDescent="0.2">
      <c r="A2694" s="402"/>
      <c r="B2694" s="402"/>
      <c r="C2694" s="402"/>
    </row>
    <row r="2695" spans="1:3" x14ac:dyDescent="0.2">
      <c r="A2695" s="402"/>
      <c r="B2695" s="402"/>
      <c r="C2695" s="402"/>
    </row>
    <row r="2696" spans="1:3" x14ac:dyDescent="0.2">
      <c r="A2696" s="402"/>
      <c r="B2696" s="402"/>
      <c r="C2696" s="402"/>
    </row>
    <row r="2697" spans="1:3" x14ac:dyDescent="0.2">
      <c r="A2697" s="402"/>
      <c r="B2697" s="402"/>
      <c r="C2697" s="402"/>
    </row>
    <row r="2698" spans="1:3" x14ac:dyDescent="0.2">
      <c r="A2698" s="402"/>
      <c r="B2698" s="402"/>
      <c r="C2698" s="402"/>
    </row>
    <row r="2699" spans="1:3" x14ac:dyDescent="0.2">
      <c r="A2699" s="402"/>
      <c r="B2699" s="402"/>
      <c r="C2699" s="402"/>
    </row>
    <row r="2700" spans="1:3" x14ac:dyDescent="0.2">
      <c r="A2700" s="402"/>
      <c r="B2700" s="402"/>
      <c r="C2700" s="402"/>
    </row>
    <row r="2701" spans="1:3" x14ac:dyDescent="0.2">
      <c r="A2701" s="402"/>
      <c r="B2701" s="402"/>
      <c r="C2701" s="402"/>
    </row>
    <row r="2702" spans="1:3" x14ac:dyDescent="0.2">
      <c r="A2702" s="402"/>
      <c r="B2702" s="402"/>
      <c r="C2702" s="402"/>
    </row>
    <row r="2703" spans="1:3" x14ac:dyDescent="0.2">
      <c r="A2703" s="402"/>
      <c r="B2703" s="402"/>
      <c r="C2703" s="402"/>
    </row>
    <row r="2704" spans="1:3" x14ac:dyDescent="0.2">
      <c r="A2704" s="402"/>
      <c r="B2704" s="402"/>
      <c r="C2704" s="402"/>
    </row>
    <row r="2705" spans="1:3" x14ac:dyDescent="0.2">
      <c r="A2705" s="402"/>
      <c r="B2705" s="402"/>
      <c r="C2705" s="402"/>
    </row>
    <row r="2706" spans="1:3" x14ac:dyDescent="0.2">
      <c r="A2706" s="402"/>
      <c r="B2706" s="402"/>
      <c r="C2706" s="402"/>
    </row>
    <row r="2707" spans="1:3" x14ac:dyDescent="0.2">
      <c r="A2707" s="402"/>
      <c r="B2707" s="402"/>
      <c r="C2707" s="402"/>
    </row>
    <row r="2708" spans="1:3" x14ac:dyDescent="0.2">
      <c r="A2708" s="402"/>
      <c r="B2708" s="402"/>
      <c r="C2708" s="402"/>
    </row>
    <row r="2709" spans="1:3" x14ac:dyDescent="0.2">
      <c r="A2709" s="402"/>
      <c r="B2709" s="402"/>
      <c r="C2709" s="402"/>
    </row>
    <row r="2710" spans="1:3" x14ac:dyDescent="0.2">
      <c r="A2710" s="402"/>
      <c r="B2710" s="402"/>
      <c r="C2710" s="402"/>
    </row>
    <row r="2711" spans="1:3" x14ac:dyDescent="0.2">
      <c r="A2711" s="402"/>
      <c r="B2711" s="402"/>
      <c r="C2711" s="402"/>
    </row>
    <row r="2712" spans="1:3" x14ac:dyDescent="0.2">
      <c r="A2712" s="402"/>
      <c r="B2712" s="402"/>
      <c r="C2712" s="402"/>
    </row>
    <row r="2713" spans="1:3" x14ac:dyDescent="0.2">
      <c r="A2713" s="402"/>
      <c r="B2713" s="402"/>
      <c r="C2713" s="402"/>
    </row>
    <row r="2714" spans="1:3" x14ac:dyDescent="0.2">
      <c r="A2714" s="402"/>
      <c r="B2714" s="402"/>
      <c r="C2714" s="402"/>
    </row>
    <row r="2715" spans="1:3" x14ac:dyDescent="0.2">
      <c r="A2715" s="402"/>
      <c r="B2715" s="402"/>
      <c r="C2715" s="402"/>
    </row>
    <row r="2716" spans="1:3" x14ac:dyDescent="0.2">
      <c r="A2716" s="402"/>
      <c r="B2716" s="402"/>
      <c r="C2716" s="402"/>
    </row>
    <row r="2717" spans="1:3" x14ac:dyDescent="0.2">
      <c r="A2717" s="402"/>
      <c r="B2717" s="402"/>
      <c r="C2717" s="402"/>
    </row>
    <row r="2718" spans="1:3" x14ac:dyDescent="0.2">
      <c r="A2718" s="402"/>
      <c r="B2718" s="402"/>
      <c r="C2718" s="402"/>
    </row>
    <row r="2719" spans="1:3" x14ac:dyDescent="0.2">
      <c r="A2719" s="402"/>
      <c r="B2719" s="402"/>
      <c r="C2719" s="402"/>
    </row>
    <row r="2720" spans="1:3" x14ac:dyDescent="0.2">
      <c r="A2720" s="402"/>
      <c r="B2720" s="402"/>
      <c r="C2720" s="402"/>
    </row>
    <row r="2721" spans="1:3" x14ac:dyDescent="0.2">
      <c r="A2721" s="402"/>
      <c r="B2721" s="402"/>
      <c r="C2721" s="402"/>
    </row>
    <row r="2722" spans="1:3" x14ac:dyDescent="0.2">
      <c r="A2722" s="402"/>
      <c r="B2722" s="402"/>
      <c r="C2722" s="402"/>
    </row>
    <row r="2723" spans="1:3" x14ac:dyDescent="0.2">
      <c r="A2723" s="402"/>
      <c r="B2723" s="402"/>
      <c r="C2723" s="402"/>
    </row>
    <row r="2724" spans="1:3" x14ac:dyDescent="0.2">
      <c r="A2724" s="402"/>
      <c r="B2724" s="402"/>
      <c r="C2724" s="402"/>
    </row>
    <row r="2725" spans="1:3" x14ac:dyDescent="0.2">
      <c r="A2725" s="402"/>
      <c r="B2725" s="402"/>
      <c r="C2725" s="402"/>
    </row>
    <row r="2726" spans="1:3" x14ac:dyDescent="0.2">
      <c r="A2726" s="402"/>
      <c r="B2726" s="402"/>
      <c r="C2726" s="402"/>
    </row>
    <row r="2727" spans="1:3" x14ac:dyDescent="0.2">
      <c r="A2727" s="402"/>
      <c r="B2727" s="402"/>
      <c r="C2727" s="402"/>
    </row>
    <row r="2728" spans="1:3" x14ac:dyDescent="0.2">
      <c r="A2728" s="402"/>
      <c r="B2728" s="402"/>
      <c r="C2728" s="402"/>
    </row>
    <row r="2729" spans="1:3" x14ac:dyDescent="0.2">
      <c r="A2729" s="402"/>
      <c r="B2729" s="402"/>
      <c r="C2729" s="402"/>
    </row>
    <row r="2730" spans="1:3" x14ac:dyDescent="0.2">
      <c r="A2730" s="402"/>
      <c r="B2730" s="402"/>
      <c r="C2730" s="402"/>
    </row>
    <row r="2731" spans="1:3" x14ac:dyDescent="0.2">
      <c r="A2731" s="402"/>
      <c r="B2731" s="402"/>
      <c r="C2731" s="402"/>
    </row>
    <row r="2732" spans="1:3" x14ac:dyDescent="0.2">
      <c r="A2732" s="402"/>
      <c r="B2732" s="402"/>
      <c r="C2732" s="402"/>
    </row>
    <row r="2733" spans="1:3" x14ac:dyDescent="0.2">
      <c r="A2733" s="402"/>
      <c r="B2733" s="402"/>
      <c r="C2733" s="402"/>
    </row>
    <row r="2734" spans="1:3" x14ac:dyDescent="0.2">
      <c r="A2734" s="402"/>
      <c r="B2734" s="402"/>
      <c r="C2734" s="402"/>
    </row>
    <row r="2735" spans="1:3" x14ac:dyDescent="0.2">
      <c r="A2735" s="402"/>
      <c r="B2735" s="402"/>
      <c r="C2735" s="402"/>
    </row>
    <row r="2736" spans="1:3" x14ac:dyDescent="0.2">
      <c r="A2736" s="402"/>
      <c r="B2736" s="402"/>
      <c r="C2736" s="402"/>
    </row>
    <row r="2737" spans="1:3" x14ac:dyDescent="0.2">
      <c r="A2737" s="402"/>
      <c r="B2737" s="402"/>
      <c r="C2737" s="402"/>
    </row>
    <row r="2738" spans="1:3" x14ac:dyDescent="0.2">
      <c r="A2738" s="402"/>
      <c r="B2738" s="402"/>
      <c r="C2738" s="402"/>
    </row>
    <row r="2739" spans="1:3" x14ac:dyDescent="0.2">
      <c r="A2739" s="402"/>
      <c r="B2739" s="402"/>
      <c r="C2739" s="402"/>
    </row>
    <row r="2740" spans="1:3" x14ac:dyDescent="0.2">
      <c r="A2740" s="402"/>
      <c r="B2740" s="402"/>
      <c r="C2740" s="402"/>
    </row>
    <row r="2741" spans="1:3" x14ac:dyDescent="0.2">
      <c r="A2741" s="402"/>
      <c r="B2741" s="402"/>
      <c r="C2741" s="402"/>
    </row>
    <row r="2742" spans="1:3" x14ac:dyDescent="0.2">
      <c r="A2742" s="402"/>
      <c r="B2742" s="402"/>
      <c r="C2742" s="402"/>
    </row>
    <row r="2743" spans="1:3" x14ac:dyDescent="0.2">
      <c r="A2743" s="402"/>
      <c r="B2743" s="402"/>
      <c r="C2743" s="402"/>
    </row>
    <row r="2744" spans="1:3" x14ac:dyDescent="0.2">
      <c r="A2744" s="402"/>
      <c r="B2744" s="402"/>
      <c r="C2744" s="402"/>
    </row>
    <row r="2745" spans="1:3" x14ac:dyDescent="0.2">
      <c r="A2745" s="402"/>
      <c r="B2745" s="402"/>
      <c r="C2745" s="402"/>
    </row>
    <row r="2746" spans="1:3" x14ac:dyDescent="0.2">
      <c r="A2746" s="402"/>
      <c r="B2746" s="402"/>
      <c r="C2746" s="402"/>
    </row>
    <row r="2747" spans="1:3" x14ac:dyDescent="0.2">
      <c r="A2747" s="402"/>
      <c r="B2747" s="402"/>
      <c r="C2747" s="402"/>
    </row>
    <row r="2748" spans="1:3" x14ac:dyDescent="0.2">
      <c r="A2748" s="402"/>
      <c r="B2748" s="402"/>
      <c r="C2748" s="402"/>
    </row>
    <row r="2749" spans="1:3" x14ac:dyDescent="0.2">
      <c r="A2749" s="402"/>
      <c r="B2749" s="402"/>
      <c r="C2749" s="402"/>
    </row>
    <row r="2750" spans="1:3" x14ac:dyDescent="0.2">
      <c r="A2750" s="402"/>
      <c r="B2750" s="402"/>
      <c r="C2750" s="402"/>
    </row>
    <row r="2751" spans="1:3" x14ac:dyDescent="0.2">
      <c r="A2751" s="402"/>
      <c r="B2751" s="402"/>
      <c r="C2751" s="402"/>
    </row>
    <row r="2752" spans="1:3" x14ac:dyDescent="0.2">
      <c r="A2752" s="402"/>
      <c r="B2752" s="402"/>
      <c r="C2752" s="402"/>
    </row>
    <row r="2753" spans="1:3" x14ac:dyDescent="0.2">
      <c r="A2753" s="402"/>
      <c r="B2753" s="402"/>
      <c r="C2753" s="402"/>
    </row>
    <row r="2754" spans="1:3" x14ac:dyDescent="0.2">
      <c r="A2754" s="402"/>
      <c r="B2754" s="402"/>
      <c r="C2754" s="402"/>
    </row>
    <row r="2755" spans="1:3" x14ac:dyDescent="0.2">
      <c r="A2755" s="402"/>
      <c r="B2755" s="402"/>
      <c r="C2755" s="402"/>
    </row>
    <row r="2756" spans="1:3" x14ac:dyDescent="0.2">
      <c r="A2756" s="402"/>
      <c r="B2756" s="402"/>
      <c r="C2756" s="402"/>
    </row>
    <row r="2757" spans="1:3" x14ac:dyDescent="0.2">
      <c r="A2757" s="402"/>
      <c r="B2757" s="402"/>
      <c r="C2757" s="402"/>
    </row>
    <row r="2758" spans="1:3" x14ac:dyDescent="0.2">
      <c r="A2758" s="402"/>
      <c r="B2758" s="402"/>
      <c r="C2758" s="402"/>
    </row>
    <row r="2759" spans="1:3" x14ac:dyDescent="0.2">
      <c r="A2759" s="402"/>
      <c r="B2759" s="402"/>
      <c r="C2759" s="402"/>
    </row>
    <row r="2760" spans="1:3" x14ac:dyDescent="0.2">
      <c r="A2760" s="402"/>
      <c r="B2760" s="402"/>
      <c r="C2760" s="402"/>
    </row>
    <row r="2761" spans="1:3" x14ac:dyDescent="0.2">
      <c r="A2761" s="402"/>
      <c r="B2761" s="402"/>
      <c r="C2761" s="402"/>
    </row>
    <row r="2762" spans="1:3" x14ac:dyDescent="0.2">
      <c r="A2762" s="402"/>
      <c r="B2762" s="402"/>
      <c r="C2762" s="402"/>
    </row>
    <row r="2763" spans="1:3" x14ac:dyDescent="0.2">
      <c r="A2763" s="402"/>
      <c r="B2763" s="402"/>
      <c r="C2763" s="402"/>
    </row>
    <row r="2764" spans="1:3" x14ac:dyDescent="0.2">
      <c r="A2764" s="402"/>
      <c r="B2764" s="402"/>
      <c r="C2764" s="402"/>
    </row>
    <row r="2765" spans="1:3" x14ac:dyDescent="0.2">
      <c r="A2765" s="402"/>
      <c r="B2765" s="402"/>
      <c r="C2765" s="402"/>
    </row>
    <row r="2766" spans="1:3" x14ac:dyDescent="0.2">
      <c r="A2766" s="402"/>
      <c r="B2766" s="402"/>
      <c r="C2766" s="402"/>
    </row>
    <row r="2767" spans="1:3" x14ac:dyDescent="0.2">
      <c r="A2767" s="402"/>
      <c r="B2767" s="402"/>
      <c r="C2767" s="402"/>
    </row>
    <row r="2768" spans="1:3" x14ac:dyDescent="0.2">
      <c r="A2768" s="402"/>
      <c r="B2768" s="402"/>
      <c r="C2768" s="402"/>
    </row>
    <row r="2769" spans="1:3" x14ac:dyDescent="0.2">
      <c r="A2769" s="402"/>
      <c r="B2769" s="402"/>
      <c r="C2769" s="402"/>
    </row>
    <row r="2770" spans="1:3" x14ac:dyDescent="0.2">
      <c r="A2770" s="402"/>
      <c r="B2770" s="402"/>
      <c r="C2770" s="402"/>
    </row>
    <row r="2771" spans="1:3" x14ac:dyDescent="0.2">
      <c r="A2771" s="402"/>
      <c r="B2771" s="402"/>
      <c r="C2771" s="402"/>
    </row>
    <row r="2772" spans="1:3" x14ac:dyDescent="0.2">
      <c r="A2772" s="402"/>
      <c r="B2772" s="402"/>
      <c r="C2772" s="402"/>
    </row>
    <row r="2773" spans="1:3" x14ac:dyDescent="0.2">
      <c r="A2773" s="402"/>
      <c r="B2773" s="402"/>
      <c r="C2773" s="402"/>
    </row>
    <row r="2774" spans="1:3" x14ac:dyDescent="0.2">
      <c r="A2774" s="402"/>
      <c r="B2774" s="402"/>
      <c r="C2774" s="402"/>
    </row>
    <row r="2775" spans="1:3" x14ac:dyDescent="0.2">
      <c r="A2775" s="402"/>
      <c r="B2775" s="402"/>
      <c r="C2775" s="402"/>
    </row>
    <row r="2776" spans="1:3" x14ac:dyDescent="0.2">
      <c r="A2776" s="402"/>
      <c r="B2776" s="402"/>
      <c r="C2776" s="402"/>
    </row>
    <row r="2777" spans="1:3" x14ac:dyDescent="0.2">
      <c r="A2777" s="402"/>
      <c r="B2777" s="402"/>
      <c r="C2777" s="402"/>
    </row>
    <row r="2778" spans="1:3" x14ac:dyDescent="0.2">
      <c r="A2778" s="402"/>
      <c r="B2778" s="402"/>
      <c r="C2778" s="402"/>
    </row>
    <row r="2779" spans="1:3" x14ac:dyDescent="0.2">
      <c r="A2779" s="402"/>
      <c r="B2779" s="402"/>
      <c r="C2779" s="402"/>
    </row>
    <row r="2780" spans="1:3" x14ac:dyDescent="0.2">
      <c r="A2780" s="402"/>
      <c r="B2780" s="402"/>
      <c r="C2780" s="402"/>
    </row>
    <row r="2781" spans="1:3" x14ac:dyDescent="0.2">
      <c r="A2781" s="402"/>
      <c r="B2781" s="402"/>
      <c r="C2781" s="402"/>
    </row>
    <row r="2782" spans="1:3" x14ac:dyDescent="0.2">
      <c r="A2782" s="402"/>
      <c r="B2782" s="402"/>
      <c r="C2782" s="402"/>
    </row>
    <row r="2783" spans="1:3" x14ac:dyDescent="0.2">
      <c r="A2783" s="402"/>
      <c r="B2783" s="402"/>
      <c r="C2783" s="402"/>
    </row>
    <row r="2784" spans="1:3" x14ac:dyDescent="0.2">
      <c r="A2784" s="402"/>
      <c r="B2784" s="402"/>
      <c r="C2784" s="402"/>
    </row>
    <row r="2785" spans="1:3" x14ac:dyDescent="0.2">
      <c r="A2785" s="402"/>
      <c r="B2785" s="402"/>
      <c r="C2785" s="402"/>
    </row>
    <row r="2786" spans="1:3" x14ac:dyDescent="0.2">
      <c r="A2786" s="402"/>
      <c r="B2786" s="402"/>
      <c r="C2786" s="402"/>
    </row>
    <row r="2787" spans="1:3" x14ac:dyDescent="0.2">
      <c r="A2787" s="402"/>
      <c r="B2787" s="402"/>
      <c r="C2787" s="402"/>
    </row>
    <row r="2788" spans="1:3" x14ac:dyDescent="0.2">
      <c r="A2788" s="402"/>
      <c r="B2788" s="402"/>
      <c r="C2788" s="402"/>
    </row>
    <row r="2789" spans="1:3" x14ac:dyDescent="0.2">
      <c r="A2789" s="402"/>
      <c r="B2789" s="402"/>
      <c r="C2789" s="402"/>
    </row>
    <row r="2790" spans="1:3" x14ac:dyDescent="0.2">
      <c r="A2790" s="402"/>
      <c r="B2790" s="402"/>
      <c r="C2790" s="402"/>
    </row>
    <row r="2791" spans="1:3" x14ac:dyDescent="0.2">
      <c r="A2791" s="402"/>
      <c r="B2791" s="402"/>
      <c r="C2791" s="402"/>
    </row>
    <row r="2792" spans="1:3" x14ac:dyDescent="0.2">
      <c r="A2792" s="402"/>
      <c r="B2792" s="402"/>
      <c r="C2792" s="402"/>
    </row>
    <row r="2793" spans="1:3" x14ac:dyDescent="0.2">
      <c r="A2793" s="402"/>
      <c r="B2793" s="402"/>
      <c r="C2793" s="402"/>
    </row>
    <row r="2794" spans="1:3" x14ac:dyDescent="0.2">
      <c r="A2794" s="402"/>
      <c r="B2794" s="402"/>
      <c r="C2794" s="402"/>
    </row>
    <row r="2795" spans="1:3" x14ac:dyDescent="0.2">
      <c r="A2795" s="402"/>
      <c r="B2795" s="402"/>
      <c r="C2795" s="402"/>
    </row>
    <row r="2796" spans="1:3" x14ac:dyDescent="0.2">
      <c r="A2796" s="402"/>
      <c r="B2796" s="402"/>
      <c r="C2796" s="402"/>
    </row>
    <row r="2797" spans="1:3" x14ac:dyDescent="0.2">
      <c r="A2797" s="402"/>
      <c r="B2797" s="402"/>
      <c r="C2797" s="402"/>
    </row>
    <row r="2798" spans="1:3" x14ac:dyDescent="0.2">
      <c r="A2798" s="402"/>
      <c r="B2798" s="402"/>
      <c r="C2798" s="402"/>
    </row>
    <row r="2799" spans="1:3" x14ac:dyDescent="0.2">
      <c r="A2799" s="402"/>
      <c r="B2799" s="402"/>
      <c r="C2799" s="402"/>
    </row>
    <row r="2800" spans="1:3" x14ac:dyDescent="0.2">
      <c r="A2800" s="402"/>
      <c r="B2800" s="402"/>
      <c r="C2800" s="402"/>
    </row>
    <row r="2801" spans="1:3" x14ac:dyDescent="0.2">
      <c r="A2801" s="402"/>
      <c r="B2801" s="402"/>
      <c r="C2801" s="402"/>
    </row>
    <row r="2802" spans="1:3" x14ac:dyDescent="0.2">
      <c r="A2802" s="402"/>
      <c r="B2802" s="402"/>
      <c r="C2802" s="402"/>
    </row>
    <row r="2803" spans="1:3" x14ac:dyDescent="0.2">
      <c r="A2803" s="402"/>
      <c r="B2803" s="402"/>
      <c r="C2803" s="402"/>
    </row>
    <row r="2804" spans="1:3" x14ac:dyDescent="0.2">
      <c r="A2804" s="402"/>
      <c r="B2804" s="402"/>
      <c r="C2804" s="402"/>
    </row>
    <row r="2805" spans="1:3" x14ac:dyDescent="0.2">
      <c r="A2805" s="402"/>
      <c r="B2805" s="402"/>
      <c r="C2805" s="402"/>
    </row>
    <row r="2806" spans="1:3" x14ac:dyDescent="0.2">
      <c r="A2806" s="402"/>
      <c r="B2806" s="402"/>
      <c r="C2806" s="402"/>
    </row>
    <row r="2807" spans="1:3" x14ac:dyDescent="0.2">
      <c r="A2807" s="402"/>
      <c r="B2807" s="402"/>
      <c r="C2807" s="402"/>
    </row>
    <row r="2808" spans="1:3" x14ac:dyDescent="0.2">
      <c r="A2808" s="402"/>
      <c r="B2808" s="402"/>
      <c r="C2808" s="402"/>
    </row>
    <row r="2809" spans="1:3" x14ac:dyDescent="0.2">
      <c r="A2809" s="402"/>
      <c r="B2809" s="402"/>
      <c r="C2809" s="402"/>
    </row>
    <row r="2810" spans="1:3" x14ac:dyDescent="0.2">
      <c r="A2810" s="402"/>
      <c r="B2810" s="402"/>
      <c r="C2810" s="402"/>
    </row>
    <row r="2811" spans="1:3" x14ac:dyDescent="0.2">
      <c r="A2811" s="402"/>
      <c r="B2811" s="402"/>
      <c r="C2811" s="402"/>
    </row>
    <row r="2812" spans="1:3" x14ac:dyDescent="0.2">
      <c r="A2812" s="402"/>
      <c r="B2812" s="402"/>
      <c r="C2812" s="402"/>
    </row>
    <row r="2813" spans="1:3" x14ac:dyDescent="0.2">
      <c r="A2813" s="402"/>
      <c r="B2813" s="402"/>
      <c r="C2813" s="402"/>
    </row>
    <row r="2814" spans="1:3" x14ac:dyDescent="0.2">
      <c r="A2814" s="402"/>
      <c r="B2814" s="402"/>
      <c r="C2814" s="402"/>
    </row>
    <row r="2815" spans="1:3" x14ac:dyDescent="0.2">
      <c r="A2815" s="402"/>
      <c r="B2815" s="402"/>
      <c r="C2815" s="402"/>
    </row>
    <row r="2816" spans="1:3" x14ac:dyDescent="0.2">
      <c r="A2816" s="402"/>
      <c r="B2816" s="402"/>
      <c r="C2816" s="402"/>
    </row>
    <row r="2817" spans="1:3" x14ac:dyDescent="0.2">
      <c r="A2817" s="402"/>
      <c r="B2817" s="402"/>
      <c r="C2817" s="402"/>
    </row>
    <row r="2818" spans="1:3" x14ac:dyDescent="0.2">
      <c r="A2818" s="402"/>
      <c r="B2818" s="402"/>
      <c r="C2818" s="402"/>
    </row>
    <row r="2819" spans="1:3" x14ac:dyDescent="0.2">
      <c r="A2819" s="402"/>
      <c r="B2819" s="402"/>
      <c r="C2819" s="402"/>
    </row>
    <row r="2820" spans="1:3" x14ac:dyDescent="0.2">
      <c r="A2820" s="402"/>
      <c r="B2820" s="402"/>
      <c r="C2820" s="402"/>
    </row>
    <row r="2821" spans="1:3" x14ac:dyDescent="0.2">
      <c r="A2821" s="402"/>
      <c r="B2821" s="402"/>
      <c r="C2821" s="402"/>
    </row>
    <row r="2822" spans="1:3" x14ac:dyDescent="0.2">
      <c r="A2822" s="402"/>
      <c r="B2822" s="402"/>
      <c r="C2822" s="402"/>
    </row>
    <row r="2823" spans="1:3" x14ac:dyDescent="0.2">
      <c r="A2823" s="402"/>
      <c r="B2823" s="402"/>
      <c r="C2823" s="402"/>
    </row>
    <row r="2824" spans="1:3" x14ac:dyDescent="0.2">
      <c r="A2824" s="402"/>
      <c r="B2824" s="402"/>
      <c r="C2824" s="402"/>
    </row>
    <row r="2825" spans="1:3" x14ac:dyDescent="0.2">
      <c r="A2825" s="402"/>
      <c r="B2825" s="402"/>
      <c r="C2825" s="402"/>
    </row>
    <row r="2826" spans="1:3" x14ac:dyDescent="0.2">
      <c r="A2826" s="402"/>
      <c r="B2826" s="402"/>
      <c r="C2826" s="402"/>
    </row>
    <row r="2827" spans="1:3" x14ac:dyDescent="0.2">
      <c r="A2827" s="402"/>
      <c r="B2827" s="402"/>
      <c r="C2827" s="402"/>
    </row>
    <row r="2828" spans="1:3" x14ac:dyDescent="0.2">
      <c r="A2828" s="402"/>
      <c r="B2828" s="402"/>
      <c r="C2828" s="402"/>
    </row>
    <row r="2829" spans="1:3" x14ac:dyDescent="0.2">
      <c r="A2829" s="402"/>
      <c r="B2829" s="402"/>
      <c r="C2829" s="402"/>
    </row>
    <row r="2830" spans="1:3" x14ac:dyDescent="0.2">
      <c r="A2830" s="402"/>
      <c r="B2830" s="402"/>
      <c r="C2830" s="402"/>
    </row>
    <row r="2831" spans="1:3" x14ac:dyDescent="0.2">
      <c r="A2831" s="402"/>
      <c r="B2831" s="402"/>
      <c r="C2831" s="402"/>
    </row>
    <row r="2832" spans="1:3" x14ac:dyDescent="0.2">
      <c r="A2832" s="402"/>
      <c r="B2832" s="402"/>
      <c r="C2832" s="402"/>
    </row>
    <row r="2833" spans="1:3" x14ac:dyDescent="0.2">
      <c r="A2833" s="402"/>
      <c r="B2833" s="402"/>
      <c r="C2833" s="402"/>
    </row>
    <row r="2834" spans="1:3" x14ac:dyDescent="0.2">
      <c r="A2834" s="402"/>
      <c r="B2834" s="402"/>
      <c r="C2834" s="402"/>
    </row>
    <row r="2835" spans="1:3" x14ac:dyDescent="0.2">
      <c r="A2835" s="402"/>
      <c r="B2835" s="402"/>
      <c r="C2835" s="402"/>
    </row>
    <row r="2836" spans="1:3" x14ac:dyDescent="0.2">
      <c r="A2836" s="402"/>
      <c r="B2836" s="402"/>
      <c r="C2836" s="402"/>
    </row>
    <row r="2837" spans="1:3" x14ac:dyDescent="0.2">
      <c r="A2837" s="402"/>
      <c r="B2837" s="402"/>
      <c r="C2837" s="402"/>
    </row>
    <row r="2838" spans="1:3" x14ac:dyDescent="0.2">
      <c r="A2838" s="402"/>
      <c r="B2838" s="402"/>
      <c r="C2838" s="402"/>
    </row>
    <row r="2839" spans="1:3" x14ac:dyDescent="0.2">
      <c r="A2839" s="402"/>
      <c r="B2839" s="402"/>
      <c r="C2839" s="402"/>
    </row>
    <row r="2840" spans="1:3" x14ac:dyDescent="0.2">
      <c r="A2840" s="402"/>
      <c r="B2840" s="402"/>
      <c r="C2840" s="402"/>
    </row>
    <row r="2841" spans="1:3" x14ac:dyDescent="0.2">
      <c r="A2841" s="402"/>
      <c r="B2841" s="402"/>
      <c r="C2841" s="402"/>
    </row>
    <row r="2842" spans="1:3" x14ac:dyDescent="0.2">
      <c r="A2842" s="402"/>
      <c r="B2842" s="402"/>
      <c r="C2842" s="402"/>
    </row>
    <row r="2843" spans="1:3" x14ac:dyDescent="0.2">
      <c r="A2843" s="402"/>
      <c r="B2843" s="402"/>
      <c r="C2843" s="402"/>
    </row>
    <row r="2844" spans="1:3" x14ac:dyDescent="0.2">
      <c r="A2844" s="402"/>
      <c r="B2844" s="402"/>
      <c r="C2844" s="402"/>
    </row>
    <row r="2845" spans="1:3" x14ac:dyDescent="0.2">
      <c r="A2845" s="402"/>
      <c r="B2845" s="402"/>
      <c r="C2845" s="402"/>
    </row>
    <row r="2846" spans="1:3" x14ac:dyDescent="0.2">
      <c r="A2846" s="402"/>
      <c r="B2846" s="402"/>
      <c r="C2846" s="402"/>
    </row>
    <row r="2847" spans="1:3" x14ac:dyDescent="0.2">
      <c r="A2847" s="402"/>
      <c r="B2847" s="402"/>
      <c r="C2847" s="402"/>
    </row>
    <row r="2848" spans="1:3" x14ac:dyDescent="0.2">
      <c r="A2848" s="402"/>
      <c r="B2848" s="402"/>
      <c r="C2848" s="402"/>
    </row>
    <row r="2849" spans="1:3" x14ac:dyDescent="0.2">
      <c r="A2849" s="402"/>
      <c r="B2849" s="402"/>
      <c r="C2849" s="402"/>
    </row>
    <row r="2850" spans="1:3" x14ac:dyDescent="0.2">
      <c r="A2850" s="402"/>
      <c r="B2850" s="402"/>
      <c r="C2850" s="402"/>
    </row>
    <row r="2851" spans="1:3" x14ac:dyDescent="0.2">
      <c r="A2851" s="402"/>
      <c r="B2851" s="402"/>
      <c r="C2851" s="402"/>
    </row>
    <row r="2852" spans="1:3" x14ac:dyDescent="0.2">
      <c r="A2852" s="402"/>
      <c r="B2852" s="402"/>
      <c r="C2852" s="402"/>
    </row>
    <row r="2853" spans="1:3" x14ac:dyDescent="0.2">
      <c r="A2853" s="402"/>
      <c r="B2853" s="402"/>
      <c r="C2853" s="402"/>
    </row>
    <row r="2854" spans="1:3" x14ac:dyDescent="0.2">
      <c r="A2854" s="402"/>
      <c r="B2854" s="402"/>
      <c r="C2854" s="402"/>
    </row>
    <row r="2855" spans="1:3" x14ac:dyDescent="0.2">
      <c r="A2855" s="402"/>
      <c r="B2855" s="402"/>
      <c r="C2855" s="402"/>
    </row>
    <row r="2856" spans="1:3" x14ac:dyDescent="0.2">
      <c r="A2856" s="402"/>
      <c r="B2856" s="402"/>
      <c r="C2856" s="402"/>
    </row>
    <row r="2857" spans="1:3" x14ac:dyDescent="0.2">
      <c r="A2857" s="402"/>
      <c r="B2857" s="402"/>
      <c r="C2857" s="402"/>
    </row>
    <row r="2858" spans="1:3" x14ac:dyDescent="0.2">
      <c r="A2858" s="402"/>
      <c r="B2858" s="402"/>
      <c r="C2858" s="402"/>
    </row>
    <row r="2859" spans="1:3" x14ac:dyDescent="0.2">
      <c r="A2859" s="402"/>
      <c r="B2859" s="402"/>
      <c r="C2859" s="402"/>
    </row>
    <row r="2860" spans="1:3" x14ac:dyDescent="0.2">
      <c r="A2860" s="402"/>
      <c r="B2860" s="402"/>
      <c r="C2860" s="402"/>
    </row>
    <row r="2861" spans="1:3" x14ac:dyDescent="0.2">
      <c r="A2861" s="402"/>
      <c r="B2861" s="402"/>
      <c r="C2861" s="402"/>
    </row>
    <row r="2862" spans="1:3" x14ac:dyDescent="0.2">
      <c r="A2862" s="402"/>
      <c r="B2862" s="402"/>
      <c r="C2862" s="402"/>
    </row>
    <row r="2863" spans="1:3" x14ac:dyDescent="0.2">
      <c r="A2863" s="402"/>
      <c r="B2863" s="402"/>
      <c r="C2863" s="402"/>
    </row>
    <row r="2864" spans="1:3" x14ac:dyDescent="0.2">
      <c r="A2864" s="402"/>
      <c r="B2864" s="402"/>
      <c r="C2864" s="402"/>
    </row>
    <row r="2865" spans="1:3" x14ac:dyDescent="0.2">
      <c r="A2865" s="402"/>
      <c r="B2865" s="402"/>
      <c r="C2865" s="402"/>
    </row>
    <row r="2866" spans="1:3" x14ac:dyDescent="0.2">
      <c r="A2866" s="402"/>
      <c r="B2866" s="402"/>
      <c r="C2866" s="402"/>
    </row>
    <row r="2867" spans="1:3" x14ac:dyDescent="0.2">
      <c r="A2867" s="402"/>
      <c r="B2867" s="402"/>
      <c r="C2867" s="402"/>
    </row>
    <row r="2868" spans="1:3" x14ac:dyDescent="0.2">
      <c r="A2868" s="402"/>
      <c r="B2868" s="402"/>
      <c r="C2868" s="402"/>
    </row>
    <row r="2869" spans="1:3" x14ac:dyDescent="0.2">
      <c r="A2869" s="402"/>
      <c r="B2869" s="402"/>
      <c r="C2869" s="402"/>
    </row>
    <row r="2870" spans="1:3" x14ac:dyDescent="0.2">
      <c r="A2870" s="402"/>
      <c r="B2870" s="402"/>
      <c r="C2870" s="402"/>
    </row>
    <row r="2871" spans="1:3" x14ac:dyDescent="0.2">
      <c r="A2871" s="402"/>
      <c r="B2871" s="402"/>
      <c r="C2871" s="402"/>
    </row>
    <row r="2872" spans="1:3" x14ac:dyDescent="0.2">
      <c r="A2872" s="402"/>
      <c r="B2872" s="402"/>
      <c r="C2872" s="402"/>
    </row>
    <row r="2873" spans="1:3" x14ac:dyDescent="0.2">
      <c r="A2873" s="402"/>
      <c r="B2873" s="402"/>
      <c r="C2873" s="402"/>
    </row>
    <row r="2874" spans="1:3" x14ac:dyDescent="0.2">
      <c r="A2874" s="402"/>
      <c r="B2874" s="402"/>
      <c r="C2874" s="402"/>
    </row>
    <row r="2875" spans="1:3" x14ac:dyDescent="0.2">
      <c r="A2875" s="402"/>
      <c r="B2875" s="402"/>
      <c r="C2875" s="402"/>
    </row>
    <row r="2876" spans="1:3" x14ac:dyDescent="0.2">
      <c r="A2876" s="402"/>
      <c r="B2876" s="402"/>
      <c r="C2876" s="402"/>
    </row>
    <row r="2877" spans="1:3" x14ac:dyDescent="0.2">
      <c r="A2877" s="402"/>
      <c r="B2877" s="402"/>
      <c r="C2877" s="402"/>
    </row>
    <row r="2878" spans="1:3" x14ac:dyDescent="0.2">
      <c r="A2878" s="402"/>
      <c r="B2878" s="402"/>
      <c r="C2878" s="402"/>
    </row>
    <row r="2879" spans="1:3" x14ac:dyDescent="0.2">
      <c r="A2879" s="402"/>
      <c r="B2879" s="402"/>
      <c r="C2879" s="402"/>
    </row>
    <row r="2880" spans="1:3" x14ac:dyDescent="0.2">
      <c r="A2880" s="402"/>
      <c r="B2880" s="402"/>
      <c r="C2880" s="402"/>
    </row>
    <row r="2881" spans="1:3" x14ac:dyDescent="0.2">
      <c r="A2881" s="402"/>
      <c r="B2881" s="402"/>
      <c r="C2881" s="402"/>
    </row>
    <row r="2882" spans="1:3" x14ac:dyDescent="0.2">
      <c r="A2882" s="402"/>
      <c r="B2882" s="402"/>
      <c r="C2882" s="402"/>
    </row>
    <row r="2883" spans="1:3" x14ac:dyDescent="0.2">
      <c r="A2883" s="402"/>
      <c r="B2883" s="402"/>
      <c r="C2883" s="402"/>
    </row>
    <row r="2884" spans="1:3" x14ac:dyDescent="0.2">
      <c r="A2884" s="402"/>
      <c r="B2884" s="402"/>
      <c r="C2884" s="402"/>
    </row>
    <row r="2885" spans="1:3" x14ac:dyDescent="0.2">
      <c r="A2885" s="402"/>
      <c r="B2885" s="402"/>
      <c r="C2885" s="402"/>
    </row>
    <row r="2886" spans="1:3" x14ac:dyDescent="0.2">
      <c r="A2886" s="402"/>
      <c r="B2886" s="402"/>
      <c r="C2886" s="402"/>
    </row>
    <row r="2887" spans="1:3" x14ac:dyDescent="0.2">
      <c r="A2887" s="402"/>
      <c r="B2887" s="402"/>
      <c r="C2887" s="402"/>
    </row>
    <row r="2888" spans="1:3" x14ac:dyDescent="0.2">
      <c r="A2888" s="402"/>
      <c r="B2888" s="402"/>
      <c r="C2888" s="402"/>
    </row>
    <row r="2889" spans="1:3" x14ac:dyDescent="0.2">
      <c r="A2889" s="402"/>
      <c r="B2889" s="402"/>
      <c r="C2889" s="402"/>
    </row>
    <row r="2890" spans="1:3" x14ac:dyDescent="0.2">
      <c r="A2890" s="402"/>
      <c r="B2890" s="402"/>
      <c r="C2890" s="402"/>
    </row>
    <row r="2891" spans="1:3" x14ac:dyDescent="0.2">
      <c r="A2891" s="402"/>
      <c r="B2891" s="402"/>
      <c r="C2891" s="402"/>
    </row>
    <row r="2892" spans="1:3" x14ac:dyDescent="0.2">
      <c r="A2892" s="402"/>
      <c r="B2892" s="402"/>
      <c r="C2892" s="402"/>
    </row>
    <row r="2893" spans="1:3" x14ac:dyDescent="0.2">
      <c r="A2893" s="402"/>
      <c r="B2893" s="402"/>
      <c r="C2893" s="402"/>
    </row>
    <row r="2894" spans="1:3" x14ac:dyDescent="0.2">
      <c r="A2894" s="402"/>
      <c r="B2894" s="402"/>
      <c r="C2894" s="402"/>
    </row>
    <row r="2895" spans="1:3" x14ac:dyDescent="0.2">
      <c r="A2895" s="402"/>
      <c r="B2895" s="402"/>
      <c r="C2895" s="402"/>
    </row>
    <row r="2896" spans="1:3" x14ac:dyDescent="0.2">
      <c r="A2896" s="402"/>
      <c r="B2896" s="402"/>
      <c r="C2896" s="402"/>
    </row>
    <row r="2897" spans="1:3" x14ac:dyDescent="0.2">
      <c r="A2897" s="402"/>
      <c r="B2897" s="402"/>
      <c r="C2897" s="402"/>
    </row>
    <row r="2898" spans="1:3" x14ac:dyDescent="0.2">
      <c r="A2898" s="402"/>
      <c r="B2898" s="402"/>
      <c r="C2898" s="402"/>
    </row>
    <row r="2899" spans="1:3" x14ac:dyDescent="0.2">
      <c r="A2899" s="402"/>
      <c r="B2899" s="402"/>
      <c r="C2899" s="402"/>
    </row>
    <row r="2900" spans="1:3" x14ac:dyDescent="0.2">
      <c r="A2900" s="402"/>
      <c r="B2900" s="402"/>
      <c r="C2900" s="402"/>
    </row>
    <row r="2901" spans="1:3" x14ac:dyDescent="0.2">
      <c r="A2901" s="402"/>
      <c r="B2901" s="402"/>
      <c r="C2901" s="402"/>
    </row>
    <row r="2902" spans="1:3" x14ac:dyDescent="0.2">
      <c r="A2902" s="402"/>
      <c r="B2902" s="402"/>
      <c r="C2902" s="402"/>
    </row>
    <row r="2903" spans="1:3" x14ac:dyDescent="0.2">
      <c r="A2903" s="402"/>
      <c r="B2903" s="402"/>
      <c r="C2903" s="402"/>
    </row>
    <row r="2904" spans="1:3" x14ac:dyDescent="0.2">
      <c r="A2904" s="402"/>
      <c r="B2904" s="402"/>
      <c r="C2904" s="402"/>
    </row>
    <row r="2905" spans="1:3" x14ac:dyDescent="0.2">
      <c r="A2905" s="402"/>
      <c r="B2905" s="402"/>
      <c r="C2905" s="402"/>
    </row>
    <row r="2906" spans="1:3" x14ac:dyDescent="0.2">
      <c r="A2906" s="402"/>
      <c r="B2906" s="402"/>
      <c r="C2906" s="402"/>
    </row>
    <row r="2907" spans="1:3" x14ac:dyDescent="0.2">
      <c r="A2907" s="402"/>
      <c r="B2907" s="402"/>
      <c r="C2907" s="402"/>
    </row>
    <row r="2908" spans="1:3" x14ac:dyDescent="0.2">
      <c r="A2908" s="402"/>
      <c r="B2908" s="402"/>
      <c r="C2908" s="402"/>
    </row>
    <row r="2909" spans="1:3" x14ac:dyDescent="0.2">
      <c r="A2909" s="402"/>
      <c r="B2909" s="402"/>
      <c r="C2909" s="402"/>
    </row>
    <row r="2910" spans="1:3" x14ac:dyDescent="0.2">
      <c r="A2910" s="402"/>
      <c r="B2910" s="402"/>
      <c r="C2910" s="402"/>
    </row>
    <row r="2911" spans="1:3" x14ac:dyDescent="0.2">
      <c r="A2911" s="402"/>
      <c r="B2911" s="402"/>
      <c r="C2911" s="402"/>
    </row>
    <row r="2912" spans="1:3" x14ac:dyDescent="0.2">
      <c r="A2912" s="402"/>
      <c r="B2912" s="402"/>
      <c r="C2912" s="402"/>
    </row>
    <row r="2913" spans="1:3" x14ac:dyDescent="0.2">
      <c r="A2913" s="402"/>
      <c r="B2913" s="402"/>
      <c r="C2913" s="402"/>
    </row>
    <row r="2914" spans="1:3" x14ac:dyDescent="0.2">
      <c r="A2914" s="402"/>
      <c r="B2914" s="402"/>
      <c r="C2914" s="402"/>
    </row>
    <row r="2915" spans="1:3" x14ac:dyDescent="0.2">
      <c r="A2915" s="402"/>
      <c r="B2915" s="402"/>
      <c r="C2915" s="402"/>
    </row>
    <row r="2916" spans="1:3" x14ac:dyDescent="0.2">
      <c r="A2916" s="402"/>
      <c r="B2916" s="402"/>
      <c r="C2916" s="402"/>
    </row>
    <row r="2917" spans="1:3" x14ac:dyDescent="0.2">
      <c r="A2917" s="402"/>
      <c r="B2917" s="402"/>
      <c r="C2917" s="402"/>
    </row>
    <row r="2918" spans="1:3" x14ac:dyDescent="0.2">
      <c r="A2918" s="402"/>
      <c r="B2918" s="402"/>
      <c r="C2918" s="402"/>
    </row>
    <row r="2919" spans="1:3" x14ac:dyDescent="0.2">
      <c r="A2919" s="402"/>
      <c r="B2919" s="402"/>
      <c r="C2919" s="402"/>
    </row>
    <row r="2920" spans="1:3" x14ac:dyDescent="0.2">
      <c r="A2920" s="402"/>
      <c r="B2920" s="402"/>
      <c r="C2920" s="402"/>
    </row>
    <row r="2921" spans="1:3" x14ac:dyDescent="0.2">
      <c r="A2921" s="402"/>
      <c r="B2921" s="402"/>
      <c r="C2921" s="402"/>
    </row>
    <row r="2922" spans="1:3" x14ac:dyDescent="0.2">
      <c r="A2922" s="402"/>
      <c r="B2922" s="402"/>
      <c r="C2922" s="402"/>
    </row>
    <row r="2923" spans="1:3" x14ac:dyDescent="0.2">
      <c r="A2923" s="402"/>
      <c r="B2923" s="402"/>
      <c r="C2923" s="402"/>
    </row>
    <row r="2924" spans="1:3" x14ac:dyDescent="0.2">
      <c r="A2924" s="402"/>
      <c r="B2924" s="402"/>
      <c r="C2924" s="402"/>
    </row>
    <row r="2925" spans="1:3" x14ac:dyDescent="0.2">
      <c r="A2925" s="402"/>
      <c r="B2925" s="402"/>
      <c r="C2925" s="402"/>
    </row>
    <row r="2926" spans="1:3" x14ac:dyDescent="0.2">
      <c r="A2926" s="402"/>
      <c r="B2926" s="402"/>
      <c r="C2926" s="402"/>
    </row>
    <row r="2927" spans="1:3" x14ac:dyDescent="0.2">
      <c r="A2927" s="402"/>
      <c r="B2927" s="402"/>
      <c r="C2927" s="402"/>
    </row>
    <row r="2928" spans="1:3" x14ac:dyDescent="0.2">
      <c r="A2928" s="402"/>
      <c r="B2928" s="402"/>
      <c r="C2928" s="402"/>
    </row>
    <row r="2929" spans="1:3" x14ac:dyDescent="0.2">
      <c r="A2929" s="402"/>
      <c r="B2929" s="402"/>
      <c r="C2929" s="402"/>
    </row>
    <row r="2930" spans="1:3" x14ac:dyDescent="0.2">
      <c r="A2930" s="402"/>
      <c r="B2930" s="402"/>
      <c r="C2930" s="402"/>
    </row>
    <row r="2931" spans="1:3" x14ac:dyDescent="0.2">
      <c r="A2931" s="402"/>
      <c r="B2931" s="402"/>
      <c r="C2931" s="402"/>
    </row>
    <row r="2932" spans="1:3" x14ac:dyDescent="0.2">
      <c r="A2932" s="402"/>
      <c r="B2932" s="402"/>
      <c r="C2932" s="402"/>
    </row>
    <row r="2933" spans="1:3" x14ac:dyDescent="0.2">
      <c r="A2933" s="402"/>
      <c r="B2933" s="402"/>
      <c r="C2933" s="402"/>
    </row>
    <row r="2934" spans="1:3" x14ac:dyDescent="0.2">
      <c r="A2934" s="402"/>
      <c r="B2934" s="402"/>
      <c r="C2934" s="402"/>
    </row>
    <row r="2935" spans="1:3" x14ac:dyDescent="0.2">
      <c r="A2935" s="402"/>
      <c r="B2935" s="402"/>
      <c r="C2935" s="402"/>
    </row>
    <row r="2936" spans="1:3" x14ac:dyDescent="0.2">
      <c r="A2936" s="402"/>
      <c r="B2936" s="402"/>
      <c r="C2936" s="402"/>
    </row>
    <row r="2937" spans="1:3" x14ac:dyDescent="0.2">
      <c r="A2937" s="402"/>
      <c r="B2937" s="402"/>
      <c r="C2937" s="402"/>
    </row>
    <row r="2938" spans="1:3" x14ac:dyDescent="0.2">
      <c r="A2938" s="402"/>
      <c r="B2938" s="402"/>
      <c r="C2938" s="402"/>
    </row>
    <row r="2939" spans="1:3" x14ac:dyDescent="0.2">
      <c r="A2939" s="402"/>
      <c r="B2939" s="402"/>
      <c r="C2939" s="402"/>
    </row>
    <row r="2940" spans="1:3" x14ac:dyDescent="0.2">
      <c r="A2940" s="402"/>
      <c r="B2940" s="402"/>
      <c r="C2940" s="402"/>
    </row>
    <row r="2941" spans="1:3" x14ac:dyDescent="0.2">
      <c r="A2941" s="402"/>
      <c r="B2941" s="402"/>
      <c r="C2941" s="402"/>
    </row>
    <row r="2942" spans="1:3" x14ac:dyDescent="0.2">
      <c r="A2942" s="402"/>
      <c r="B2942" s="402"/>
      <c r="C2942" s="402"/>
    </row>
    <row r="2943" spans="1:3" x14ac:dyDescent="0.2">
      <c r="A2943" s="402"/>
      <c r="B2943" s="402"/>
      <c r="C2943" s="402"/>
    </row>
    <row r="2944" spans="1:3" x14ac:dyDescent="0.2">
      <c r="A2944" s="402"/>
      <c r="B2944" s="402"/>
      <c r="C2944" s="402"/>
    </row>
    <row r="2945" spans="1:3" x14ac:dyDescent="0.2">
      <c r="A2945" s="402"/>
      <c r="B2945" s="402"/>
      <c r="C2945" s="402"/>
    </row>
    <row r="2946" spans="1:3" x14ac:dyDescent="0.2">
      <c r="A2946" s="402"/>
      <c r="B2946" s="402"/>
      <c r="C2946" s="402"/>
    </row>
    <row r="2947" spans="1:3" x14ac:dyDescent="0.2">
      <c r="A2947" s="402"/>
      <c r="B2947" s="402"/>
      <c r="C2947" s="402"/>
    </row>
    <row r="2948" spans="1:3" x14ac:dyDescent="0.2">
      <c r="A2948" s="402"/>
      <c r="B2948" s="402"/>
      <c r="C2948" s="402"/>
    </row>
    <row r="2949" spans="1:3" x14ac:dyDescent="0.2">
      <c r="A2949" s="402"/>
      <c r="B2949" s="402"/>
      <c r="C2949" s="402"/>
    </row>
    <row r="2950" spans="1:3" x14ac:dyDescent="0.2">
      <c r="A2950" s="402"/>
      <c r="B2950" s="402"/>
      <c r="C2950" s="402"/>
    </row>
    <row r="2951" spans="1:3" x14ac:dyDescent="0.2">
      <c r="A2951" s="402"/>
      <c r="B2951" s="402"/>
      <c r="C2951" s="402"/>
    </row>
    <row r="2952" spans="1:3" x14ac:dyDescent="0.2">
      <c r="A2952" s="402"/>
      <c r="B2952" s="402"/>
      <c r="C2952" s="402"/>
    </row>
    <row r="2953" spans="1:3" x14ac:dyDescent="0.2">
      <c r="A2953" s="402"/>
      <c r="B2953" s="402"/>
      <c r="C2953" s="402"/>
    </row>
    <row r="2954" spans="1:3" x14ac:dyDescent="0.2">
      <c r="A2954" s="402"/>
      <c r="B2954" s="402"/>
      <c r="C2954" s="402"/>
    </row>
    <row r="2955" spans="1:3" x14ac:dyDescent="0.2">
      <c r="A2955" s="402"/>
      <c r="B2955" s="402"/>
      <c r="C2955" s="402"/>
    </row>
    <row r="2956" spans="1:3" x14ac:dyDescent="0.2">
      <c r="A2956" s="402"/>
      <c r="B2956" s="402"/>
      <c r="C2956" s="402"/>
    </row>
    <row r="2957" spans="1:3" x14ac:dyDescent="0.2">
      <c r="A2957" s="402"/>
      <c r="B2957" s="402"/>
      <c r="C2957" s="402"/>
    </row>
    <row r="2958" spans="1:3" x14ac:dyDescent="0.2">
      <c r="A2958" s="402"/>
      <c r="B2958" s="402"/>
      <c r="C2958" s="402"/>
    </row>
    <row r="2959" spans="1:3" x14ac:dyDescent="0.2">
      <c r="A2959" s="402"/>
      <c r="B2959" s="402"/>
      <c r="C2959" s="402"/>
    </row>
    <row r="2960" spans="1:3" x14ac:dyDescent="0.2">
      <c r="A2960" s="402"/>
      <c r="B2960" s="402"/>
      <c r="C2960" s="402"/>
    </row>
    <row r="2961" spans="1:3" x14ac:dyDescent="0.2">
      <c r="A2961" s="402"/>
      <c r="B2961" s="402"/>
      <c r="C2961" s="402"/>
    </row>
    <row r="2962" spans="1:3" x14ac:dyDescent="0.2">
      <c r="A2962" s="402"/>
      <c r="B2962" s="402"/>
      <c r="C2962" s="402"/>
    </row>
    <row r="2963" spans="1:3" x14ac:dyDescent="0.2">
      <c r="A2963" s="402"/>
      <c r="B2963" s="402"/>
      <c r="C2963" s="402"/>
    </row>
    <row r="2964" spans="1:3" x14ac:dyDescent="0.2">
      <c r="A2964" s="402"/>
      <c r="B2964" s="402"/>
      <c r="C2964" s="402"/>
    </row>
    <row r="2965" spans="1:3" x14ac:dyDescent="0.2">
      <c r="A2965" s="402"/>
      <c r="B2965" s="402"/>
      <c r="C2965" s="402"/>
    </row>
    <row r="2966" spans="1:3" x14ac:dyDescent="0.2">
      <c r="A2966" s="402"/>
      <c r="B2966" s="402"/>
      <c r="C2966" s="402"/>
    </row>
    <row r="2967" spans="1:3" x14ac:dyDescent="0.2">
      <c r="A2967" s="402"/>
      <c r="B2967" s="402"/>
      <c r="C2967" s="402"/>
    </row>
    <row r="2968" spans="1:3" x14ac:dyDescent="0.2">
      <c r="A2968" s="402"/>
      <c r="B2968" s="402"/>
      <c r="C2968" s="402"/>
    </row>
    <row r="2969" spans="1:3" x14ac:dyDescent="0.2">
      <c r="A2969" s="402"/>
      <c r="B2969" s="402"/>
      <c r="C2969" s="402"/>
    </row>
    <row r="2970" spans="1:3" x14ac:dyDescent="0.2">
      <c r="A2970" s="402"/>
      <c r="B2970" s="402"/>
      <c r="C2970" s="402"/>
    </row>
    <row r="2971" spans="1:3" x14ac:dyDescent="0.2">
      <c r="A2971" s="402"/>
      <c r="B2971" s="402"/>
      <c r="C2971" s="402"/>
    </row>
    <row r="2972" spans="1:3" x14ac:dyDescent="0.2">
      <c r="A2972" s="402"/>
      <c r="B2972" s="402"/>
      <c r="C2972" s="402"/>
    </row>
    <row r="2973" spans="1:3" x14ac:dyDescent="0.2">
      <c r="A2973" s="402"/>
      <c r="B2973" s="402"/>
      <c r="C2973" s="402"/>
    </row>
    <row r="2974" spans="1:3" x14ac:dyDescent="0.2">
      <c r="A2974" s="402"/>
      <c r="B2974" s="402"/>
      <c r="C2974" s="402"/>
    </row>
    <row r="2975" spans="1:3" x14ac:dyDescent="0.2">
      <c r="A2975" s="402"/>
      <c r="B2975" s="402"/>
      <c r="C2975" s="402"/>
    </row>
    <row r="2976" spans="1:3" x14ac:dyDescent="0.2">
      <c r="A2976" s="402"/>
      <c r="B2976" s="402"/>
      <c r="C2976" s="402"/>
    </row>
    <row r="2977" spans="1:3" x14ac:dyDescent="0.2">
      <c r="A2977" s="402"/>
      <c r="B2977" s="402"/>
      <c r="C2977" s="402"/>
    </row>
    <row r="2978" spans="1:3" x14ac:dyDescent="0.2">
      <c r="A2978" s="402"/>
      <c r="B2978" s="402"/>
      <c r="C2978" s="402"/>
    </row>
    <row r="2979" spans="1:3" x14ac:dyDescent="0.2">
      <c r="A2979" s="402"/>
      <c r="B2979" s="402"/>
      <c r="C2979" s="402"/>
    </row>
    <row r="2980" spans="1:3" x14ac:dyDescent="0.2">
      <c r="A2980" s="402"/>
      <c r="B2980" s="402"/>
      <c r="C2980" s="402"/>
    </row>
    <row r="2981" spans="1:3" x14ac:dyDescent="0.2">
      <c r="A2981" s="402"/>
      <c r="B2981" s="402"/>
      <c r="C2981" s="402"/>
    </row>
    <row r="2982" spans="1:3" x14ac:dyDescent="0.2">
      <c r="A2982" s="402"/>
      <c r="B2982" s="402"/>
      <c r="C2982" s="402"/>
    </row>
    <row r="2983" spans="1:3" x14ac:dyDescent="0.2">
      <c r="A2983" s="402"/>
      <c r="B2983" s="402"/>
      <c r="C2983" s="402"/>
    </row>
    <row r="2984" spans="1:3" x14ac:dyDescent="0.2">
      <c r="A2984" s="402"/>
      <c r="B2984" s="402"/>
      <c r="C2984" s="402"/>
    </row>
    <row r="2985" spans="1:3" x14ac:dyDescent="0.2">
      <c r="A2985" s="402"/>
      <c r="B2985" s="402"/>
      <c r="C2985" s="402"/>
    </row>
    <row r="2986" spans="1:3" x14ac:dyDescent="0.2">
      <c r="A2986" s="402"/>
      <c r="B2986" s="402"/>
      <c r="C2986" s="402"/>
    </row>
    <row r="2987" spans="1:3" x14ac:dyDescent="0.2">
      <c r="A2987" s="402"/>
      <c r="B2987" s="402"/>
      <c r="C2987" s="402"/>
    </row>
    <row r="2988" spans="1:3" x14ac:dyDescent="0.2">
      <c r="A2988" s="402"/>
      <c r="B2988" s="402"/>
      <c r="C2988" s="402"/>
    </row>
    <row r="2989" spans="1:3" x14ac:dyDescent="0.2">
      <c r="A2989" s="402"/>
      <c r="B2989" s="402"/>
      <c r="C2989" s="402"/>
    </row>
    <row r="2990" spans="1:3" x14ac:dyDescent="0.2">
      <c r="A2990" s="402"/>
      <c r="B2990" s="402"/>
      <c r="C2990" s="402"/>
    </row>
    <row r="2991" spans="1:3" x14ac:dyDescent="0.2">
      <c r="A2991" s="402"/>
      <c r="B2991" s="402"/>
      <c r="C2991" s="402"/>
    </row>
    <row r="2992" spans="1:3" x14ac:dyDescent="0.2">
      <c r="A2992" s="402"/>
      <c r="B2992" s="402"/>
      <c r="C2992" s="402"/>
    </row>
    <row r="2993" spans="1:3" x14ac:dyDescent="0.2">
      <c r="A2993" s="402"/>
      <c r="B2993" s="402"/>
      <c r="C2993" s="402"/>
    </row>
    <row r="2994" spans="1:3" x14ac:dyDescent="0.2">
      <c r="A2994" s="402"/>
      <c r="B2994" s="402"/>
      <c r="C2994" s="402"/>
    </row>
    <row r="2995" spans="1:3" x14ac:dyDescent="0.2">
      <c r="A2995" s="402"/>
      <c r="B2995" s="402"/>
      <c r="C2995" s="402"/>
    </row>
    <row r="2996" spans="1:3" x14ac:dyDescent="0.2">
      <c r="A2996" s="402"/>
      <c r="B2996" s="402"/>
      <c r="C2996" s="402"/>
    </row>
    <row r="2997" spans="1:3" x14ac:dyDescent="0.2">
      <c r="A2997" s="402"/>
      <c r="B2997" s="402"/>
      <c r="C2997" s="402"/>
    </row>
    <row r="2998" spans="1:3" x14ac:dyDescent="0.2">
      <c r="A2998" s="402"/>
      <c r="B2998" s="402"/>
      <c r="C2998" s="402"/>
    </row>
    <row r="2999" spans="1:3" x14ac:dyDescent="0.2">
      <c r="A2999" s="402"/>
      <c r="B2999" s="402"/>
      <c r="C2999" s="402"/>
    </row>
    <row r="3000" spans="1:3" x14ac:dyDescent="0.2">
      <c r="A3000" s="402"/>
      <c r="B3000" s="402"/>
      <c r="C3000" s="402"/>
    </row>
    <row r="3001" spans="1:3" x14ac:dyDescent="0.2">
      <c r="A3001" s="402"/>
      <c r="B3001" s="402"/>
      <c r="C3001" s="402"/>
    </row>
    <row r="3002" spans="1:3" x14ac:dyDescent="0.2">
      <c r="A3002" s="402"/>
      <c r="B3002" s="402"/>
      <c r="C3002" s="402"/>
    </row>
    <row r="3003" spans="1:3" x14ac:dyDescent="0.2">
      <c r="A3003" s="402"/>
      <c r="B3003" s="402"/>
      <c r="C3003" s="402"/>
    </row>
    <row r="3004" spans="1:3" x14ac:dyDescent="0.2">
      <c r="A3004" s="402"/>
      <c r="B3004" s="402"/>
      <c r="C3004" s="402"/>
    </row>
    <row r="3005" spans="1:3" x14ac:dyDescent="0.2">
      <c r="A3005" s="402"/>
      <c r="B3005" s="402"/>
      <c r="C3005" s="402"/>
    </row>
    <row r="3006" spans="1:3" x14ac:dyDescent="0.2">
      <c r="A3006" s="402"/>
      <c r="B3006" s="402"/>
      <c r="C3006" s="402"/>
    </row>
    <row r="3007" spans="1:3" x14ac:dyDescent="0.2">
      <c r="A3007" s="402"/>
      <c r="B3007" s="402"/>
      <c r="C3007" s="402"/>
    </row>
    <row r="3008" spans="1:3" x14ac:dyDescent="0.2">
      <c r="A3008" s="402"/>
      <c r="B3008" s="402"/>
      <c r="C3008" s="402"/>
    </row>
    <row r="3009" spans="1:3" x14ac:dyDescent="0.2">
      <c r="A3009" s="402"/>
      <c r="B3009" s="402"/>
      <c r="C3009" s="402"/>
    </row>
    <row r="3010" spans="1:3" x14ac:dyDescent="0.2">
      <c r="A3010" s="402"/>
      <c r="B3010" s="402"/>
      <c r="C3010" s="402"/>
    </row>
    <row r="3011" spans="1:3" x14ac:dyDescent="0.2">
      <c r="A3011" s="402"/>
      <c r="B3011" s="402"/>
      <c r="C3011" s="402"/>
    </row>
    <row r="3012" spans="1:3" x14ac:dyDescent="0.2">
      <c r="A3012" s="402"/>
      <c r="B3012" s="402"/>
      <c r="C3012" s="402"/>
    </row>
    <row r="3013" spans="1:3" x14ac:dyDescent="0.2">
      <c r="A3013" s="402"/>
      <c r="B3013" s="402"/>
      <c r="C3013" s="402"/>
    </row>
    <row r="3014" spans="1:3" x14ac:dyDescent="0.2">
      <c r="A3014" s="402"/>
      <c r="B3014" s="402"/>
      <c r="C3014" s="402"/>
    </row>
    <row r="3015" spans="1:3" x14ac:dyDescent="0.2">
      <c r="A3015" s="402"/>
      <c r="B3015" s="402"/>
      <c r="C3015" s="402"/>
    </row>
    <row r="3016" spans="1:3" x14ac:dyDescent="0.2">
      <c r="A3016" s="402"/>
      <c r="B3016" s="402"/>
      <c r="C3016" s="402"/>
    </row>
    <row r="3017" spans="1:3" x14ac:dyDescent="0.2">
      <c r="A3017" s="402"/>
      <c r="B3017" s="402"/>
      <c r="C3017" s="402"/>
    </row>
    <row r="3018" spans="1:3" x14ac:dyDescent="0.2">
      <c r="A3018" s="402"/>
      <c r="B3018" s="402"/>
      <c r="C3018" s="402"/>
    </row>
    <row r="3019" spans="1:3" x14ac:dyDescent="0.2">
      <c r="A3019" s="402"/>
      <c r="B3019" s="402"/>
      <c r="C3019" s="402"/>
    </row>
    <row r="3020" spans="1:3" x14ac:dyDescent="0.2">
      <c r="A3020" s="402"/>
      <c r="B3020" s="402"/>
      <c r="C3020" s="402"/>
    </row>
    <row r="3021" spans="1:3" x14ac:dyDescent="0.2">
      <c r="A3021" s="402"/>
      <c r="B3021" s="402"/>
      <c r="C3021" s="402"/>
    </row>
    <row r="3022" spans="1:3" x14ac:dyDescent="0.2">
      <c r="A3022" s="402"/>
      <c r="B3022" s="402"/>
      <c r="C3022" s="402"/>
    </row>
    <row r="3023" spans="1:3" x14ac:dyDescent="0.2">
      <c r="A3023" s="402"/>
      <c r="B3023" s="402"/>
      <c r="C3023" s="402"/>
    </row>
    <row r="3024" spans="1:3" x14ac:dyDescent="0.2">
      <c r="A3024" s="402"/>
      <c r="B3024" s="402"/>
      <c r="C3024" s="402"/>
    </row>
    <row r="3025" spans="1:3" x14ac:dyDescent="0.2">
      <c r="A3025" s="402"/>
      <c r="B3025" s="402"/>
      <c r="C3025" s="402"/>
    </row>
    <row r="3026" spans="1:3" x14ac:dyDescent="0.2">
      <c r="A3026" s="402"/>
      <c r="B3026" s="402"/>
      <c r="C3026" s="402"/>
    </row>
    <row r="3027" spans="1:3" x14ac:dyDescent="0.2">
      <c r="A3027" s="402"/>
      <c r="B3027" s="402"/>
      <c r="C3027" s="402"/>
    </row>
    <row r="3028" spans="1:3" x14ac:dyDescent="0.2">
      <c r="A3028" s="402"/>
      <c r="B3028" s="402"/>
      <c r="C3028" s="402"/>
    </row>
    <row r="3029" spans="1:3" x14ac:dyDescent="0.2">
      <c r="A3029" s="402"/>
      <c r="B3029" s="402"/>
      <c r="C3029" s="402"/>
    </row>
    <row r="3030" spans="1:3" x14ac:dyDescent="0.2">
      <c r="A3030" s="402"/>
      <c r="B3030" s="402"/>
      <c r="C3030" s="402"/>
    </row>
    <row r="3031" spans="1:3" x14ac:dyDescent="0.2">
      <c r="A3031" s="402"/>
      <c r="B3031" s="402"/>
      <c r="C3031" s="402"/>
    </row>
    <row r="3032" spans="1:3" x14ac:dyDescent="0.2">
      <c r="A3032" s="402"/>
      <c r="B3032" s="402"/>
      <c r="C3032" s="402"/>
    </row>
    <row r="3033" spans="1:3" x14ac:dyDescent="0.2">
      <c r="A3033" s="402"/>
      <c r="B3033" s="402"/>
      <c r="C3033" s="402"/>
    </row>
    <row r="3034" spans="1:3" x14ac:dyDescent="0.2">
      <c r="A3034" s="402"/>
      <c r="B3034" s="402"/>
      <c r="C3034" s="402"/>
    </row>
    <row r="3035" spans="1:3" x14ac:dyDescent="0.2">
      <c r="A3035" s="402"/>
      <c r="B3035" s="402"/>
      <c r="C3035" s="402"/>
    </row>
    <row r="3036" spans="1:3" x14ac:dyDescent="0.2">
      <c r="A3036" s="402"/>
      <c r="B3036" s="402"/>
      <c r="C3036" s="402"/>
    </row>
    <row r="3037" spans="1:3" x14ac:dyDescent="0.2">
      <c r="A3037" s="402"/>
      <c r="B3037" s="402"/>
      <c r="C3037" s="402"/>
    </row>
    <row r="3038" spans="1:3" x14ac:dyDescent="0.2">
      <c r="A3038" s="402"/>
      <c r="B3038" s="402"/>
      <c r="C3038" s="402"/>
    </row>
    <row r="3039" spans="1:3" x14ac:dyDescent="0.2">
      <c r="A3039" s="402"/>
      <c r="B3039" s="402"/>
      <c r="C3039" s="402"/>
    </row>
    <row r="3040" spans="1:3" x14ac:dyDescent="0.2">
      <c r="A3040" s="402"/>
      <c r="B3040" s="402"/>
      <c r="C3040" s="402"/>
    </row>
    <row r="3041" spans="1:3" x14ac:dyDescent="0.2">
      <c r="A3041" s="402"/>
      <c r="B3041" s="402"/>
      <c r="C3041" s="402"/>
    </row>
    <row r="3042" spans="1:3" x14ac:dyDescent="0.2">
      <c r="A3042" s="402"/>
      <c r="B3042" s="402"/>
      <c r="C3042" s="402"/>
    </row>
    <row r="3043" spans="1:3" x14ac:dyDescent="0.2">
      <c r="A3043" s="402"/>
      <c r="B3043" s="402"/>
      <c r="C3043" s="402"/>
    </row>
    <row r="3044" spans="1:3" x14ac:dyDescent="0.2">
      <c r="A3044" s="402"/>
      <c r="B3044" s="402"/>
      <c r="C3044" s="402"/>
    </row>
    <row r="3045" spans="1:3" x14ac:dyDescent="0.2">
      <c r="A3045" s="402"/>
      <c r="B3045" s="402"/>
      <c r="C3045" s="402"/>
    </row>
    <row r="3046" spans="1:3" x14ac:dyDescent="0.2">
      <c r="A3046" s="402"/>
      <c r="B3046" s="402"/>
      <c r="C3046" s="402"/>
    </row>
    <row r="3047" spans="1:3" x14ac:dyDescent="0.2">
      <c r="A3047" s="402"/>
      <c r="B3047" s="402"/>
      <c r="C3047" s="402"/>
    </row>
    <row r="3048" spans="1:3" x14ac:dyDescent="0.2">
      <c r="A3048" s="402"/>
      <c r="B3048" s="402"/>
      <c r="C3048" s="402"/>
    </row>
    <row r="3049" spans="1:3" x14ac:dyDescent="0.2">
      <c r="A3049" s="402"/>
      <c r="B3049" s="402"/>
      <c r="C3049" s="402"/>
    </row>
    <row r="3050" spans="1:3" x14ac:dyDescent="0.2">
      <c r="A3050" s="402"/>
      <c r="B3050" s="402"/>
      <c r="C3050" s="402"/>
    </row>
    <row r="3051" spans="1:3" x14ac:dyDescent="0.2">
      <c r="A3051" s="402"/>
      <c r="B3051" s="402"/>
      <c r="C3051" s="402"/>
    </row>
    <row r="3052" spans="1:3" x14ac:dyDescent="0.2">
      <c r="A3052" s="402"/>
      <c r="B3052" s="402"/>
      <c r="C3052" s="402"/>
    </row>
    <row r="3053" spans="1:3" x14ac:dyDescent="0.2">
      <c r="A3053" s="402"/>
      <c r="B3053" s="402"/>
      <c r="C3053" s="402"/>
    </row>
    <row r="3054" spans="1:3" x14ac:dyDescent="0.2">
      <c r="A3054" s="402"/>
      <c r="B3054" s="402"/>
      <c r="C3054" s="402"/>
    </row>
    <row r="3055" spans="1:3" x14ac:dyDescent="0.2">
      <c r="A3055" s="402"/>
      <c r="B3055" s="402"/>
      <c r="C3055" s="402"/>
    </row>
    <row r="3056" spans="1:3" x14ac:dyDescent="0.2">
      <c r="A3056" s="402"/>
      <c r="B3056" s="402"/>
      <c r="C3056" s="402"/>
    </row>
    <row r="3057" spans="1:3" x14ac:dyDescent="0.2">
      <c r="A3057" s="402"/>
      <c r="B3057" s="402"/>
      <c r="C3057" s="402"/>
    </row>
    <row r="3058" spans="1:3" x14ac:dyDescent="0.2">
      <c r="A3058" s="402"/>
      <c r="B3058" s="402"/>
      <c r="C3058" s="402"/>
    </row>
    <row r="3059" spans="1:3" x14ac:dyDescent="0.2">
      <c r="A3059" s="402"/>
      <c r="B3059" s="402"/>
      <c r="C3059" s="402"/>
    </row>
    <row r="3060" spans="1:3" x14ac:dyDescent="0.2">
      <c r="A3060" s="402"/>
      <c r="B3060" s="402"/>
      <c r="C3060" s="402"/>
    </row>
    <row r="3061" spans="1:3" x14ac:dyDescent="0.2">
      <c r="A3061" s="402"/>
      <c r="B3061" s="402"/>
      <c r="C3061" s="402"/>
    </row>
    <row r="3062" spans="1:3" x14ac:dyDescent="0.2">
      <c r="A3062" s="402"/>
      <c r="B3062" s="402"/>
      <c r="C3062" s="402"/>
    </row>
    <row r="3063" spans="1:3" x14ac:dyDescent="0.2">
      <c r="A3063" s="402"/>
      <c r="B3063" s="402"/>
      <c r="C3063" s="402"/>
    </row>
    <row r="3064" spans="1:3" x14ac:dyDescent="0.2">
      <c r="A3064" s="402"/>
      <c r="B3064" s="402"/>
      <c r="C3064" s="402"/>
    </row>
    <row r="3065" spans="1:3" x14ac:dyDescent="0.2">
      <c r="A3065" s="402"/>
      <c r="B3065" s="402"/>
      <c r="C3065" s="402"/>
    </row>
    <row r="3066" spans="1:3" x14ac:dyDescent="0.2">
      <c r="A3066" s="402"/>
      <c r="B3066" s="402"/>
      <c r="C3066" s="402"/>
    </row>
    <row r="3067" spans="1:3" x14ac:dyDescent="0.2">
      <c r="A3067" s="402"/>
      <c r="B3067" s="402"/>
      <c r="C3067" s="402"/>
    </row>
    <row r="3068" spans="1:3" x14ac:dyDescent="0.2">
      <c r="A3068" s="402"/>
      <c r="B3068" s="402"/>
      <c r="C3068" s="402"/>
    </row>
    <row r="3069" spans="1:3" x14ac:dyDescent="0.2">
      <c r="A3069" s="402"/>
      <c r="B3069" s="402"/>
      <c r="C3069" s="402"/>
    </row>
    <row r="3070" spans="1:3" x14ac:dyDescent="0.2">
      <c r="A3070" s="402"/>
      <c r="B3070" s="402"/>
      <c r="C3070" s="402"/>
    </row>
    <row r="3071" spans="1:3" x14ac:dyDescent="0.2">
      <c r="A3071" s="402"/>
      <c r="B3071" s="402"/>
      <c r="C3071" s="402"/>
    </row>
    <row r="3072" spans="1:3" x14ac:dyDescent="0.2">
      <c r="A3072" s="402"/>
      <c r="B3072" s="402"/>
      <c r="C3072" s="402"/>
    </row>
    <row r="3073" spans="1:3" x14ac:dyDescent="0.2">
      <c r="A3073" s="402"/>
      <c r="B3073" s="402"/>
      <c r="C3073" s="402"/>
    </row>
    <row r="3074" spans="1:3" x14ac:dyDescent="0.2">
      <c r="A3074" s="402"/>
      <c r="B3074" s="402"/>
      <c r="C3074" s="402"/>
    </row>
    <row r="3075" spans="1:3" x14ac:dyDescent="0.2">
      <c r="A3075" s="402"/>
      <c r="B3075" s="402"/>
      <c r="C3075" s="402"/>
    </row>
    <row r="3076" spans="1:3" x14ac:dyDescent="0.2">
      <c r="A3076" s="402"/>
      <c r="B3076" s="402"/>
      <c r="C3076" s="402"/>
    </row>
    <row r="3077" spans="1:3" x14ac:dyDescent="0.2">
      <c r="A3077" s="402"/>
      <c r="B3077" s="402"/>
      <c r="C3077" s="402"/>
    </row>
    <row r="3078" spans="1:3" x14ac:dyDescent="0.2">
      <c r="A3078" s="402"/>
      <c r="B3078" s="402"/>
      <c r="C3078" s="402"/>
    </row>
    <row r="3079" spans="1:3" x14ac:dyDescent="0.2">
      <c r="A3079" s="402"/>
      <c r="B3079" s="402"/>
      <c r="C3079" s="402"/>
    </row>
    <row r="3080" spans="1:3" x14ac:dyDescent="0.2">
      <c r="A3080" s="402"/>
      <c r="B3080" s="402"/>
      <c r="C3080" s="402"/>
    </row>
    <row r="3081" spans="1:3" x14ac:dyDescent="0.2">
      <c r="A3081" s="402"/>
      <c r="B3081" s="402"/>
      <c r="C3081" s="402"/>
    </row>
    <row r="3082" spans="1:3" x14ac:dyDescent="0.2">
      <c r="A3082" s="402"/>
      <c r="B3082" s="402"/>
      <c r="C3082" s="402"/>
    </row>
    <row r="3083" spans="1:3" x14ac:dyDescent="0.2">
      <c r="A3083" s="402"/>
      <c r="B3083" s="402"/>
      <c r="C3083" s="402"/>
    </row>
    <row r="3084" spans="1:3" x14ac:dyDescent="0.2">
      <c r="A3084" s="402"/>
      <c r="B3084" s="402"/>
      <c r="C3084" s="402"/>
    </row>
    <row r="3085" spans="1:3" x14ac:dyDescent="0.2">
      <c r="A3085" s="402"/>
      <c r="B3085" s="402"/>
      <c r="C3085" s="402"/>
    </row>
    <row r="3086" spans="1:3" x14ac:dyDescent="0.2">
      <c r="A3086" s="402"/>
      <c r="B3086" s="402"/>
      <c r="C3086" s="402"/>
    </row>
    <row r="3087" spans="1:3" x14ac:dyDescent="0.2">
      <c r="A3087" s="402"/>
      <c r="B3087" s="402"/>
      <c r="C3087" s="402"/>
    </row>
    <row r="3088" spans="1:3" x14ac:dyDescent="0.2">
      <c r="A3088" s="402"/>
      <c r="B3088" s="402"/>
      <c r="C3088" s="402"/>
    </row>
    <row r="3089" spans="1:3" x14ac:dyDescent="0.2">
      <c r="A3089" s="402"/>
      <c r="B3089" s="402"/>
      <c r="C3089" s="402"/>
    </row>
    <row r="3090" spans="1:3" x14ac:dyDescent="0.2">
      <c r="A3090" s="402"/>
      <c r="B3090" s="402"/>
      <c r="C3090" s="402"/>
    </row>
    <row r="3091" spans="1:3" x14ac:dyDescent="0.2">
      <c r="A3091" s="402"/>
      <c r="B3091" s="402"/>
      <c r="C3091" s="402"/>
    </row>
    <row r="3092" spans="1:3" x14ac:dyDescent="0.2">
      <c r="A3092" s="402"/>
      <c r="B3092" s="402"/>
      <c r="C3092" s="402"/>
    </row>
    <row r="3093" spans="1:3" x14ac:dyDescent="0.2">
      <c r="A3093" s="402"/>
      <c r="B3093" s="402"/>
      <c r="C3093" s="402"/>
    </row>
    <row r="3094" spans="1:3" x14ac:dyDescent="0.2">
      <c r="A3094" s="402"/>
      <c r="B3094" s="402"/>
      <c r="C3094" s="402"/>
    </row>
    <row r="3095" spans="1:3" x14ac:dyDescent="0.2">
      <c r="A3095" s="402"/>
      <c r="B3095" s="402"/>
      <c r="C3095" s="402"/>
    </row>
    <row r="3096" spans="1:3" x14ac:dyDescent="0.2">
      <c r="A3096" s="402"/>
      <c r="B3096" s="402"/>
      <c r="C3096" s="402"/>
    </row>
    <row r="3097" spans="1:3" x14ac:dyDescent="0.2">
      <c r="A3097" s="402"/>
      <c r="B3097" s="402"/>
      <c r="C3097" s="402"/>
    </row>
    <row r="3098" spans="1:3" x14ac:dyDescent="0.2">
      <c r="A3098" s="402"/>
      <c r="B3098" s="402"/>
      <c r="C3098" s="402"/>
    </row>
    <row r="3099" spans="1:3" x14ac:dyDescent="0.2">
      <c r="A3099" s="402"/>
      <c r="B3099" s="402"/>
      <c r="C3099" s="402"/>
    </row>
    <row r="3100" spans="1:3" x14ac:dyDescent="0.2">
      <c r="A3100" s="402"/>
      <c r="B3100" s="402"/>
      <c r="C3100" s="402"/>
    </row>
    <row r="3101" spans="1:3" x14ac:dyDescent="0.2">
      <c r="A3101" s="402"/>
      <c r="B3101" s="402"/>
      <c r="C3101" s="402"/>
    </row>
    <row r="3102" spans="1:3" x14ac:dyDescent="0.2">
      <c r="A3102" s="402"/>
      <c r="B3102" s="402"/>
      <c r="C3102" s="402"/>
    </row>
    <row r="3103" spans="1:3" x14ac:dyDescent="0.2">
      <c r="A3103" s="402"/>
      <c r="B3103" s="402"/>
      <c r="C3103" s="402"/>
    </row>
    <row r="3104" spans="1:3" x14ac:dyDescent="0.2">
      <c r="A3104" s="402"/>
      <c r="B3104" s="402"/>
      <c r="C3104" s="402"/>
    </row>
    <row r="3105" spans="1:3" x14ac:dyDescent="0.2">
      <c r="A3105" s="402"/>
      <c r="B3105" s="402"/>
      <c r="C3105" s="402"/>
    </row>
    <row r="3106" spans="1:3" x14ac:dyDescent="0.2">
      <c r="A3106" s="402"/>
      <c r="B3106" s="402"/>
      <c r="C3106" s="402"/>
    </row>
    <row r="3107" spans="1:3" x14ac:dyDescent="0.2">
      <c r="A3107" s="402"/>
      <c r="B3107" s="402"/>
      <c r="C3107" s="402"/>
    </row>
    <row r="3108" spans="1:3" x14ac:dyDescent="0.2">
      <c r="A3108" s="402"/>
      <c r="B3108" s="402"/>
      <c r="C3108" s="402"/>
    </row>
    <row r="3109" spans="1:3" x14ac:dyDescent="0.2">
      <c r="A3109" s="402"/>
      <c r="B3109" s="402"/>
      <c r="C3109" s="402"/>
    </row>
    <row r="3110" spans="1:3" x14ac:dyDescent="0.2">
      <c r="A3110" s="402"/>
      <c r="B3110" s="402"/>
      <c r="C3110" s="402"/>
    </row>
    <row r="3111" spans="1:3" x14ac:dyDescent="0.2">
      <c r="A3111" s="402"/>
      <c r="B3111" s="402"/>
      <c r="C3111" s="402"/>
    </row>
    <row r="3112" spans="1:3" x14ac:dyDescent="0.2">
      <c r="A3112" s="402"/>
      <c r="B3112" s="402"/>
      <c r="C3112" s="402"/>
    </row>
    <row r="3113" spans="1:3" x14ac:dyDescent="0.2">
      <c r="A3113" s="402"/>
      <c r="B3113" s="402"/>
      <c r="C3113" s="402"/>
    </row>
    <row r="3114" spans="1:3" x14ac:dyDescent="0.2">
      <c r="A3114" s="402"/>
      <c r="B3114" s="402"/>
      <c r="C3114" s="402"/>
    </row>
    <row r="3115" spans="1:3" x14ac:dyDescent="0.2">
      <c r="A3115" s="402"/>
      <c r="B3115" s="402"/>
      <c r="C3115" s="402"/>
    </row>
    <row r="3116" spans="1:3" x14ac:dyDescent="0.2">
      <c r="A3116" s="402"/>
      <c r="B3116" s="402"/>
      <c r="C3116" s="402"/>
    </row>
    <row r="3117" spans="1:3" x14ac:dyDescent="0.2">
      <c r="A3117" s="402"/>
      <c r="B3117" s="402"/>
      <c r="C3117" s="402"/>
    </row>
    <row r="3118" spans="1:3" x14ac:dyDescent="0.2">
      <c r="A3118" s="402"/>
      <c r="B3118" s="402"/>
      <c r="C3118" s="402"/>
    </row>
    <row r="3119" spans="1:3" x14ac:dyDescent="0.2">
      <c r="A3119" s="402"/>
      <c r="B3119" s="402"/>
      <c r="C3119" s="402"/>
    </row>
    <row r="3120" spans="1:3" x14ac:dyDescent="0.2">
      <c r="A3120" s="402"/>
      <c r="B3120" s="402"/>
      <c r="C3120" s="402"/>
    </row>
    <row r="3121" spans="1:3" x14ac:dyDescent="0.2">
      <c r="A3121" s="402"/>
      <c r="B3121" s="402"/>
      <c r="C3121" s="402"/>
    </row>
    <row r="3122" spans="1:3" x14ac:dyDescent="0.2">
      <c r="A3122" s="402"/>
      <c r="B3122" s="402"/>
      <c r="C3122" s="402"/>
    </row>
    <row r="3123" spans="1:3" x14ac:dyDescent="0.2">
      <c r="A3123" s="402"/>
      <c r="B3123" s="402"/>
      <c r="C3123" s="402"/>
    </row>
    <row r="3124" spans="1:3" x14ac:dyDescent="0.2">
      <c r="A3124" s="402"/>
      <c r="B3124" s="402"/>
      <c r="C3124" s="402"/>
    </row>
    <row r="3125" spans="1:3" x14ac:dyDescent="0.2">
      <c r="A3125" s="402"/>
      <c r="B3125" s="402"/>
      <c r="C3125" s="402"/>
    </row>
    <row r="3126" spans="1:3" x14ac:dyDescent="0.2">
      <c r="A3126" s="402"/>
      <c r="B3126" s="402"/>
      <c r="C3126" s="402"/>
    </row>
    <row r="3127" spans="1:3" x14ac:dyDescent="0.2">
      <c r="A3127" s="402"/>
      <c r="B3127" s="402"/>
      <c r="C3127" s="402"/>
    </row>
    <row r="3128" spans="1:3" x14ac:dyDescent="0.2">
      <c r="A3128" s="402"/>
      <c r="B3128" s="402"/>
      <c r="C3128" s="402"/>
    </row>
    <row r="3129" spans="1:3" x14ac:dyDescent="0.2">
      <c r="A3129" s="402"/>
      <c r="B3129" s="402"/>
      <c r="C3129" s="402"/>
    </row>
    <row r="3130" spans="1:3" x14ac:dyDescent="0.2">
      <c r="A3130" s="402"/>
      <c r="B3130" s="402"/>
      <c r="C3130" s="402"/>
    </row>
    <row r="3131" spans="1:3" x14ac:dyDescent="0.2">
      <c r="A3131" s="402"/>
      <c r="B3131" s="402"/>
      <c r="C3131" s="402"/>
    </row>
    <row r="3132" spans="1:3" x14ac:dyDescent="0.2">
      <c r="A3132" s="402"/>
      <c r="B3132" s="402"/>
      <c r="C3132" s="402"/>
    </row>
    <row r="3133" spans="1:3" x14ac:dyDescent="0.2">
      <c r="A3133" s="402"/>
      <c r="B3133" s="402"/>
      <c r="C3133" s="402"/>
    </row>
    <row r="3134" spans="1:3" x14ac:dyDescent="0.2">
      <c r="A3134" s="402"/>
      <c r="B3134" s="402"/>
      <c r="C3134" s="402"/>
    </row>
    <row r="3135" spans="1:3" x14ac:dyDescent="0.2">
      <c r="A3135" s="402"/>
      <c r="B3135" s="402"/>
      <c r="C3135" s="402"/>
    </row>
    <row r="3136" spans="1:3" x14ac:dyDescent="0.2">
      <c r="A3136" s="402"/>
      <c r="B3136" s="402"/>
      <c r="C3136" s="402"/>
    </row>
    <row r="3137" spans="1:3" x14ac:dyDescent="0.2">
      <c r="A3137" s="402"/>
      <c r="B3137" s="402"/>
      <c r="C3137" s="402"/>
    </row>
    <row r="3138" spans="1:3" x14ac:dyDescent="0.2">
      <c r="A3138" s="402"/>
      <c r="B3138" s="402"/>
      <c r="C3138" s="402"/>
    </row>
    <row r="3139" spans="1:3" x14ac:dyDescent="0.2">
      <c r="A3139" s="402"/>
      <c r="B3139" s="402"/>
      <c r="C3139" s="402"/>
    </row>
    <row r="3140" spans="1:3" x14ac:dyDescent="0.2">
      <c r="A3140" s="402"/>
      <c r="B3140" s="402"/>
      <c r="C3140" s="402"/>
    </row>
    <row r="3141" spans="1:3" x14ac:dyDescent="0.2">
      <c r="A3141" s="402"/>
      <c r="B3141" s="402"/>
      <c r="C3141" s="402"/>
    </row>
    <row r="3142" spans="1:3" x14ac:dyDescent="0.2">
      <c r="A3142" s="402"/>
      <c r="B3142" s="402"/>
      <c r="C3142" s="402"/>
    </row>
    <row r="3143" spans="1:3" x14ac:dyDescent="0.2">
      <c r="A3143" s="402"/>
      <c r="B3143" s="402"/>
      <c r="C3143" s="402"/>
    </row>
    <row r="3144" spans="1:3" x14ac:dyDescent="0.2">
      <c r="A3144" s="402"/>
      <c r="B3144" s="402"/>
      <c r="C3144" s="402"/>
    </row>
    <row r="3145" spans="1:3" x14ac:dyDescent="0.2">
      <c r="A3145" s="402"/>
      <c r="B3145" s="402"/>
      <c r="C3145" s="402"/>
    </row>
    <row r="3146" spans="1:3" x14ac:dyDescent="0.2">
      <c r="A3146" s="402"/>
      <c r="B3146" s="402"/>
      <c r="C3146" s="402"/>
    </row>
    <row r="3147" spans="1:3" x14ac:dyDescent="0.2">
      <c r="A3147" s="402"/>
      <c r="B3147" s="402"/>
      <c r="C3147" s="402"/>
    </row>
    <row r="3148" spans="1:3" x14ac:dyDescent="0.2">
      <c r="A3148" s="402"/>
      <c r="B3148" s="402"/>
      <c r="C3148" s="402"/>
    </row>
    <row r="3149" spans="1:3" x14ac:dyDescent="0.2">
      <c r="A3149" s="402"/>
      <c r="B3149" s="402"/>
      <c r="C3149" s="402"/>
    </row>
    <row r="3150" spans="1:3" x14ac:dyDescent="0.2">
      <c r="A3150" s="402"/>
      <c r="B3150" s="402"/>
      <c r="C3150" s="402"/>
    </row>
    <row r="3151" spans="1:3" x14ac:dyDescent="0.2">
      <c r="A3151" s="402"/>
      <c r="B3151" s="402"/>
      <c r="C3151" s="402"/>
    </row>
    <row r="3152" spans="1:3" x14ac:dyDescent="0.2">
      <c r="A3152" s="402"/>
      <c r="B3152" s="402"/>
      <c r="C3152" s="402"/>
    </row>
    <row r="3153" spans="1:3" x14ac:dyDescent="0.2">
      <c r="A3153" s="402"/>
      <c r="B3153" s="402"/>
      <c r="C3153" s="402"/>
    </row>
    <row r="3154" spans="1:3" x14ac:dyDescent="0.2">
      <c r="A3154" s="402"/>
      <c r="B3154" s="402"/>
      <c r="C3154" s="402"/>
    </row>
    <row r="3155" spans="1:3" x14ac:dyDescent="0.2">
      <c r="A3155" s="402"/>
      <c r="B3155" s="402"/>
      <c r="C3155" s="402"/>
    </row>
    <row r="3156" spans="1:3" x14ac:dyDescent="0.2">
      <c r="A3156" s="402"/>
      <c r="B3156" s="402"/>
      <c r="C3156" s="402"/>
    </row>
    <row r="3157" spans="1:3" x14ac:dyDescent="0.2">
      <c r="A3157" s="402"/>
      <c r="B3157" s="402"/>
      <c r="C3157" s="402"/>
    </row>
    <row r="3158" spans="1:3" x14ac:dyDescent="0.2">
      <c r="A3158" s="402"/>
      <c r="B3158" s="402"/>
      <c r="C3158" s="402"/>
    </row>
    <row r="3159" spans="1:3" x14ac:dyDescent="0.2">
      <c r="A3159" s="402"/>
      <c r="B3159" s="402"/>
      <c r="C3159" s="402"/>
    </row>
    <row r="3160" spans="1:3" x14ac:dyDescent="0.2">
      <c r="A3160" s="402"/>
      <c r="B3160" s="402"/>
      <c r="C3160" s="402"/>
    </row>
    <row r="3161" spans="1:3" x14ac:dyDescent="0.2">
      <c r="A3161" s="402"/>
      <c r="B3161" s="402"/>
      <c r="C3161" s="402"/>
    </row>
    <row r="3162" spans="1:3" x14ac:dyDescent="0.2">
      <c r="A3162" s="402"/>
      <c r="B3162" s="402"/>
      <c r="C3162" s="402"/>
    </row>
    <row r="3163" spans="1:3" x14ac:dyDescent="0.2">
      <c r="A3163" s="402"/>
      <c r="B3163" s="402"/>
      <c r="C3163" s="402"/>
    </row>
    <row r="3164" spans="1:3" x14ac:dyDescent="0.2">
      <c r="A3164" s="402"/>
      <c r="B3164" s="402"/>
      <c r="C3164" s="402"/>
    </row>
    <row r="3165" spans="1:3" x14ac:dyDescent="0.2">
      <c r="A3165" s="402"/>
      <c r="B3165" s="402"/>
      <c r="C3165" s="402"/>
    </row>
    <row r="3166" spans="1:3" x14ac:dyDescent="0.2">
      <c r="A3166" s="402"/>
      <c r="B3166" s="402"/>
      <c r="C3166" s="402"/>
    </row>
    <row r="3167" spans="1:3" x14ac:dyDescent="0.2">
      <c r="A3167" s="402"/>
      <c r="B3167" s="402"/>
      <c r="C3167" s="402"/>
    </row>
    <row r="3168" spans="1:3" x14ac:dyDescent="0.2">
      <c r="A3168" s="402"/>
      <c r="B3168" s="402"/>
      <c r="C3168" s="402"/>
    </row>
    <row r="3169" spans="1:3" x14ac:dyDescent="0.2">
      <c r="A3169" s="402"/>
      <c r="B3169" s="402"/>
      <c r="C3169" s="402"/>
    </row>
    <row r="3170" spans="1:3" x14ac:dyDescent="0.2">
      <c r="A3170" s="402"/>
      <c r="B3170" s="402"/>
      <c r="C3170" s="402"/>
    </row>
    <row r="3171" spans="1:3" x14ac:dyDescent="0.2">
      <c r="A3171" s="402"/>
      <c r="B3171" s="402"/>
      <c r="C3171" s="402"/>
    </row>
    <row r="3172" spans="1:3" x14ac:dyDescent="0.2">
      <c r="A3172" s="402"/>
      <c r="B3172" s="402"/>
      <c r="C3172" s="402"/>
    </row>
    <row r="3173" spans="1:3" x14ac:dyDescent="0.2">
      <c r="A3173" s="402"/>
      <c r="B3173" s="402"/>
      <c r="C3173" s="402"/>
    </row>
    <row r="3174" spans="1:3" x14ac:dyDescent="0.2">
      <c r="A3174" s="402"/>
      <c r="B3174" s="402"/>
      <c r="C3174" s="402"/>
    </row>
    <row r="3175" spans="1:3" x14ac:dyDescent="0.2">
      <c r="A3175" s="402"/>
      <c r="B3175" s="402"/>
      <c r="C3175" s="402"/>
    </row>
    <row r="3176" spans="1:3" x14ac:dyDescent="0.2">
      <c r="A3176" s="402"/>
      <c r="B3176" s="402"/>
      <c r="C3176" s="402"/>
    </row>
    <row r="3177" spans="1:3" x14ac:dyDescent="0.2">
      <c r="A3177" s="402"/>
      <c r="B3177" s="402"/>
      <c r="C3177" s="402"/>
    </row>
    <row r="3178" spans="1:3" x14ac:dyDescent="0.2">
      <c r="A3178" s="402"/>
      <c r="B3178" s="402"/>
      <c r="C3178" s="402"/>
    </row>
    <row r="3179" spans="1:3" x14ac:dyDescent="0.2">
      <c r="A3179" s="402"/>
      <c r="B3179" s="402"/>
      <c r="C3179" s="402"/>
    </row>
    <row r="3180" spans="1:3" x14ac:dyDescent="0.2">
      <c r="A3180" s="402"/>
      <c r="B3180" s="402"/>
      <c r="C3180" s="402"/>
    </row>
    <row r="3181" spans="1:3" x14ac:dyDescent="0.2">
      <c r="A3181" s="402"/>
      <c r="B3181" s="402"/>
      <c r="C3181" s="402"/>
    </row>
    <row r="3182" spans="1:3" x14ac:dyDescent="0.2">
      <c r="A3182" s="402"/>
      <c r="B3182" s="402"/>
      <c r="C3182" s="402"/>
    </row>
    <row r="3183" spans="1:3" x14ac:dyDescent="0.2">
      <c r="A3183" s="402"/>
      <c r="B3183" s="402"/>
      <c r="C3183" s="402"/>
    </row>
    <row r="3184" spans="1:3" x14ac:dyDescent="0.2">
      <c r="A3184" s="402"/>
      <c r="B3184" s="402"/>
      <c r="C3184" s="402"/>
    </row>
    <row r="3185" spans="1:3" x14ac:dyDescent="0.2">
      <c r="A3185" s="402"/>
      <c r="B3185" s="402"/>
      <c r="C3185" s="402"/>
    </row>
    <row r="3186" spans="1:3" x14ac:dyDescent="0.2">
      <c r="A3186" s="402"/>
      <c r="B3186" s="402"/>
      <c r="C3186" s="402"/>
    </row>
    <row r="3187" spans="1:3" x14ac:dyDescent="0.2">
      <c r="A3187" s="402"/>
      <c r="B3187" s="402"/>
      <c r="C3187" s="402"/>
    </row>
    <row r="3188" spans="1:3" x14ac:dyDescent="0.2">
      <c r="A3188" s="402"/>
      <c r="B3188" s="402"/>
      <c r="C3188" s="402"/>
    </row>
    <row r="3189" spans="1:3" x14ac:dyDescent="0.2">
      <c r="A3189" s="402"/>
      <c r="B3189" s="402"/>
      <c r="C3189" s="402"/>
    </row>
    <row r="3190" spans="1:3" x14ac:dyDescent="0.2">
      <c r="A3190" s="402"/>
      <c r="B3190" s="402"/>
      <c r="C3190" s="402"/>
    </row>
    <row r="3191" spans="1:3" x14ac:dyDescent="0.2">
      <c r="A3191" s="402"/>
      <c r="B3191" s="402"/>
      <c r="C3191" s="402"/>
    </row>
    <row r="3192" spans="1:3" x14ac:dyDescent="0.2">
      <c r="A3192" s="402"/>
      <c r="B3192" s="402"/>
      <c r="C3192" s="402"/>
    </row>
    <row r="3193" spans="1:3" x14ac:dyDescent="0.2">
      <c r="A3193" s="402"/>
      <c r="B3193" s="402"/>
      <c r="C3193" s="402"/>
    </row>
    <row r="3194" spans="1:3" x14ac:dyDescent="0.2">
      <c r="A3194" s="402"/>
      <c r="B3194" s="402"/>
      <c r="C3194" s="402"/>
    </row>
    <row r="3195" spans="1:3" x14ac:dyDescent="0.2">
      <c r="A3195" s="402"/>
      <c r="B3195" s="402"/>
      <c r="C3195" s="402"/>
    </row>
    <row r="3196" spans="1:3" x14ac:dyDescent="0.2">
      <c r="A3196" s="402"/>
      <c r="B3196" s="402"/>
      <c r="C3196" s="402"/>
    </row>
    <row r="3197" spans="1:3" x14ac:dyDescent="0.2">
      <c r="A3197" s="402"/>
      <c r="B3197" s="402"/>
      <c r="C3197" s="402"/>
    </row>
    <row r="3198" spans="1:3" x14ac:dyDescent="0.2">
      <c r="A3198" s="402"/>
      <c r="B3198" s="402"/>
      <c r="C3198" s="402"/>
    </row>
    <row r="3199" spans="1:3" x14ac:dyDescent="0.2">
      <c r="A3199" s="402"/>
      <c r="B3199" s="402"/>
      <c r="C3199" s="402"/>
    </row>
    <row r="3200" spans="1:3" x14ac:dyDescent="0.2">
      <c r="A3200" s="402"/>
      <c r="B3200" s="402"/>
      <c r="C3200" s="402"/>
    </row>
    <row r="3201" spans="1:3" x14ac:dyDescent="0.2">
      <c r="A3201" s="402"/>
      <c r="B3201" s="402"/>
      <c r="C3201" s="402"/>
    </row>
    <row r="3202" spans="1:3" x14ac:dyDescent="0.2">
      <c r="A3202" s="402"/>
      <c r="B3202" s="402"/>
      <c r="C3202" s="402"/>
    </row>
    <row r="3203" spans="1:3" x14ac:dyDescent="0.2">
      <c r="A3203" s="402"/>
      <c r="B3203" s="402"/>
      <c r="C3203" s="402"/>
    </row>
    <row r="3204" spans="1:3" x14ac:dyDescent="0.2">
      <c r="A3204" s="402"/>
      <c r="B3204" s="402"/>
      <c r="C3204" s="402"/>
    </row>
    <row r="3205" spans="1:3" x14ac:dyDescent="0.2">
      <c r="A3205" s="402"/>
      <c r="B3205" s="402"/>
      <c r="C3205" s="402"/>
    </row>
    <row r="3206" spans="1:3" x14ac:dyDescent="0.2">
      <c r="A3206" s="402"/>
      <c r="B3206" s="402"/>
      <c r="C3206" s="402"/>
    </row>
    <row r="3207" spans="1:3" x14ac:dyDescent="0.2">
      <c r="A3207" s="402"/>
      <c r="B3207" s="402"/>
      <c r="C3207" s="402"/>
    </row>
    <row r="3208" spans="1:3" x14ac:dyDescent="0.2">
      <c r="A3208" s="402"/>
      <c r="B3208" s="402"/>
      <c r="C3208" s="402"/>
    </row>
    <row r="3209" spans="1:3" x14ac:dyDescent="0.2">
      <c r="A3209" s="402"/>
      <c r="B3209" s="402"/>
      <c r="C3209" s="402"/>
    </row>
    <row r="3210" spans="1:3" x14ac:dyDescent="0.2">
      <c r="A3210" s="402"/>
      <c r="B3210" s="402"/>
      <c r="C3210" s="402"/>
    </row>
    <row r="3211" spans="1:3" x14ac:dyDescent="0.2">
      <c r="A3211" s="402"/>
      <c r="B3211" s="402"/>
      <c r="C3211" s="402"/>
    </row>
    <row r="3212" spans="1:3" x14ac:dyDescent="0.2">
      <c r="A3212" s="402"/>
      <c r="B3212" s="402"/>
      <c r="C3212" s="402"/>
    </row>
    <row r="3213" spans="1:3" x14ac:dyDescent="0.2">
      <c r="A3213" s="402"/>
      <c r="B3213" s="402"/>
      <c r="C3213" s="402"/>
    </row>
    <row r="3214" spans="1:3" x14ac:dyDescent="0.2">
      <c r="A3214" s="402"/>
      <c r="B3214" s="402"/>
      <c r="C3214" s="402"/>
    </row>
    <row r="3215" spans="1:3" x14ac:dyDescent="0.2">
      <c r="A3215" s="402"/>
      <c r="B3215" s="402"/>
      <c r="C3215" s="402"/>
    </row>
    <row r="3216" spans="1:3" x14ac:dyDescent="0.2">
      <c r="A3216" s="402"/>
      <c r="B3216" s="402"/>
      <c r="C3216" s="402"/>
    </row>
    <row r="3217" spans="1:3" x14ac:dyDescent="0.2">
      <c r="A3217" s="402"/>
      <c r="B3217" s="402"/>
      <c r="C3217" s="402"/>
    </row>
    <row r="3218" spans="1:3" x14ac:dyDescent="0.2">
      <c r="A3218" s="402"/>
      <c r="B3218" s="402"/>
      <c r="C3218" s="402"/>
    </row>
    <row r="3219" spans="1:3" x14ac:dyDescent="0.2">
      <c r="A3219" s="402"/>
      <c r="B3219" s="402"/>
      <c r="C3219" s="402"/>
    </row>
    <row r="3220" spans="1:3" x14ac:dyDescent="0.2">
      <c r="A3220" s="402"/>
      <c r="B3220" s="402"/>
      <c r="C3220" s="402"/>
    </row>
    <row r="3221" spans="1:3" x14ac:dyDescent="0.2">
      <c r="A3221" s="402"/>
      <c r="B3221" s="402"/>
      <c r="C3221" s="402"/>
    </row>
    <row r="3222" spans="1:3" x14ac:dyDescent="0.2">
      <c r="A3222" s="402"/>
      <c r="B3222" s="402"/>
      <c r="C3222" s="402"/>
    </row>
    <row r="3223" spans="1:3" x14ac:dyDescent="0.2">
      <c r="A3223" s="402"/>
      <c r="B3223" s="402"/>
      <c r="C3223" s="402"/>
    </row>
    <row r="3224" spans="1:3" x14ac:dyDescent="0.2">
      <c r="A3224" s="402"/>
      <c r="B3224" s="402"/>
      <c r="C3224" s="402"/>
    </row>
    <row r="3225" spans="1:3" x14ac:dyDescent="0.2">
      <c r="A3225" s="402"/>
      <c r="B3225" s="402"/>
      <c r="C3225" s="402"/>
    </row>
    <row r="3226" spans="1:3" x14ac:dyDescent="0.2">
      <c r="A3226" s="402"/>
      <c r="B3226" s="402"/>
      <c r="C3226" s="402"/>
    </row>
    <row r="3227" spans="1:3" x14ac:dyDescent="0.2">
      <c r="A3227" s="402"/>
      <c r="B3227" s="402"/>
      <c r="C3227" s="402"/>
    </row>
    <row r="3228" spans="1:3" x14ac:dyDescent="0.2">
      <c r="A3228" s="402"/>
      <c r="B3228" s="402"/>
      <c r="C3228" s="402"/>
    </row>
    <row r="3229" spans="1:3" x14ac:dyDescent="0.2">
      <c r="A3229" s="402"/>
      <c r="B3229" s="402"/>
      <c r="C3229" s="402"/>
    </row>
    <row r="3230" spans="1:3" x14ac:dyDescent="0.2">
      <c r="A3230" s="402"/>
      <c r="B3230" s="402"/>
      <c r="C3230" s="402"/>
    </row>
    <row r="3231" spans="1:3" x14ac:dyDescent="0.2">
      <c r="A3231" s="402"/>
      <c r="B3231" s="402"/>
      <c r="C3231" s="402"/>
    </row>
    <row r="3232" spans="1:3" x14ac:dyDescent="0.2">
      <c r="A3232" s="402"/>
      <c r="B3232" s="402"/>
      <c r="C3232" s="402"/>
    </row>
    <row r="3233" spans="1:3" x14ac:dyDescent="0.2">
      <c r="A3233" s="402"/>
      <c r="B3233" s="402"/>
      <c r="C3233" s="402"/>
    </row>
    <row r="3234" spans="1:3" x14ac:dyDescent="0.2">
      <c r="A3234" s="402"/>
      <c r="B3234" s="402"/>
      <c r="C3234" s="402"/>
    </row>
    <row r="3235" spans="1:3" x14ac:dyDescent="0.2">
      <c r="A3235" s="402"/>
      <c r="B3235" s="402"/>
      <c r="C3235" s="402"/>
    </row>
    <row r="3236" spans="1:3" x14ac:dyDescent="0.2">
      <c r="A3236" s="402"/>
      <c r="B3236" s="402"/>
      <c r="C3236" s="402"/>
    </row>
    <row r="3237" spans="1:3" x14ac:dyDescent="0.2">
      <c r="A3237" s="402"/>
      <c r="B3237" s="402"/>
      <c r="C3237" s="402"/>
    </row>
    <row r="3238" spans="1:3" x14ac:dyDescent="0.2">
      <c r="A3238" s="402"/>
      <c r="B3238" s="402"/>
      <c r="C3238" s="402"/>
    </row>
    <row r="3239" spans="1:3" x14ac:dyDescent="0.2">
      <c r="A3239" s="402"/>
      <c r="B3239" s="402"/>
      <c r="C3239" s="402"/>
    </row>
    <row r="3240" spans="1:3" x14ac:dyDescent="0.2">
      <c r="A3240" s="402"/>
      <c r="B3240" s="402"/>
      <c r="C3240" s="402"/>
    </row>
    <row r="3241" spans="1:3" x14ac:dyDescent="0.2">
      <c r="A3241" s="402"/>
      <c r="B3241" s="402"/>
      <c r="C3241" s="402"/>
    </row>
    <row r="3242" spans="1:3" x14ac:dyDescent="0.2">
      <c r="A3242" s="402"/>
      <c r="B3242" s="402"/>
      <c r="C3242" s="402"/>
    </row>
    <row r="3243" spans="1:3" x14ac:dyDescent="0.2">
      <c r="A3243" s="402"/>
      <c r="B3243" s="402"/>
      <c r="C3243" s="402"/>
    </row>
    <row r="3244" spans="1:3" x14ac:dyDescent="0.2">
      <c r="A3244" s="402"/>
      <c r="B3244" s="402"/>
      <c r="C3244" s="402"/>
    </row>
    <row r="3245" spans="1:3" x14ac:dyDescent="0.2">
      <c r="A3245" s="402"/>
      <c r="B3245" s="402"/>
      <c r="C3245" s="402"/>
    </row>
    <row r="3246" spans="1:3" x14ac:dyDescent="0.2">
      <c r="A3246" s="402"/>
      <c r="B3246" s="402"/>
      <c r="C3246" s="402"/>
    </row>
    <row r="3247" spans="1:3" x14ac:dyDescent="0.2">
      <c r="A3247" s="402"/>
      <c r="B3247" s="402"/>
      <c r="C3247" s="402"/>
    </row>
    <row r="3248" spans="1:3" x14ac:dyDescent="0.2">
      <c r="A3248" s="402"/>
      <c r="B3248" s="402"/>
      <c r="C3248" s="402"/>
    </row>
    <row r="3249" spans="1:3" x14ac:dyDescent="0.2">
      <c r="A3249" s="402"/>
      <c r="B3249" s="402"/>
      <c r="C3249" s="402"/>
    </row>
    <row r="3250" spans="1:3" x14ac:dyDescent="0.2">
      <c r="A3250" s="402"/>
      <c r="B3250" s="402"/>
      <c r="C3250" s="402"/>
    </row>
    <row r="3251" spans="1:3" x14ac:dyDescent="0.2">
      <c r="A3251" s="402"/>
      <c r="B3251" s="402"/>
      <c r="C3251" s="402"/>
    </row>
    <row r="3252" spans="1:3" x14ac:dyDescent="0.2">
      <c r="A3252" s="402"/>
      <c r="B3252" s="402"/>
      <c r="C3252" s="402"/>
    </row>
    <row r="3253" spans="1:3" x14ac:dyDescent="0.2">
      <c r="A3253" s="402"/>
      <c r="B3253" s="402"/>
      <c r="C3253" s="402"/>
    </row>
    <row r="3254" spans="1:3" x14ac:dyDescent="0.2">
      <c r="A3254" s="402"/>
      <c r="B3254" s="402"/>
      <c r="C3254" s="402"/>
    </row>
    <row r="3255" spans="1:3" x14ac:dyDescent="0.2">
      <c r="A3255" s="402"/>
      <c r="B3255" s="402"/>
      <c r="C3255" s="402"/>
    </row>
    <row r="3256" spans="1:3" x14ac:dyDescent="0.2">
      <c r="A3256" s="402"/>
      <c r="B3256" s="402"/>
      <c r="C3256" s="402"/>
    </row>
    <row r="3257" spans="1:3" x14ac:dyDescent="0.2">
      <c r="A3257" s="402"/>
      <c r="B3257" s="402"/>
      <c r="C3257" s="402"/>
    </row>
    <row r="3258" spans="1:3" x14ac:dyDescent="0.2">
      <c r="A3258" s="402"/>
      <c r="B3258" s="402"/>
      <c r="C3258" s="402"/>
    </row>
    <row r="3259" spans="1:3" x14ac:dyDescent="0.2">
      <c r="A3259" s="402"/>
      <c r="B3259" s="402"/>
      <c r="C3259" s="402"/>
    </row>
    <row r="3260" spans="1:3" x14ac:dyDescent="0.2">
      <c r="A3260" s="402"/>
      <c r="B3260" s="402"/>
      <c r="C3260" s="402"/>
    </row>
    <row r="3261" spans="1:3" x14ac:dyDescent="0.2">
      <c r="A3261" s="402"/>
      <c r="B3261" s="402"/>
      <c r="C3261" s="402"/>
    </row>
    <row r="3262" spans="1:3" x14ac:dyDescent="0.2">
      <c r="A3262" s="402"/>
      <c r="B3262" s="402"/>
      <c r="C3262" s="402"/>
    </row>
    <row r="3263" spans="1:3" x14ac:dyDescent="0.2">
      <c r="A3263" s="402"/>
      <c r="B3263" s="402"/>
      <c r="C3263" s="402"/>
    </row>
    <row r="3264" spans="1:3" x14ac:dyDescent="0.2">
      <c r="A3264" s="402"/>
      <c r="B3264" s="402"/>
      <c r="C3264" s="402"/>
    </row>
    <row r="3265" spans="1:3" x14ac:dyDescent="0.2">
      <c r="A3265" s="402"/>
      <c r="B3265" s="402"/>
      <c r="C3265" s="402"/>
    </row>
    <row r="3266" spans="1:3" x14ac:dyDescent="0.2">
      <c r="A3266" s="402"/>
      <c r="B3266" s="402"/>
      <c r="C3266" s="402"/>
    </row>
    <row r="3267" spans="1:3" x14ac:dyDescent="0.2">
      <c r="A3267" s="402"/>
      <c r="B3267" s="402"/>
      <c r="C3267" s="402"/>
    </row>
    <row r="3268" spans="1:3" x14ac:dyDescent="0.2">
      <c r="A3268" s="402"/>
      <c r="B3268" s="402"/>
      <c r="C3268" s="402"/>
    </row>
    <row r="3269" spans="1:3" x14ac:dyDescent="0.2">
      <c r="A3269" s="402"/>
      <c r="B3269" s="402"/>
      <c r="C3269" s="402"/>
    </row>
    <row r="3270" spans="1:3" x14ac:dyDescent="0.2">
      <c r="A3270" s="402"/>
      <c r="B3270" s="402"/>
      <c r="C3270" s="402"/>
    </row>
    <row r="3271" spans="1:3" x14ac:dyDescent="0.2">
      <c r="A3271" s="402"/>
      <c r="B3271" s="402"/>
      <c r="C3271" s="402"/>
    </row>
    <row r="3272" spans="1:3" x14ac:dyDescent="0.2">
      <c r="A3272" s="402"/>
      <c r="B3272" s="402"/>
      <c r="C3272" s="402"/>
    </row>
    <row r="3273" spans="1:3" x14ac:dyDescent="0.2">
      <c r="A3273" s="402"/>
      <c r="B3273" s="402"/>
      <c r="C3273" s="402"/>
    </row>
    <row r="3274" spans="1:3" x14ac:dyDescent="0.2">
      <c r="A3274" s="402"/>
      <c r="B3274" s="402"/>
      <c r="C3274" s="402"/>
    </row>
    <row r="3275" spans="1:3" x14ac:dyDescent="0.2">
      <c r="A3275" s="402"/>
      <c r="B3275" s="402"/>
      <c r="C3275" s="402"/>
    </row>
    <row r="3276" spans="1:3" x14ac:dyDescent="0.2">
      <c r="A3276" s="402"/>
      <c r="B3276" s="402"/>
      <c r="C3276" s="402"/>
    </row>
    <row r="3277" spans="1:3" x14ac:dyDescent="0.2">
      <c r="A3277" s="402"/>
      <c r="B3277" s="402"/>
      <c r="C3277" s="402"/>
    </row>
    <row r="3278" spans="1:3" x14ac:dyDescent="0.2">
      <c r="A3278" s="402"/>
      <c r="B3278" s="402"/>
      <c r="C3278" s="402"/>
    </row>
    <row r="3279" spans="1:3" x14ac:dyDescent="0.2">
      <c r="A3279" s="402"/>
      <c r="B3279" s="402"/>
      <c r="C3279" s="402"/>
    </row>
    <row r="3280" spans="1:3" x14ac:dyDescent="0.2">
      <c r="A3280" s="402"/>
      <c r="B3280" s="402"/>
      <c r="C3280" s="402"/>
    </row>
    <row r="3281" spans="1:3" x14ac:dyDescent="0.2">
      <c r="A3281" s="402"/>
      <c r="B3281" s="402"/>
      <c r="C3281" s="402"/>
    </row>
    <row r="3282" spans="1:3" x14ac:dyDescent="0.2">
      <c r="A3282" s="402"/>
      <c r="B3282" s="402"/>
      <c r="C3282" s="402"/>
    </row>
    <row r="3283" spans="1:3" x14ac:dyDescent="0.2">
      <c r="A3283" s="402"/>
      <c r="B3283" s="402"/>
      <c r="C3283" s="402"/>
    </row>
    <row r="3284" spans="1:3" x14ac:dyDescent="0.2">
      <c r="A3284" s="402"/>
      <c r="B3284" s="402"/>
      <c r="C3284" s="402"/>
    </row>
    <row r="3285" spans="1:3" x14ac:dyDescent="0.2">
      <c r="A3285" s="402"/>
      <c r="B3285" s="402"/>
      <c r="C3285" s="402"/>
    </row>
    <row r="3286" spans="1:3" x14ac:dyDescent="0.2">
      <c r="A3286" s="402"/>
      <c r="B3286" s="402"/>
      <c r="C3286" s="402"/>
    </row>
    <row r="3287" spans="1:3" x14ac:dyDescent="0.2">
      <c r="A3287" s="402"/>
      <c r="B3287" s="402"/>
      <c r="C3287" s="402"/>
    </row>
    <row r="3288" spans="1:3" x14ac:dyDescent="0.2">
      <c r="A3288" s="402"/>
      <c r="B3288" s="402"/>
      <c r="C3288" s="402"/>
    </row>
    <row r="3289" spans="1:3" x14ac:dyDescent="0.2">
      <c r="A3289" s="402"/>
      <c r="B3289" s="402"/>
      <c r="C3289" s="402"/>
    </row>
    <row r="3290" spans="1:3" x14ac:dyDescent="0.2">
      <c r="A3290" s="402"/>
      <c r="B3290" s="402"/>
      <c r="C3290" s="402"/>
    </row>
    <row r="3291" spans="1:3" x14ac:dyDescent="0.2">
      <c r="A3291" s="402"/>
      <c r="B3291" s="402"/>
      <c r="C3291" s="402"/>
    </row>
    <row r="3292" spans="1:3" x14ac:dyDescent="0.2">
      <c r="A3292" s="402"/>
      <c r="B3292" s="402"/>
      <c r="C3292" s="402"/>
    </row>
    <row r="3293" spans="1:3" x14ac:dyDescent="0.2">
      <c r="A3293" s="402"/>
      <c r="B3293" s="402"/>
      <c r="C3293" s="402"/>
    </row>
    <row r="3294" spans="1:3" x14ac:dyDescent="0.2">
      <c r="A3294" s="402"/>
      <c r="B3294" s="402"/>
      <c r="C3294" s="402"/>
    </row>
    <row r="3295" spans="1:3" x14ac:dyDescent="0.2">
      <c r="A3295" s="402"/>
      <c r="B3295" s="402"/>
      <c r="C3295" s="402"/>
    </row>
    <row r="3296" spans="1:3" x14ac:dyDescent="0.2">
      <c r="A3296" s="402"/>
      <c r="B3296" s="402"/>
      <c r="C3296" s="402"/>
    </row>
    <row r="3297" spans="1:3" x14ac:dyDescent="0.2">
      <c r="A3297" s="402"/>
      <c r="B3297" s="402"/>
      <c r="C3297" s="402"/>
    </row>
    <row r="3298" spans="1:3" x14ac:dyDescent="0.2">
      <c r="A3298" s="402"/>
      <c r="B3298" s="402"/>
      <c r="C3298" s="402"/>
    </row>
    <row r="3299" spans="1:3" x14ac:dyDescent="0.2">
      <c r="A3299" s="402"/>
      <c r="B3299" s="402"/>
      <c r="C3299" s="402"/>
    </row>
    <row r="3300" spans="1:3" x14ac:dyDescent="0.2">
      <c r="A3300" s="402"/>
      <c r="B3300" s="402"/>
      <c r="C3300" s="402"/>
    </row>
    <row r="3301" spans="1:3" x14ac:dyDescent="0.2">
      <c r="A3301" s="402"/>
      <c r="B3301" s="402"/>
      <c r="C3301" s="402"/>
    </row>
    <row r="3302" spans="1:3" x14ac:dyDescent="0.2">
      <c r="A3302" s="402"/>
      <c r="B3302" s="402"/>
      <c r="C3302" s="402"/>
    </row>
    <row r="3303" spans="1:3" x14ac:dyDescent="0.2">
      <c r="A3303" s="402"/>
      <c r="B3303" s="402"/>
      <c r="C3303" s="402"/>
    </row>
    <row r="3304" spans="1:3" x14ac:dyDescent="0.2">
      <c r="A3304" s="402"/>
      <c r="B3304" s="402"/>
      <c r="C3304" s="402"/>
    </row>
    <row r="3305" spans="1:3" x14ac:dyDescent="0.2">
      <c r="A3305" s="402"/>
      <c r="B3305" s="402"/>
      <c r="C3305" s="402"/>
    </row>
    <row r="3306" spans="1:3" x14ac:dyDescent="0.2">
      <c r="A3306" s="402"/>
      <c r="B3306" s="402"/>
      <c r="C3306" s="402"/>
    </row>
    <row r="3307" spans="1:3" x14ac:dyDescent="0.2">
      <c r="A3307" s="402"/>
      <c r="B3307" s="402"/>
      <c r="C3307" s="402"/>
    </row>
    <row r="3308" spans="1:3" x14ac:dyDescent="0.2">
      <c r="A3308" s="402"/>
      <c r="B3308" s="402"/>
      <c r="C3308" s="402"/>
    </row>
    <row r="3309" spans="1:3" x14ac:dyDescent="0.2">
      <c r="A3309" s="402"/>
      <c r="B3309" s="402"/>
      <c r="C3309" s="402"/>
    </row>
    <row r="3310" spans="1:3" x14ac:dyDescent="0.2">
      <c r="A3310" s="402"/>
      <c r="B3310" s="402"/>
      <c r="C3310" s="402"/>
    </row>
    <row r="3311" spans="1:3" x14ac:dyDescent="0.2">
      <c r="A3311" s="402"/>
      <c r="B3311" s="402"/>
      <c r="C3311" s="402"/>
    </row>
    <row r="3312" spans="1:3" x14ac:dyDescent="0.2">
      <c r="A3312" s="402"/>
      <c r="B3312" s="402"/>
      <c r="C3312" s="402"/>
    </row>
    <row r="3313" spans="1:3" x14ac:dyDescent="0.2">
      <c r="A3313" s="402"/>
      <c r="B3313" s="402"/>
      <c r="C3313" s="402"/>
    </row>
    <row r="3314" spans="1:3" x14ac:dyDescent="0.2">
      <c r="A3314" s="402"/>
      <c r="B3314" s="402"/>
      <c r="C3314" s="402"/>
    </row>
    <row r="3315" spans="1:3" x14ac:dyDescent="0.2">
      <c r="A3315" s="402"/>
      <c r="B3315" s="402"/>
      <c r="C3315" s="402"/>
    </row>
    <row r="3316" spans="1:3" x14ac:dyDescent="0.2">
      <c r="A3316" s="402"/>
      <c r="B3316" s="402"/>
      <c r="C3316" s="402"/>
    </row>
    <row r="3317" spans="1:3" x14ac:dyDescent="0.2">
      <c r="A3317" s="402"/>
      <c r="B3317" s="402"/>
      <c r="C3317" s="402"/>
    </row>
    <row r="3318" spans="1:3" x14ac:dyDescent="0.2">
      <c r="A3318" s="402"/>
      <c r="B3318" s="402"/>
      <c r="C3318" s="402"/>
    </row>
    <row r="3319" spans="1:3" x14ac:dyDescent="0.2">
      <c r="A3319" s="402"/>
      <c r="B3319" s="402"/>
      <c r="C3319" s="402"/>
    </row>
    <row r="3320" spans="1:3" x14ac:dyDescent="0.2">
      <c r="A3320" s="402"/>
      <c r="B3320" s="402"/>
      <c r="C3320" s="402"/>
    </row>
    <row r="3321" spans="1:3" x14ac:dyDescent="0.2">
      <c r="A3321" s="402"/>
      <c r="B3321" s="402"/>
      <c r="C3321" s="402"/>
    </row>
    <row r="3322" spans="1:3" x14ac:dyDescent="0.2">
      <c r="A3322" s="402"/>
      <c r="B3322" s="402"/>
      <c r="C3322" s="402"/>
    </row>
    <row r="3323" spans="1:3" x14ac:dyDescent="0.2">
      <c r="A3323" s="402"/>
      <c r="B3323" s="402"/>
      <c r="C3323" s="402"/>
    </row>
    <row r="3324" spans="1:3" x14ac:dyDescent="0.2">
      <c r="A3324" s="402"/>
      <c r="B3324" s="402"/>
      <c r="C3324" s="402"/>
    </row>
    <row r="3325" spans="1:3" x14ac:dyDescent="0.2">
      <c r="A3325" s="402"/>
      <c r="B3325" s="402"/>
      <c r="C3325" s="402"/>
    </row>
    <row r="3326" spans="1:3" x14ac:dyDescent="0.2">
      <c r="A3326" s="402"/>
      <c r="B3326" s="402"/>
      <c r="C3326" s="402"/>
    </row>
    <row r="3327" spans="1:3" x14ac:dyDescent="0.2">
      <c r="A3327" s="402"/>
      <c r="B3327" s="402"/>
      <c r="C3327" s="402"/>
    </row>
    <row r="3328" spans="1:3" x14ac:dyDescent="0.2">
      <c r="A3328" s="402"/>
      <c r="B3328" s="402"/>
      <c r="C3328" s="402"/>
    </row>
    <row r="3329" spans="1:3" x14ac:dyDescent="0.2">
      <c r="A3329" s="402"/>
      <c r="B3329" s="402"/>
      <c r="C3329" s="402"/>
    </row>
    <row r="3330" spans="1:3" x14ac:dyDescent="0.2">
      <c r="A3330" s="402"/>
      <c r="B3330" s="402"/>
      <c r="C3330" s="402"/>
    </row>
    <row r="3331" spans="1:3" x14ac:dyDescent="0.2">
      <c r="A3331" s="402"/>
      <c r="B3331" s="402"/>
      <c r="C3331" s="402"/>
    </row>
    <row r="3332" spans="1:3" x14ac:dyDescent="0.2">
      <c r="A3332" s="402"/>
      <c r="B3332" s="402"/>
      <c r="C3332" s="402"/>
    </row>
    <row r="3333" spans="1:3" x14ac:dyDescent="0.2">
      <c r="A3333" s="402"/>
      <c r="B3333" s="402"/>
      <c r="C3333" s="402"/>
    </row>
    <row r="3334" spans="1:3" x14ac:dyDescent="0.2">
      <c r="A3334" s="402"/>
      <c r="B3334" s="402"/>
      <c r="C3334" s="402"/>
    </row>
    <row r="3335" spans="1:3" x14ac:dyDescent="0.2">
      <c r="A3335" s="402"/>
      <c r="B3335" s="402"/>
      <c r="C3335" s="402"/>
    </row>
    <row r="3336" spans="1:3" x14ac:dyDescent="0.2">
      <c r="A3336" s="402"/>
      <c r="B3336" s="402"/>
      <c r="C3336" s="402"/>
    </row>
    <row r="3337" spans="1:3" x14ac:dyDescent="0.2">
      <c r="A3337" s="402"/>
      <c r="B3337" s="402"/>
      <c r="C3337" s="402"/>
    </row>
    <row r="3338" spans="1:3" x14ac:dyDescent="0.2">
      <c r="A3338" s="402"/>
      <c r="B3338" s="402"/>
      <c r="C3338" s="402"/>
    </row>
    <row r="3339" spans="1:3" x14ac:dyDescent="0.2">
      <c r="A3339" s="402"/>
      <c r="B3339" s="402"/>
      <c r="C3339" s="402"/>
    </row>
    <row r="3340" spans="1:3" x14ac:dyDescent="0.2">
      <c r="A3340" s="402"/>
      <c r="B3340" s="402"/>
      <c r="C3340" s="402"/>
    </row>
    <row r="3341" spans="1:3" x14ac:dyDescent="0.2">
      <c r="A3341" s="402"/>
      <c r="B3341" s="402"/>
      <c r="C3341" s="402"/>
    </row>
    <row r="3342" spans="1:3" x14ac:dyDescent="0.2">
      <c r="A3342" s="402"/>
      <c r="B3342" s="402"/>
      <c r="C3342" s="402"/>
    </row>
    <row r="3343" spans="1:3" x14ac:dyDescent="0.2">
      <c r="A3343" s="402"/>
      <c r="B3343" s="402"/>
      <c r="C3343" s="402"/>
    </row>
    <row r="3344" spans="1:3" x14ac:dyDescent="0.2">
      <c r="A3344" s="402"/>
      <c r="B3344" s="402"/>
      <c r="C3344" s="402"/>
    </row>
    <row r="3345" spans="1:3" x14ac:dyDescent="0.2">
      <c r="A3345" s="402"/>
      <c r="B3345" s="402"/>
      <c r="C3345" s="402"/>
    </row>
    <row r="3346" spans="1:3" x14ac:dyDescent="0.2">
      <c r="A3346" s="402"/>
      <c r="B3346" s="402"/>
      <c r="C3346" s="402"/>
    </row>
    <row r="3347" spans="1:3" x14ac:dyDescent="0.2">
      <c r="A3347" s="402"/>
      <c r="B3347" s="402"/>
      <c r="C3347" s="402"/>
    </row>
    <row r="3348" spans="1:3" x14ac:dyDescent="0.2">
      <c r="A3348" s="402"/>
      <c r="B3348" s="402"/>
      <c r="C3348" s="402"/>
    </row>
    <row r="3349" spans="1:3" x14ac:dyDescent="0.2">
      <c r="A3349" s="402"/>
      <c r="B3349" s="402"/>
      <c r="C3349" s="402"/>
    </row>
    <row r="3350" spans="1:3" x14ac:dyDescent="0.2">
      <c r="A3350" s="402"/>
      <c r="B3350" s="402"/>
      <c r="C3350" s="402"/>
    </row>
    <row r="3351" spans="1:3" x14ac:dyDescent="0.2">
      <c r="A3351" s="402"/>
      <c r="B3351" s="402"/>
      <c r="C3351" s="402"/>
    </row>
    <row r="3352" spans="1:3" x14ac:dyDescent="0.2">
      <c r="A3352" s="402"/>
      <c r="B3352" s="402"/>
      <c r="C3352" s="402"/>
    </row>
    <row r="3353" spans="1:3" x14ac:dyDescent="0.2">
      <c r="A3353" s="402"/>
      <c r="B3353" s="402"/>
      <c r="C3353" s="402"/>
    </row>
    <row r="3354" spans="1:3" x14ac:dyDescent="0.2">
      <c r="A3354" s="402"/>
      <c r="B3354" s="402"/>
      <c r="C3354" s="402"/>
    </row>
    <row r="3355" spans="1:3" x14ac:dyDescent="0.2">
      <c r="A3355" s="402"/>
      <c r="B3355" s="402"/>
      <c r="C3355" s="402"/>
    </row>
    <row r="3356" spans="1:3" x14ac:dyDescent="0.2">
      <c r="A3356" s="402"/>
      <c r="B3356" s="402"/>
      <c r="C3356" s="402"/>
    </row>
    <row r="3357" spans="1:3" x14ac:dyDescent="0.2">
      <c r="A3357" s="402"/>
      <c r="B3357" s="402"/>
      <c r="C3357" s="402"/>
    </row>
    <row r="3358" spans="1:3" x14ac:dyDescent="0.2">
      <c r="A3358" s="402"/>
      <c r="B3358" s="402"/>
      <c r="C3358" s="402"/>
    </row>
    <row r="3359" spans="1:3" x14ac:dyDescent="0.2">
      <c r="A3359" s="402"/>
      <c r="B3359" s="402"/>
      <c r="C3359" s="402"/>
    </row>
    <row r="3360" spans="1:3" x14ac:dyDescent="0.2">
      <c r="A3360" s="402"/>
      <c r="B3360" s="402"/>
      <c r="C3360" s="402"/>
    </row>
    <row r="3361" spans="1:3" x14ac:dyDescent="0.2">
      <c r="A3361" s="402"/>
      <c r="B3361" s="402"/>
      <c r="C3361" s="402"/>
    </row>
    <row r="3362" spans="1:3" x14ac:dyDescent="0.2">
      <c r="A3362" s="402"/>
      <c r="B3362" s="402"/>
      <c r="C3362" s="402"/>
    </row>
    <row r="3363" spans="1:3" x14ac:dyDescent="0.2">
      <c r="A3363" s="402"/>
      <c r="B3363" s="402"/>
      <c r="C3363" s="402"/>
    </row>
    <row r="3364" spans="1:3" x14ac:dyDescent="0.2">
      <c r="A3364" s="402"/>
      <c r="B3364" s="402"/>
      <c r="C3364" s="402"/>
    </row>
    <row r="3365" spans="1:3" x14ac:dyDescent="0.2">
      <c r="A3365" s="402"/>
      <c r="B3365" s="402"/>
      <c r="C3365" s="402"/>
    </row>
    <row r="3366" spans="1:3" x14ac:dyDescent="0.2">
      <c r="A3366" s="402"/>
      <c r="B3366" s="402"/>
      <c r="C3366" s="402"/>
    </row>
    <row r="3367" spans="1:3" x14ac:dyDescent="0.2">
      <c r="A3367" s="402"/>
      <c r="B3367" s="402"/>
      <c r="C3367" s="402"/>
    </row>
    <row r="3368" spans="1:3" x14ac:dyDescent="0.2">
      <c r="A3368" s="402"/>
      <c r="B3368" s="402"/>
      <c r="C3368" s="402"/>
    </row>
    <row r="3369" spans="1:3" x14ac:dyDescent="0.2">
      <c r="A3369" s="402"/>
      <c r="B3369" s="402"/>
      <c r="C3369" s="402"/>
    </row>
    <row r="3370" spans="1:3" x14ac:dyDescent="0.2">
      <c r="A3370" s="402"/>
      <c r="B3370" s="402"/>
      <c r="C3370" s="402"/>
    </row>
    <row r="3371" spans="1:3" x14ac:dyDescent="0.2">
      <c r="A3371" s="402"/>
      <c r="B3371" s="402"/>
      <c r="C3371" s="402"/>
    </row>
    <row r="3372" spans="1:3" x14ac:dyDescent="0.2">
      <c r="A3372" s="402"/>
      <c r="B3372" s="402"/>
      <c r="C3372" s="402"/>
    </row>
    <row r="3373" spans="1:3" x14ac:dyDescent="0.2">
      <c r="A3373" s="402"/>
      <c r="B3373" s="402"/>
      <c r="C3373" s="402"/>
    </row>
    <row r="3374" spans="1:3" x14ac:dyDescent="0.2">
      <c r="A3374" s="402"/>
      <c r="B3374" s="402"/>
      <c r="C3374" s="402"/>
    </row>
    <row r="3375" spans="1:3" x14ac:dyDescent="0.2">
      <c r="A3375" s="402"/>
      <c r="B3375" s="402"/>
      <c r="C3375" s="402"/>
    </row>
    <row r="3376" spans="1:3" x14ac:dyDescent="0.2">
      <c r="A3376" s="402"/>
      <c r="B3376" s="402"/>
      <c r="C3376" s="402"/>
    </row>
    <row r="3377" spans="1:3" x14ac:dyDescent="0.2">
      <c r="A3377" s="402"/>
      <c r="B3377" s="402"/>
      <c r="C3377" s="402"/>
    </row>
    <row r="3378" spans="1:3" x14ac:dyDescent="0.2">
      <c r="A3378" s="402"/>
      <c r="B3378" s="402"/>
      <c r="C3378" s="402"/>
    </row>
    <row r="3379" spans="1:3" x14ac:dyDescent="0.2">
      <c r="A3379" s="402"/>
      <c r="B3379" s="402"/>
      <c r="C3379" s="402"/>
    </row>
    <row r="3380" spans="1:3" x14ac:dyDescent="0.2">
      <c r="A3380" s="402"/>
      <c r="B3380" s="402"/>
      <c r="C3380" s="402"/>
    </row>
    <row r="3381" spans="1:3" x14ac:dyDescent="0.2">
      <c r="A3381" s="402"/>
      <c r="B3381" s="402"/>
      <c r="C3381" s="402"/>
    </row>
    <row r="3382" spans="1:3" x14ac:dyDescent="0.2">
      <c r="A3382" s="402"/>
      <c r="B3382" s="402"/>
      <c r="C3382" s="402"/>
    </row>
    <row r="3383" spans="1:3" x14ac:dyDescent="0.2">
      <c r="A3383" s="402"/>
      <c r="B3383" s="402"/>
      <c r="C3383" s="402"/>
    </row>
    <row r="3384" spans="1:3" x14ac:dyDescent="0.2">
      <c r="A3384" s="402"/>
      <c r="B3384" s="402"/>
      <c r="C3384" s="402"/>
    </row>
    <row r="3385" spans="1:3" x14ac:dyDescent="0.2">
      <c r="A3385" s="402"/>
      <c r="B3385" s="402"/>
      <c r="C3385" s="402"/>
    </row>
    <row r="3386" spans="1:3" x14ac:dyDescent="0.2">
      <c r="A3386" s="402"/>
      <c r="B3386" s="402"/>
      <c r="C3386" s="402"/>
    </row>
    <row r="3387" spans="1:3" x14ac:dyDescent="0.2">
      <c r="A3387" s="402"/>
      <c r="B3387" s="402"/>
      <c r="C3387" s="402"/>
    </row>
    <row r="3388" spans="1:3" x14ac:dyDescent="0.2">
      <c r="A3388" s="402"/>
      <c r="B3388" s="402"/>
      <c r="C3388" s="402"/>
    </row>
    <row r="3389" spans="1:3" x14ac:dyDescent="0.2">
      <c r="A3389" s="402"/>
      <c r="B3389" s="402"/>
      <c r="C3389" s="402"/>
    </row>
    <row r="3390" spans="1:3" x14ac:dyDescent="0.2">
      <c r="A3390" s="402"/>
      <c r="B3390" s="402"/>
      <c r="C3390" s="402"/>
    </row>
    <row r="3391" spans="1:3" x14ac:dyDescent="0.2">
      <c r="A3391" s="402"/>
      <c r="B3391" s="402"/>
      <c r="C3391" s="402"/>
    </row>
    <row r="3392" spans="1:3" x14ac:dyDescent="0.2">
      <c r="A3392" s="402"/>
      <c r="B3392" s="402"/>
      <c r="C3392" s="402"/>
    </row>
    <row r="3393" spans="1:3" x14ac:dyDescent="0.2">
      <c r="A3393" s="402"/>
      <c r="B3393" s="402"/>
      <c r="C3393" s="402"/>
    </row>
    <row r="3394" spans="1:3" x14ac:dyDescent="0.2">
      <c r="A3394" s="402"/>
      <c r="B3394" s="402"/>
      <c r="C3394" s="402"/>
    </row>
    <row r="3395" spans="1:3" x14ac:dyDescent="0.2">
      <c r="A3395" s="402"/>
      <c r="B3395" s="402"/>
      <c r="C3395" s="402"/>
    </row>
    <row r="3396" spans="1:3" x14ac:dyDescent="0.2">
      <c r="A3396" s="402"/>
      <c r="B3396" s="402"/>
      <c r="C3396" s="402"/>
    </row>
    <row r="3397" spans="1:3" x14ac:dyDescent="0.2">
      <c r="A3397" s="402"/>
      <c r="B3397" s="402"/>
      <c r="C3397" s="402"/>
    </row>
    <row r="3398" spans="1:3" x14ac:dyDescent="0.2">
      <c r="A3398" s="402"/>
      <c r="B3398" s="402"/>
      <c r="C3398" s="402"/>
    </row>
    <row r="3399" spans="1:3" x14ac:dyDescent="0.2">
      <c r="A3399" s="402"/>
      <c r="B3399" s="402"/>
      <c r="C3399" s="402"/>
    </row>
    <row r="3400" spans="1:3" x14ac:dyDescent="0.2">
      <c r="A3400" s="402"/>
      <c r="B3400" s="402"/>
      <c r="C3400" s="402"/>
    </row>
    <row r="3401" spans="1:3" x14ac:dyDescent="0.2">
      <c r="A3401" s="402"/>
      <c r="B3401" s="402"/>
      <c r="C3401" s="402"/>
    </row>
    <row r="3402" spans="1:3" x14ac:dyDescent="0.2">
      <c r="A3402" s="402"/>
      <c r="B3402" s="402"/>
      <c r="C3402" s="402"/>
    </row>
    <row r="3403" spans="1:3" x14ac:dyDescent="0.2">
      <c r="A3403" s="402"/>
      <c r="B3403" s="402"/>
      <c r="C3403" s="402"/>
    </row>
    <row r="3404" spans="1:3" x14ac:dyDescent="0.2">
      <c r="A3404" s="402"/>
      <c r="B3404" s="402"/>
      <c r="C3404" s="402"/>
    </row>
    <row r="3405" spans="1:3" x14ac:dyDescent="0.2">
      <c r="A3405" s="402"/>
      <c r="B3405" s="402"/>
      <c r="C3405" s="402"/>
    </row>
    <row r="3406" spans="1:3" x14ac:dyDescent="0.2">
      <c r="A3406" s="402"/>
      <c r="B3406" s="402"/>
      <c r="C3406" s="402"/>
    </row>
    <row r="3407" spans="1:3" x14ac:dyDescent="0.2">
      <c r="A3407" s="402"/>
      <c r="B3407" s="402"/>
      <c r="C3407" s="402"/>
    </row>
    <row r="3408" spans="1:3" x14ac:dyDescent="0.2">
      <c r="A3408" s="402"/>
      <c r="B3408" s="402"/>
      <c r="C3408" s="402"/>
    </row>
    <row r="3409" spans="1:3" x14ac:dyDescent="0.2">
      <c r="A3409" s="402"/>
      <c r="B3409" s="402"/>
      <c r="C3409" s="402"/>
    </row>
    <row r="3410" spans="1:3" x14ac:dyDescent="0.2">
      <c r="A3410" s="402"/>
      <c r="B3410" s="402"/>
      <c r="C3410" s="402"/>
    </row>
    <row r="3411" spans="1:3" x14ac:dyDescent="0.2">
      <c r="A3411" s="402"/>
      <c r="B3411" s="402"/>
      <c r="C3411" s="402"/>
    </row>
    <row r="3412" spans="1:3" x14ac:dyDescent="0.2">
      <c r="A3412" s="402"/>
      <c r="B3412" s="402"/>
      <c r="C3412" s="402"/>
    </row>
    <row r="3413" spans="1:3" x14ac:dyDescent="0.2">
      <c r="A3413" s="402"/>
      <c r="B3413" s="402"/>
      <c r="C3413" s="402"/>
    </row>
    <row r="3414" spans="1:3" x14ac:dyDescent="0.2">
      <c r="A3414" s="402"/>
      <c r="B3414" s="402"/>
      <c r="C3414" s="402"/>
    </row>
    <row r="3415" spans="1:3" x14ac:dyDescent="0.2">
      <c r="A3415" s="402"/>
      <c r="B3415" s="402"/>
      <c r="C3415" s="402"/>
    </row>
    <row r="3416" spans="1:3" x14ac:dyDescent="0.2">
      <c r="A3416" s="402"/>
      <c r="B3416" s="402"/>
      <c r="C3416" s="402"/>
    </row>
    <row r="3417" spans="1:3" x14ac:dyDescent="0.2">
      <c r="A3417" s="402"/>
      <c r="B3417" s="402"/>
      <c r="C3417" s="402"/>
    </row>
    <row r="3418" spans="1:3" x14ac:dyDescent="0.2">
      <c r="A3418" s="402"/>
      <c r="B3418" s="402"/>
      <c r="C3418" s="402"/>
    </row>
    <row r="3419" spans="1:3" x14ac:dyDescent="0.2">
      <c r="A3419" s="402"/>
      <c r="B3419" s="402"/>
      <c r="C3419" s="402"/>
    </row>
    <row r="3420" spans="1:3" x14ac:dyDescent="0.2">
      <c r="A3420" s="402"/>
      <c r="B3420" s="402"/>
      <c r="C3420" s="402"/>
    </row>
    <row r="3421" spans="1:3" x14ac:dyDescent="0.2">
      <c r="A3421" s="402"/>
      <c r="B3421" s="402"/>
      <c r="C3421" s="402"/>
    </row>
    <row r="3422" spans="1:3" x14ac:dyDescent="0.2">
      <c r="A3422" s="402"/>
      <c r="B3422" s="402"/>
      <c r="C3422" s="402"/>
    </row>
    <row r="3423" spans="1:3" x14ac:dyDescent="0.2">
      <c r="A3423" s="402"/>
      <c r="B3423" s="402"/>
      <c r="C3423" s="402"/>
    </row>
    <row r="3424" spans="1:3" x14ac:dyDescent="0.2">
      <c r="A3424" s="402"/>
      <c r="B3424" s="402"/>
      <c r="C3424" s="402"/>
    </row>
    <row r="3425" spans="1:3" x14ac:dyDescent="0.2">
      <c r="A3425" s="402"/>
      <c r="B3425" s="402"/>
      <c r="C3425" s="402"/>
    </row>
    <row r="3426" spans="1:3" x14ac:dyDescent="0.2">
      <c r="A3426" s="402"/>
      <c r="B3426" s="402"/>
      <c r="C3426" s="402"/>
    </row>
    <row r="3427" spans="1:3" x14ac:dyDescent="0.2">
      <c r="A3427" s="402"/>
      <c r="B3427" s="402"/>
      <c r="C3427" s="402"/>
    </row>
    <row r="3428" spans="1:3" x14ac:dyDescent="0.2">
      <c r="A3428" s="402"/>
      <c r="B3428" s="402"/>
      <c r="C3428" s="402"/>
    </row>
    <row r="3429" spans="1:3" x14ac:dyDescent="0.2">
      <c r="A3429" s="402"/>
      <c r="B3429" s="402"/>
      <c r="C3429" s="402"/>
    </row>
    <row r="3430" spans="1:3" x14ac:dyDescent="0.2">
      <c r="A3430" s="402"/>
      <c r="B3430" s="402"/>
      <c r="C3430" s="402"/>
    </row>
    <row r="3431" spans="1:3" x14ac:dyDescent="0.2">
      <c r="A3431" s="402"/>
      <c r="B3431" s="402"/>
      <c r="C3431" s="402"/>
    </row>
    <row r="3432" spans="1:3" x14ac:dyDescent="0.2">
      <c r="A3432" s="402"/>
      <c r="B3432" s="402"/>
      <c r="C3432" s="402"/>
    </row>
    <row r="3433" spans="1:3" x14ac:dyDescent="0.2">
      <c r="A3433" s="402"/>
      <c r="B3433" s="402"/>
      <c r="C3433" s="402"/>
    </row>
    <row r="3434" spans="1:3" x14ac:dyDescent="0.2">
      <c r="A3434" s="402"/>
      <c r="B3434" s="402"/>
      <c r="C3434" s="402"/>
    </row>
    <row r="3435" spans="1:3" x14ac:dyDescent="0.2">
      <c r="A3435" s="402"/>
      <c r="B3435" s="402"/>
      <c r="C3435" s="402"/>
    </row>
    <row r="3436" spans="1:3" x14ac:dyDescent="0.2">
      <c r="A3436" s="402"/>
      <c r="B3436" s="402"/>
      <c r="C3436" s="402"/>
    </row>
    <row r="3437" spans="1:3" x14ac:dyDescent="0.2">
      <c r="A3437" s="402"/>
      <c r="B3437" s="402"/>
      <c r="C3437" s="402"/>
    </row>
    <row r="3438" spans="1:3" x14ac:dyDescent="0.2">
      <c r="A3438" s="402"/>
      <c r="B3438" s="402"/>
      <c r="C3438" s="402"/>
    </row>
    <row r="3439" spans="1:3" x14ac:dyDescent="0.2">
      <c r="A3439" s="402"/>
      <c r="B3439" s="402"/>
      <c r="C3439" s="402"/>
    </row>
    <row r="3440" spans="1:3" x14ac:dyDescent="0.2">
      <c r="A3440" s="402"/>
      <c r="B3440" s="402"/>
      <c r="C3440" s="402"/>
    </row>
    <row r="3441" spans="1:3" x14ac:dyDescent="0.2">
      <c r="A3441" s="402"/>
      <c r="B3441" s="402"/>
      <c r="C3441" s="402"/>
    </row>
    <row r="3442" spans="1:3" x14ac:dyDescent="0.2">
      <c r="A3442" s="402"/>
      <c r="B3442" s="402"/>
      <c r="C3442" s="402"/>
    </row>
    <row r="3443" spans="1:3" x14ac:dyDescent="0.2">
      <c r="A3443" s="402"/>
      <c r="B3443" s="402"/>
      <c r="C3443" s="402"/>
    </row>
    <row r="3444" spans="1:3" x14ac:dyDescent="0.2">
      <c r="A3444" s="402"/>
      <c r="B3444" s="402"/>
      <c r="C3444" s="402"/>
    </row>
    <row r="3445" spans="1:3" x14ac:dyDescent="0.2">
      <c r="A3445" s="402"/>
      <c r="B3445" s="402"/>
      <c r="C3445" s="402"/>
    </row>
    <row r="3446" spans="1:3" x14ac:dyDescent="0.2">
      <c r="A3446" s="402"/>
      <c r="B3446" s="402"/>
      <c r="C3446" s="402"/>
    </row>
    <row r="3447" spans="1:3" x14ac:dyDescent="0.2">
      <c r="A3447" s="402"/>
      <c r="B3447" s="402"/>
      <c r="C3447" s="402"/>
    </row>
    <row r="3448" spans="1:3" x14ac:dyDescent="0.2">
      <c r="A3448" s="402"/>
      <c r="B3448" s="402"/>
      <c r="C3448" s="402"/>
    </row>
    <row r="3449" spans="1:3" x14ac:dyDescent="0.2">
      <c r="A3449" s="402"/>
      <c r="B3449" s="402"/>
      <c r="C3449" s="402"/>
    </row>
    <row r="3450" spans="1:3" x14ac:dyDescent="0.2">
      <c r="A3450" s="402"/>
      <c r="B3450" s="402"/>
      <c r="C3450" s="402"/>
    </row>
    <row r="3451" spans="1:3" x14ac:dyDescent="0.2">
      <c r="A3451" s="402"/>
      <c r="B3451" s="402"/>
      <c r="C3451" s="402"/>
    </row>
    <row r="3452" spans="1:3" x14ac:dyDescent="0.2">
      <c r="A3452" s="402"/>
      <c r="B3452" s="402"/>
      <c r="C3452" s="402"/>
    </row>
    <row r="3453" spans="1:3" x14ac:dyDescent="0.2">
      <c r="A3453" s="402"/>
      <c r="B3453" s="402"/>
      <c r="C3453" s="402"/>
    </row>
    <row r="3454" spans="1:3" x14ac:dyDescent="0.2">
      <c r="A3454" s="402"/>
      <c r="B3454" s="402"/>
      <c r="C3454" s="402"/>
    </row>
    <row r="3455" spans="1:3" x14ac:dyDescent="0.2">
      <c r="A3455" s="402"/>
      <c r="B3455" s="402"/>
      <c r="C3455" s="402"/>
    </row>
    <row r="3456" spans="1:3" x14ac:dyDescent="0.2">
      <c r="A3456" s="402"/>
      <c r="B3456" s="402"/>
      <c r="C3456" s="402"/>
    </row>
    <row r="3457" spans="1:3" x14ac:dyDescent="0.2">
      <c r="A3457" s="402"/>
      <c r="B3457" s="402"/>
      <c r="C3457" s="402"/>
    </row>
    <row r="3458" spans="1:3" x14ac:dyDescent="0.2">
      <c r="A3458" s="402"/>
      <c r="B3458" s="402"/>
      <c r="C3458" s="402"/>
    </row>
    <row r="3459" spans="1:3" x14ac:dyDescent="0.2">
      <c r="A3459" s="402"/>
      <c r="B3459" s="402"/>
      <c r="C3459" s="402"/>
    </row>
    <row r="3460" spans="1:3" x14ac:dyDescent="0.2">
      <c r="A3460" s="402"/>
      <c r="B3460" s="402"/>
      <c r="C3460" s="402"/>
    </row>
    <row r="3461" spans="1:3" x14ac:dyDescent="0.2">
      <c r="A3461" s="402"/>
      <c r="B3461" s="402"/>
      <c r="C3461" s="402"/>
    </row>
    <row r="3462" spans="1:3" x14ac:dyDescent="0.2">
      <c r="A3462" s="402"/>
      <c r="B3462" s="402"/>
      <c r="C3462" s="402"/>
    </row>
    <row r="3463" spans="1:3" x14ac:dyDescent="0.2">
      <c r="A3463" s="402"/>
      <c r="B3463" s="402"/>
      <c r="C3463" s="402"/>
    </row>
    <row r="3464" spans="1:3" x14ac:dyDescent="0.2">
      <c r="A3464" s="402"/>
      <c r="B3464" s="402"/>
      <c r="C3464" s="402"/>
    </row>
    <row r="3465" spans="1:3" x14ac:dyDescent="0.2">
      <c r="A3465" s="402"/>
      <c r="B3465" s="402"/>
      <c r="C3465" s="402"/>
    </row>
    <row r="3466" spans="1:3" x14ac:dyDescent="0.2">
      <c r="A3466" s="402"/>
      <c r="B3466" s="402"/>
      <c r="C3466" s="402"/>
    </row>
    <row r="3467" spans="1:3" x14ac:dyDescent="0.2">
      <c r="A3467" s="402"/>
      <c r="B3467" s="402"/>
      <c r="C3467" s="402"/>
    </row>
    <row r="3468" spans="1:3" x14ac:dyDescent="0.2">
      <c r="A3468" s="402"/>
      <c r="B3468" s="402"/>
      <c r="C3468" s="402"/>
    </row>
    <row r="3469" spans="1:3" x14ac:dyDescent="0.2">
      <c r="A3469" s="402"/>
      <c r="B3469" s="402"/>
      <c r="C3469" s="402"/>
    </row>
    <row r="3470" spans="1:3" x14ac:dyDescent="0.2">
      <c r="A3470" s="402"/>
      <c r="B3470" s="402"/>
      <c r="C3470" s="402"/>
    </row>
    <row r="3471" spans="1:3" x14ac:dyDescent="0.2">
      <c r="A3471" s="402"/>
      <c r="B3471" s="402"/>
      <c r="C3471" s="402"/>
    </row>
    <row r="3472" spans="1:3" x14ac:dyDescent="0.2">
      <c r="A3472" s="402"/>
      <c r="B3472" s="402"/>
      <c r="C3472" s="402"/>
    </row>
    <row r="3473" spans="1:3" x14ac:dyDescent="0.2">
      <c r="A3473" s="402"/>
      <c r="B3473" s="402"/>
      <c r="C3473" s="402"/>
    </row>
    <row r="3474" spans="1:3" x14ac:dyDescent="0.2">
      <c r="A3474" s="402"/>
      <c r="B3474" s="402"/>
      <c r="C3474" s="402"/>
    </row>
    <row r="3475" spans="1:3" x14ac:dyDescent="0.2">
      <c r="A3475" s="402"/>
      <c r="B3475" s="402"/>
      <c r="C3475" s="402"/>
    </row>
    <row r="3476" spans="1:3" x14ac:dyDescent="0.2">
      <c r="A3476" s="402"/>
      <c r="B3476" s="402"/>
      <c r="C3476" s="402"/>
    </row>
    <row r="3477" spans="1:3" x14ac:dyDescent="0.2">
      <c r="A3477" s="402"/>
      <c r="B3477" s="402"/>
      <c r="C3477" s="402"/>
    </row>
    <row r="3478" spans="1:3" x14ac:dyDescent="0.2">
      <c r="A3478" s="402"/>
      <c r="B3478" s="402"/>
      <c r="C3478" s="402"/>
    </row>
    <row r="3479" spans="1:3" x14ac:dyDescent="0.2">
      <c r="A3479" s="402"/>
      <c r="B3479" s="402"/>
      <c r="C3479" s="402"/>
    </row>
    <row r="3480" spans="1:3" x14ac:dyDescent="0.2">
      <c r="A3480" s="402"/>
      <c r="B3480" s="402"/>
      <c r="C3480" s="402"/>
    </row>
    <row r="3481" spans="1:3" x14ac:dyDescent="0.2">
      <c r="A3481" s="402"/>
      <c r="B3481" s="402"/>
      <c r="C3481" s="402"/>
    </row>
    <row r="3482" spans="1:3" x14ac:dyDescent="0.2">
      <c r="A3482" s="402"/>
      <c r="B3482" s="402"/>
      <c r="C3482" s="402"/>
    </row>
    <row r="3483" spans="1:3" x14ac:dyDescent="0.2">
      <c r="A3483" s="402"/>
      <c r="B3483" s="402"/>
      <c r="C3483" s="402"/>
    </row>
    <row r="3484" spans="1:3" x14ac:dyDescent="0.2">
      <c r="A3484" s="402"/>
      <c r="B3484" s="402"/>
      <c r="C3484" s="402"/>
    </row>
    <row r="3485" spans="1:3" x14ac:dyDescent="0.2">
      <c r="A3485" s="402"/>
      <c r="B3485" s="402"/>
      <c r="C3485" s="402"/>
    </row>
    <row r="3486" spans="1:3" x14ac:dyDescent="0.2">
      <c r="A3486" s="402"/>
      <c r="B3486" s="402"/>
      <c r="C3486" s="402"/>
    </row>
    <row r="3487" spans="1:3" x14ac:dyDescent="0.2">
      <c r="A3487" s="402"/>
      <c r="B3487" s="402"/>
      <c r="C3487" s="402"/>
    </row>
    <row r="3488" spans="1:3" x14ac:dyDescent="0.2">
      <c r="A3488" s="402"/>
      <c r="B3488" s="402"/>
      <c r="C3488" s="402"/>
    </row>
    <row r="3489" spans="1:3" x14ac:dyDescent="0.2">
      <c r="A3489" s="402"/>
      <c r="B3489" s="402"/>
      <c r="C3489" s="402"/>
    </row>
    <row r="3490" spans="1:3" x14ac:dyDescent="0.2">
      <c r="A3490" s="402"/>
      <c r="B3490" s="402"/>
      <c r="C3490" s="402"/>
    </row>
    <row r="3491" spans="1:3" x14ac:dyDescent="0.2">
      <c r="A3491" s="402"/>
      <c r="B3491" s="402"/>
      <c r="C3491" s="402"/>
    </row>
    <row r="3492" spans="1:3" x14ac:dyDescent="0.2">
      <c r="A3492" s="402"/>
      <c r="B3492" s="402"/>
      <c r="C3492" s="402"/>
    </row>
    <row r="3493" spans="1:3" x14ac:dyDescent="0.2">
      <c r="A3493" s="402"/>
      <c r="B3493" s="402"/>
      <c r="C3493" s="402"/>
    </row>
    <row r="3494" spans="1:3" x14ac:dyDescent="0.2">
      <c r="A3494" s="402"/>
      <c r="B3494" s="402"/>
      <c r="C3494" s="402"/>
    </row>
    <row r="3495" spans="1:3" x14ac:dyDescent="0.2">
      <c r="A3495" s="402"/>
      <c r="B3495" s="402"/>
      <c r="C3495" s="402"/>
    </row>
    <row r="3496" spans="1:3" x14ac:dyDescent="0.2">
      <c r="A3496" s="402"/>
      <c r="B3496" s="402"/>
      <c r="C3496" s="402"/>
    </row>
    <row r="3497" spans="1:3" x14ac:dyDescent="0.2">
      <c r="A3497" s="402"/>
      <c r="B3497" s="402"/>
      <c r="C3497" s="402"/>
    </row>
    <row r="3498" spans="1:3" x14ac:dyDescent="0.2">
      <c r="A3498" s="402"/>
      <c r="B3498" s="402"/>
      <c r="C3498" s="402"/>
    </row>
    <row r="3499" spans="1:3" x14ac:dyDescent="0.2">
      <c r="A3499" s="402"/>
      <c r="B3499" s="402"/>
      <c r="C3499" s="402"/>
    </row>
    <row r="3500" spans="1:3" x14ac:dyDescent="0.2">
      <c r="A3500" s="402"/>
      <c r="B3500" s="402"/>
      <c r="C3500" s="402"/>
    </row>
    <row r="3501" spans="1:3" x14ac:dyDescent="0.2">
      <c r="A3501" s="402"/>
      <c r="B3501" s="402"/>
      <c r="C3501" s="402"/>
    </row>
    <row r="3502" spans="1:3" x14ac:dyDescent="0.2">
      <c r="A3502" s="402"/>
      <c r="B3502" s="402"/>
      <c r="C3502" s="402"/>
    </row>
    <row r="3503" spans="1:3" x14ac:dyDescent="0.2">
      <c r="A3503" s="402"/>
      <c r="B3503" s="402"/>
      <c r="C3503" s="402"/>
    </row>
    <row r="3504" spans="1:3" x14ac:dyDescent="0.2">
      <c r="A3504" s="402"/>
      <c r="B3504" s="402"/>
      <c r="C3504" s="402"/>
    </row>
    <row r="3505" spans="1:3" x14ac:dyDescent="0.2">
      <c r="A3505" s="402"/>
      <c r="B3505" s="402"/>
      <c r="C3505" s="402"/>
    </row>
    <row r="3506" spans="1:3" x14ac:dyDescent="0.2">
      <c r="A3506" s="402"/>
      <c r="B3506" s="402"/>
      <c r="C3506" s="402"/>
    </row>
    <row r="3507" spans="1:3" x14ac:dyDescent="0.2">
      <c r="A3507" s="402"/>
      <c r="B3507" s="402"/>
      <c r="C3507" s="402"/>
    </row>
    <row r="3508" spans="1:3" x14ac:dyDescent="0.2">
      <c r="A3508" s="402"/>
      <c r="B3508" s="402"/>
      <c r="C3508" s="402"/>
    </row>
    <row r="3509" spans="1:3" x14ac:dyDescent="0.2">
      <c r="A3509" s="402"/>
      <c r="B3509" s="402"/>
      <c r="C3509" s="402"/>
    </row>
    <row r="3510" spans="1:3" x14ac:dyDescent="0.2">
      <c r="A3510" s="402"/>
      <c r="B3510" s="402"/>
      <c r="C3510" s="402"/>
    </row>
    <row r="3511" spans="1:3" x14ac:dyDescent="0.2">
      <c r="A3511" s="402"/>
      <c r="B3511" s="402"/>
      <c r="C3511" s="402"/>
    </row>
    <row r="3512" spans="1:3" x14ac:dyDescent="0.2">
      <c r="A3512" s="402"/>
      <c r="B3512" s="402"/>
      <c r="C3512" s="402"/>
    </row>
    <row r="3513" spans="1:3" x14ac:dyDescent="0.2">
      <c r="A3513" s="402"/>
      <c r="B3513" s="402"/>
      <c r="C3513" s="402"/>
    </row>
    <row r="3514" spans="1:3" x14ac:dyDescent="0.2">
      <c r="A3514" s="402"/>
      <c r="B3514" s="402"/>
      <c r="C3514" s="402"/>
    </row>
    <row r="3515" spans="1:3" x14ac:dyDescent="0.2">
      <c r="A3515" s="402"/>
      <c r="B3515" s="402"/>
      <c r="C3515" s="402"/>
    </row>
    <row r="3516" spans="1:3" x14ac:dyDescent="0.2">
      <c r="A3516" s="402"/>
      <c r="B3516" s="402"/>
      <c r="C3516" s="402"/>
    </row>
    <row r="3517" spans="1:3" x14ac:dyDescent="0.2">
      <c r="A3517" s="402"/>
      <c r="B3517" s="402"/>
      <c r="C3517" s="402"/>
    </row>
    <row r="3518" spans="1:3" x14ac:dyDescent="0.2">
      <c r="A3518" s="402"/>
      <c r="B3518" s="402"/>
      <c r="C3518" s="402"/>
    </row>
    <row r="3519" spans="1:3" x14ac:dyDescent="0.2">
      <c r="A3519" s="402"/>
      <c r="B3519" s="402"/>
      <c r="C3519" s="402"/>
    </row>
    <row r="3520" spans="1:3" x14ac:dyDescent="0.2">
      <c r="A3520" s="402"/>
      <c r="B3520" s="402"/>
      <c r="C3520" s="402"/>
    </row>
    <row r="3521" spans="1:3" x14ac:dyDescent="0.2">
      <c r="A3521" s="402"/>
      <c r="B3521" s="402"/>
      <c r="C3521" s="402"/>
    </row>
    <row r="3522" spans="1:3" x14ac:dyDescent="0.2">
      <c r="A3522" s="402"/>
      <c r="B3522" s="402"/>
      <c r="C3522" s="402"/>
    </row>
    <row r="3523" spans="1:3" x14ac:dyDescent="0.2">
      <c r="A3523" s="402"/>
      <c r="B3523" s="402"/>
      <c r="C3523" s="402"/>
    </row>
    <row r="3524" spans="1:3" x14ac:dyDescent="0.2">
      <c r="A3524" s="402"/>
      <c r="B3524" s="402"/>
      <c r="C3524" s="402"/>
    </row>
    <row r="3525" spans="1:3" x14ac:dyDescent="0.2">
      <c r="A3525" s="402"/>
      <c r="B3525" s="402"/>
      <c r="C3525" s="402"/>
    </row>
    <row r="3526" spans="1:3" x14ac:dyDescent="0.2">
      <c r="A3526" s="402"/>
      <c r="B3526" s="402"/>
      <c r="C3526" s="402"/>
    </row>
    <row r="3527" spans="1:3" x14ac:dyDescent="0.2">
      <c r="A3527" s="402"/>
      <c r="B3527" s="402"/>
      <c r="C3527" s="402"/>
    </row>
    <row r="3528" spans="1:3" x14ac:dyDescent="0.2">
      <c r="A3528" s="402"/>
      <c r="B3528" s="402"/>
      <c r="C3528" s="402"/>
    </row>
    <row r="3529" spans="1:3" x14ac:dyDescent="0.2">
      <c r="A3529" s="402"/>
      <c r="B3529" s="402"/>
      <c r="C3529" s="402"/>
    </row>
    <row r="3530" spans="1:3" x14ac:dyDescent="0.2">
      <c r="A3530" s="402"/>
      <c r="B3530" s="402"/>
      <c r="C3530" s="402"/>
    </row>
    <row r="3531" spans="1:3" x14ac:dyDescent="0.2">
      <c r="A3531" s="402"/>
      <c r="B3531" s="402"/>
      <c r="C3531" s="402"/>
    </row>
    <row r="3532" spans="1:3" x14ac:dyDescent="0.2">
      <c r="A3532" s="402"/>
      <c r="B3532" s="402"/>
      <c r="C3532" s="402"/>
    </row>
    <row r="3533" spans="1:3" x14ac:dyDescent="0.2">
      <c r="A3533" s="402"/>
      <c r="B3533" s="402"/>
      <c r="C3533" s="402"/>
    </row>
    <row r="3534" spans="1:3" x14ac:dyDescent="0.2">
      <c r="A3534" s="402"/>
      <c r="B3534" s="402"/>
      <c r="C3534" s="402"/>
    </row>
    <row r="3535" spans="1:3" x14ac:dyDescent="0.2">
      <c r="A3535" s="402"/>
      <c r="B3535" s="402"/>
      <c r="C3535" s="402"/>
    </row>
    <row r="3536" spans="1:3" x14ac:dyDescent="0.2">
      <c r="A3536" s="402"/>
      <c r="B3536" s="402"/>
      <c r="C3536" s="402"/>
    </row>
    <row r="3537" spans="1:3" x14ac:dyDescent="0.2">
      <c r="A3537" s="402"/>
      <c r="B3537" s="402"/>
      <c r="C3537" s="402"/>
    </row>
    <row r="3538" spans="1:3" x14ac:dyDescent="0.2">
      <c r="A3538" s="402"/>
      <c r="B3538" s="402"/>
      <c r="C3538" s="402"/>
    </row>
    <row r="3539" spans="1:3" x14ac:dyDescent="0.2">
      <c r="A3539" s="402"/>
      <c r="B3539" s="402"/>
      <c r="C3539" s="402"/>
    </row>
    <row r="3540" spans="1:3" x14ac:dyDescent="0.2">
      <c r="A3540" s="402"/>
      <c r="B3540" s="402"/>
      <c r="C3540" s="402"/>
    </row>
    <row r="3541" spans="1:3" x14ac:dyDescent="0.2">
      <c r="A3541" s="402"/>
      <c r="B3541" s="402"/>
      <c r="C3541" s="402"/>
    </row>
    <row r="3542" spans="1:3" x14ac:dyDescent="0.2">
      <c r="A3542" s="402"/>
      <c r="B3542" s="402"/>
      <c r="C3542" s="402"/>
    </row>
    <row r="3543" spans="1:3" x14ac:dyDescent="0.2">
      <c r="A3543" s="402"/>
      <c r="B3543" s="402"/>
      <c r="C3543" s="402"/>
    </row>
    <row r="3544" spans="1:3" x14ac:dyDescent="0.2">
      <c r="A3544" s="402"/>
      <c r="B3544" s="402"/>
      <c r="C3544" s="402"/>
    </row>
    <row r="3545" spans="1:3" x14ac:dyDescent="0.2">
      <c r="A3545" s="402"/>
      <c r="B3545" s="402"/>
      <c r="C3545" s="402"/>
    </row>
    <row r="3546" spans="1:3" x14ac:dyDescent="0.2">
      <c r="A3546" s="402"/>
      <c r="B3546" s="402"/>
      <c r="C3546" s="402"/>
    </row>
    <row r="3547" spans="1:3" x14ac:dyDescent="0.2">
      <c r="A3547" s="402"/>
      <c r="B3547" s="402"/>
      <c r="C3547" s="402"/>
    </row>
    <row r="3548" spans="1:3" x14ac:dyDescent="0.2">
      <c r="A3548" s="402"/>
      <c r="B3548" s="402"/>
      <c r="C3548" s="402"/>
    </row>
    <row r="3549" spans="1:3" x14ac:dyDescent="0.2">
      <c r="A3549" s="402"/>
      <c r="B3549" s="402"/>
      <c r="C3549" s="402"/>
    </row>
  </sheetData>
  <phoneticPr fontId="44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B32"/>
  <sheetViews>
    <sheetView zoomScale="85" workbookViewId="0">
      <selection activeCell="C5" sqref="C5"/>
    </sheetView>
  </sheetViews>
  <sheetFormatPr defaultRowHeight="12.75" x14ac:dyDescent="0.2"/>
  <cols>
    <col min="1" max="1" width="3.5703125" customWidth="1"/>
    <col min="2" max="2" width="31.7109375" customWidth="1"/>
  </cols>
  <sheetData>
    <row r="1" spans="1:19" s="2" customFormat="1" x14ac:dyDescent="0.2">
      <c r="C1" s="76" t="s">
        <v>2</v>
      </c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</row>
    <row r="2" spans="1:19" s="2" customFormat="1" x14ac:dyDescent="0.2">
      <c r="A2" s="76" t="s">
        <v>0</v>
      </c>
      <c r="B2" s="76" t="s">
        <v>1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</row>
    <row r="3" spans="1:19" x14ac:dyDescent="0.2">
      <c r="A3" s="4">
        <v>1</v>
      </c>
      <c r="B3" s="4" t="s">
        <v>20</v>
      </c>
      <c r="C3" s="4">
        <v>58.5</v>
      </c>
      <c r="D3" s="4">
        <v>12.7</v>
      </c>
      <c r="E3" s="4">
        <v>69.5</v>
      </c>
      <c r="F3" s="4">
        <v>5.88</v>
      </c>
      <c r="G3" s="4">
        <v>1.75</v>
      </c>
      <c r="H3" s="4">
        <v>8.7200000000000006</v>
      </c>
      <c r="I3" s="4">
        <v>1.63</v>
      </c>
      <c r="J3" s="4">
        <v>0.04</v>
      </c>
      <c r="K3" s="4">
        <v>2.8000000000000001E-2</v>
      </c>
      <c r="L3" s="4">
        <v>0.19</v>
      </c>
      <c r="M3" s="4">
        <v>2.1000000000000001E-2</v>
      </c>
      <c r="N3" s="4">
        <v>0.1</v>
      </c>
      <c r="O3" s="5" t="s">
        <v>21</v>
      </c>
      <c r="P3" s="4">
        <v>0.24</v>
      </c>
      <c r="Q3" s="4">
        <v>1.6E-2</v>
      </c>
      <c r="R3" s="125">
        <v>7.0000000000000007E-2</v>
      </c>
      <c r="S3" s="125"/>
    </row>
    <row r="4" spans="1:19" x14ac:dyDescent="0.2">
      <c r="A4" s="4">
        <v>2</v>
      </c>
      <c r="B4" s="4" t="s">
        <v>22</v>
      </c>
      <c r="C4" s="4">
        <v>58.5</v>
      </c>
      <c r="D4" s="4">
        <v>12.2</v>
      </c>
      <c r="E4" s="4">
        <v>69.900000000000006</v>
      </c>
      <c r="F4" s="4">
        <v>5.89</v>
      </c>
      <c r="G4" s="4">
        <v>1.75</v>
      </c>
      <c r="H4" s="4">
        <v>8.7799999999999994</v>
      </c>
      <c r="I4" s="4">
        <v>1.63</v>
      </c>
      <c r="J4" s="4">
        <v>0.04</v>
      </c>
      <c r="K4" s="4">
        <v>2.7E-2</v>
      </c>
      <c r="L4" s="4">
        <v>0.19</v>
      </c>
      <c r="M4" s="4">
        <v>2.1000000000000001E-2</v>
      </c>
      <c r="N4" s="4">
        <v>0.1</v>
      </c>
      <c r="O4" s="5" t="s">
        <v>21</v>
      </c>
      <c r="P4" s="4">
        <v>0.24</v>
      </c>
      <c r="Q4" s="4">
        <v>1.6E-2</v>
      </c>
      <c r="R4" s="125">
        <v>0.05</v>
      </c>
      <c r="S4" s="125"/>
    </row>
    <row r="5" spans="1:19" x14ac:dyDescent="0.2">
      <c r="A5" s="4">
        <v>3</v>
      </c>
      <c r="B5" s="4" t="s">
        <v>23</v>
      </c>
      <c r="C5" s="4">
        <v>58.3</v>
      </c>
      <c r="D5" s="4">
        <v>12.7</v>
      </c>
      <c r="E5" s="4">
        <v>69.3</v>
      </c>
      <c r="F5" s="4">
        <v>5.95</v>
      </c>
      <c r="G5" s="4">
        <v>1.76</v>
      </c>
      <c r="H5" s="4">
        <v>8.86</v>
      </c>
      <c r="I5" s="4">
        <v>1.64</v>
      </c>
      <c r="J5" s="4">
        <v>0.04</v>
      </c>
      <c r="K5" s="4">
        <v>2.8000000000000001E-2</v>
      </c>
      <c r="L5" s="4">
        <v>0.19</v>
      </c>
      <c r="M5" s="4">
        <v>0.02</v>
      </c>
      <c r="N5" s="4">
        <v>0.1</v>
      </c>
      <c r="O5" s="5" t="s">
        <v>21</v>
      </c>
      <c r="P5" s="4">
        <v>0.24</v>
      </c>
      <c r="Q5" s="4">
        <v>1.6E-2</v>
      </c>
      <c r="R5" s="125">
        <v>4.4999999999999998E-2</v>
      </c>
      <c r="S5" s="125"/>
    </row>
    <row r="6" spans="1:19" x14ac:dyDescent="0.2">
      <c r="A6" s="4">
        <v>4</v>
      </c>
      <c r="B6" s="4" t="s">
        <v>24</v>
      </c>
      <c r="C6" s="4">
        <v>60.4</v>
      </c>
      <c r="D6" s="4">
        <v>24.2</v>
      </c>
      <c r="E6" s="4">
        <v>59.5</v>
      </c>
      <c r="F6" s="4">
        <v>5.22</v>
      </c>
      <c r="G6" s="4">
        <v>1.62</v>
      </c>
      <c r="H6" s="4">
        <v>4.29</v>
      </c>
      <c r="I6" s="4">
        <v>1.52</v>
      </c>
      <c r="J6" s="4">
        <v>3.5999999999999997E-2</v>
      </c>
      <c r="K6" s="4">
        <v>0.38600000000000001</v>
      </c>
      <c r="L6" s="4">
        <v>0.18</v>
      </c>
      <c r="M6" s="4">
        <v>2.1000000000000001E-2</v>
      </c>
      <c r="N6" s="4">
        <v>2.8</v>
      </c>
      <c r="O6" s="4">
        <v>5.6</v>
      </c>
      <c r="P6" s="4">
        <v>0.24</v>
      </c>
      <c r="Q6" s="4">
        <v>1.2999999999999999E-2</v>
      </c>
      <c r="R6" s="125"/>
      <c r="S6" s="125"/>
    </row>
    <row r="7" spans="1:19" x14ac:dyDescent="0.2">
      <c r="A7" s="4">
        <v>5</v>
      </c>
      <c r="B7" s="4" t="s">
        <v>25</v>
      </c>
      <c r="C7" s="4">
        <v>60.4</v>
      </c>
      <c r="D7" s="4">
        <v>24</v>
      </c>
      <c r="E7" s="4">
        <v>59.7</v>
      </c>
      <c r="F7" s="4">
        <v>5.23</v>
      </c>
      <c r="G7" s="4">
        <v>1.57</v>
      </c>
      <c r="H7" s="4">
        <v>4.33</v>
      </c>
      <c r="I7" s="4">
        <v>1.58</v>
      </c>
      <c r="J7" s="4">
        <v>3.5999999999999997E-2</v>
      </c>
      <c r="K7" s="4">
        <v>0.39600000000000002</v>
      </c>
      <c r="L7" s="4">
        <v>0.18</v>
      </c>
      <c r="M7" s="4">
        <v>2.1000000000000001E-2</v>
      </c>
      <c r="N7" s="4">
        <v>2.8</v>
      </c>
      <c r="O7" s="4">
        <v>5.8</v>
      </c>
      <c r="P7" s="4">
        <v>0.24</v>
      </c>
      <c r="Q7" s="4">
        <v>1.4E-2</v>
      </c>
      <c r="R7" s="125"/>
      <c r="S7" s="125"/>
    </row>
    <row r="8" spans="1:19" x14ac:dyDescent="0.2">
      <c r="A8" s="4">
        <v>6</v>
      </c>
      <c r="B8" s="4" t="s">
        <v>26</v>
      </c>
      <c r="C8" s="4">
        <v>58</v>
      </c>
      <c r="D8" s="4">
        <v>12.6</v>
      </c>
      <c r="E8" s="4">
        <v>69</v>
      </c>
      <c r="F8" s="4">
        <v>5.54</v>
      </c>
      <c r="G8" s="4">
        <v>1.77</v>
      </c>
      <c r="H8" s="4">
        <v>8.08</v>
      </c>
      <c r="I8" s="4">
        <v>1.77</v>
      </c>
      <c r="J8" s="4">
        <v>3.9E-2</v>
      </c>
      <c r="K8" s="4">
        <v>6.0999999999999999E-2</v>
      </c>
      <c r="L8" s="4">
        <v>0.17</v>
      </c>
      <c r="M8" s="4">
        <v>2.1999999999999999E-2</v>
      </c>
      <c r="N8" s="4">
        <v>0.4</v>
      </c>
      <c r="O8" s="5" t="s">
        <v>21</v>
      </c>
      <c r="P8" s="4">
        <v>0.28999999999999998</v>
      </c>
      <c r="Q8" s="4">
        <v>8.9999999999999993E-3</v>
      </c>
      <c r="R8" s="125"/>
      <c r="S8" s="125"/>
    </row>
    <row r="9" spans="1:19" x14ac:dyDescent="0.2">
      <c r="A9" s="4">
        <v>7</v>
      </c>
      <c r="B9" s="4" t="s">
        <v>27</v>
      </c>
      <c r="C9" s="4">
        <v>51.3</v>
      </c>
      <c r="D9" s="4">
        <v>14.5</v>
      </c>
      <c r="E9" s="4">
        <v>57.3</v>
      </c>
      <c r="F9" s="4">
        <v>5.56</v>
      </c>
      <c r="G9" s="4">
        <v>1.84</v>
      </c>
      <c r="H9" s="4">
        <v>4.79</v>
      </c>
      <c r="I9" s="4">
        <v>1.34</v>
      </c>
      <c r="J9" s="4">
        <v>0.03</v>
      </c>
      <c r="K9" s="4">
        <v>0.29599999999999999</v>
      </c>
      <c r="L9" s="4">
        <v>0.16</v>
      </c>
      <c r="M9" s="4">
        <v>0.32500000000000001</v>
      </c>
      <c r="N9" s="4">
        <v>13.5</v>
      </c>
      <c r="O9" s="4">
        <v>10.7</v>
      </c>
      <c r="P9" s="4">
        <v>0.26</v>
      </c>
      <c r="Q9" s="4">
        <v>20.010000000000002</v>
      </c>
      <c r="R9" s="125">
        <v>11.1</v>
      </c>
      <c r="S9" s="125"/>
    </row>
    <row r="10" spans="1:19" x14ac:dyDescent="0.2">
      <c r="A10" s="4">
        <v>8</v>
      </c>
      <c r="B10" s="4" t="s">
        <v>28</v>
      </c>
      <c r="C10" s="4">
        <v>72.8</v>
      </c>
      <c r="D10" s="4">
        <v>50.7</v>
      </c>
      <c r="E10" s="4">
        <v>20</v>
      </c>
      <c r="F10" s="4">
        <v>1.85</v>
      </c>
      <c r="G10" s="4">
        <v>0.4</v>
      </c>
      <c r="H10" s="4">
        <v>3.69</v>
      </c>
      <c r="I10" s="4">
        <v>1.32</v>
      </c>
      <c r="J10" s="4">
        <v>3.2000000000000001E-2</v>
      </c>
      <c r="K10" s="4">
        <v>4.2999999999999997E-2</v>
      </c>
      <c r="L10" s="4">
        <v>0.46</v>
      </c>
      <c r="M10" s="4">
        <v>4.2000000000000003E-2</v>
      </c>
      <c r="N10" s="4">
        <v>1.6</v>
      </c>
      <c r="O10" s="4">
        <v>6.1</v>
      </c>
      <c r="P10" s="29">
        <v>0.1</v>
      </c>
      <c r="Q10" s="4">
        <v>5.8000000000000003E-2</v>
      </c>
      <c r="R10" s="125"/>
      <c r="S10" s="125">
        <v>19.5</v>
      </c>
    </row>
    <row r="11" spans="1:19" x14ac:dyDescent="0.2">
      <c r="A11" s="4">
        <v>9</v>
      </c>
      <c r="B11" s="4" t="s">
        <v>29</v>
      </c>
      <c r="C11" s="4">
        <v>53.2</v>
      </c>
      <c r="D11" s="4">
        <v>12.4</v>
      </c>
      <c r="E11" s="4">
        <v>62.2</v>
      </c>
      <c r="F11" s="4">
        <v>4.5</v>
      </c>
      <c r="G11" s="4">
        <v>1.65</v>
      </c>
      <c r="H11" s="4">
        <v>4.1500000000000004</v>
      </c>
      <c r="I11" s="4">
        <v>1.1399999999999999</v>
      </c>
      <c r="J11" s="4">
        <v>2.9000000000000001E-2</v>
      </c>
      <c r="K11" s="4">
        <v>0.22700000000000001</v>
      </c>
      <c r="L11" s="4">
        <v>0.16</v>
      </c>
      <c r="M11" s="4">
        <v>0.57999999999999996</v>
      </c>
      <c r="N11" s="4">
        <v>12.4</v>
      </c>
      <c r="O11" s="4">
        <v>8.1</v>
      </c>
      <c r="P11" s="4">
        <v>0.28999999999999998</v>
      </c>
      <c r="Q11" s="4">
        <v>7.0000000000000001E-3</v>
      </c>
      <c r="R11" s="125">
        <v>10.8</v>
      </c>
      <c r="S11" s="125"/>
    </row>
    <row r="12" spans="1:19" x14ac:dyDescent="0.2">
      <c r="A12" s="4">
        <v>10</v>
      </c>
      <c r="B12" s="4" t="s">
        <v>30</v>
      </c>
      <c r="C12" s="4">
        <v>66.3</v>
      </c>
      <c r="D12" s="4">
        <v>52.9</v>
      </c>
      <c r="E12" s="4">
        <v>36.200000000000003</v>
      </c>
      <c r="F12" s="4">
        <v>6.12</v>
      </c>
      <c r="G12" s="4">
        <v>1.17</v>
      </c>
      <c r="H12" s="4">
        <v>0.87</v>
      </c>
      <c r="I12" s="4">
        <v>0.55000000000000004</v>
      </c>
      <c r="J12" s="4">
        <v>1.7000000000000001E-2</v>
      </c>
      <c r="K12" s="4">
        <v>0.10100000000000001</v>
      </c>
      <c r="L12" s="4">
        <v>0.69</v>
      </c>
      <c r="M12" s="4">
        <v>1.7000000000000001E-2</v>
      </c>
      <c r="N12" s="4">
        <v>0.5</v>
      </c>
      <c r="O12" s="4">
        <v>1.9</v>
      </c>
      <c r="P12" s="4">
        <v>0.1</v>
      </c>
      <c r="Q12" s="4">
        <v>5.0999999999999997E-2</v>
      </c>
      <c r="R12" s="125"/>
      <c r="S12" s="125"/>
    </row>
    <row r="13" spans="1:19" x14ac:dyDescent="0.2">
      <c r="A13" s="4">
        <v>11</v>
      </c>
      <c r="B13" s="4" t="s">
        <v>31</v>
      </c>
      <c r="C13" s="4">
        <v>41.8</v>
      </c>
      <c r="D13" s="4">
        <v>13.7</v>
      </c>
      <c r="E13" s="4">
        <v>17</v>
      </c>
      <c r="F13" s="4">
        <v>13.9</v>
      </c>
      <c r="G13" s="4">
        <v>3.3</v>
      </c>
      <c r="H13" s="4">
        <v>17.8</v>
      </c>
      <c r="I13" s="4">
        <v>7.7</v>
      </c>
      <c r="J13" s="4">
        <v>8.5999999999999993E-2</v>
      </c>
      <c r="K13" s="4">
        <v>0.12</v>
      </c>
      <c r="L13" s="4">
        <v>2.1</v>
      </c>
      <c r="M13" s="4"/>
      <c r="N13" s="4"/>
      <c r="O13" s="4">
        <v>4.8</v>
      </c>
      <c r="P13" s="4">
        <v>0.71</v>
      </c>
      <c r="Q13" s="4">
        <v>0.36</v>
      </c>
      <c r="R13" s="125"/>
      <c r="S13" s="125">
        <v>19.3</v>
      </c>
    </row>
    <row r="14" spans="1:19" x14ac:dyDescent="0.2">
      <c r="A14" s="4">
        <v>12</v>
      </c>
      <c r="B14" s="4" t="s">
        <v>32</v>
      </c>
      <c r="C14" s="4">
        <v>67.400000000000006</v>
      </c>
      <c r="D14" s="4">
        <v>7</v>
      </c>
      <c r="E14" s="4">
        <v>11.7</v>
      </c>
      <c r="F14" s="4">
        <v>6.7</v>
      </c>
      <c r="G14" s="4">
        <v>1.9</v>
      </c>
      <c r="H14" s="4">
        <v>8.8000000000000007</v>
      </c>
      <c r="I14" s="4">
        <v>4.0999999999999996</v>
      </c>
      <c r="J14" s="4">
        <v>0.86</v>
      </c>
      <c r="K14" s="4">
        <v>8.8999999999999996E-2</v>
      </c>
      <c r="L14" s="4">
        <v>1.3</v>
      </c>
      <c r="M14" s="4"/>
      <c r="N14" s="4"/>
      <c r="O14" s="4"/>
      <c r="P14" s="4">
        <v>0.38</v>
      </c>
      <c r="Q14" s="4">
        <v>0.23</v>
      </c>
      <c r="R14" s="125"/>
      <c r="S14" s="125">
        <v>53.8</v>
      </c>
    </row>
    <row r="15" spans="1:19" x14ac:dyDescent="0.2">
      <c r="A15" s="4">
        <v>13</v>
      </c>
      <c r="B15" s="4" t="s">
        <v>33</v>
      </c>
      <c r="C15" s="4"/>
      <c r="D15" s="4"/>
      <c r="E15" s="4"/>
      <c r="F15" s="4"/>
      <c r="G15" s="4"/>
      <c r="H15" s="4"/>
      <c r="I15" s="4"/>
      <c r="J15" s="4"/>
      <c r="K15" s="4">
        <v>0.54800000000000004</v>
      </c>
      <c r="L15" s="4"/>
      <c r="M15" s="4"/>
      <c r="N15" s="4"/>
      <c r="O15" s="4">
        <v>17.899999999999999</v>
      </c>
      <c r="P15" s="4"/>
      <c r="Q15" s="4"/>
      <c r="R15" s="125"/>
      <c r="S15" s="125"/>
    </row>
    <row r="16" spans="1:19" x14ac:dyDescent="0.2">
      <c r="A16" s="4">
        <v>14</v>
      </c>
      <c r="B16" s="4" t="s">
        <v>34</v>
      </c>
      <c r="C16" s="4">
        <v>32.9</v>
      </c>
      <c r="D16" s="4">
        <v>16</v>
      </c>
      <c r="E16" s="4">
        <v>29.3</v>
      </c>
      <c r="F16" s="4">
        <v>26.5</v>
      </c>
      <c r="G16" s="4">
        <v>7.3</v>
      </c>
      <c r="H16" s="4">
        <v>8.7799999999999994</v>
      </c>
      <c r="I16" s="4">
        <v>2.12</v>
      </c>
      <c r="J16" s="4">
        <v>8.5000000000000006E-2</v>
      </c>
      <c r="K16" s="4">
        <v>1.64</v>
      </c>
      <c r="L16" s="4">
        <v>0.18</v>
      </c>
      <c r="M16" s="4">
        <v>0.02</v>
      </c>
      <c r="N16" s="4">
        <v>4.0999999999999996</v>
      </c>
      <c r="O16" s="4">
        <v>1.5</v>
      </c>
      <c r="P16" s="4">
        <v>0.62</v>
      </c>
      <c r="Q16" s="4">
        <v>6.0000000000000001E-3</v>
      </c>
      <c r="R16" s="125"/>
      <c r="S16" s="125"/>
    </row>
    <row r="17" spans="1:54" x14ac:dyDescent="0.2">
      <c r="A17" s="4">
        <v>15</v>
      </c>
      <c r="B17" s="4" t="s">
        <v>35</v>
      </c>
      <c r="C17" s="4">
        <v>32.299999999999997</v>
      </c>
      <c r="D17" s="4">
        <v>16.5</v>
      </c>
      <c r="E17" s="4">
        <v>27.9</v>
      </c>
      <c r="F17" s="4">
        <v>29.1</v>
      </c>
      <c r="G17" s="4">
        <v>7.4</v>
      </c>
      <c r="H17" s="4">
        <v>8.93</v>
      </c>
      <c r="I17" s="4">
        <v>2.2999999999999998</v>
      </c>
      <c r="J17" s="4">
        <v>8.5000000000000006E-2</v>
      </c>
      <c r="K17" s="4">
        <v>1.73</v>
      </c>
      <c r="L17" s="4">
        <v>0.2</v>
      </c>
      <c r="M17" s="4">
        <v>3.5000000000000003E-2</v>
      </c>
      <c r="N17" s="4">
        <v>3.5</v>
      </c>
      <c r="O17" s="4">
        <v>1.4</v>
      </c>
      <c r="P17" s="4">
        <v>0.63</v>
      </c>
      <c r="Q17" s="4">
        <v>5.0000000000000001E-3</v>
      </c>
      <c r="R17" s="125"/>
      <c r="S17" s="125"/>
    </row>
    <row r="18" spans="1:54" x14ac:dyDescent="0.2">
      <c r="A18" s="4">
        <v>16</v>
      </c>
      <c r="B18" s="4" t="s">
        <v>36</v>
      </c>
      <c r="C18" s="4">
        <v>48.1</v>
      </c>
      <c r="D18" s="4">
        <v>16.7</v>
      </c>
      <c r="E18" s="4">
        <v>50.2</v>
      </c>
      <c r="F18" s="4">
        <v>15</v>
      </c>
      <c r="G18" s="4">
        <v>4.5999999999999996</v>
      </c>
      <c r="H18" s="4">
        <v>6.59</v>
      </c>
      <c r="I18" s="4">
        <v>1.45</v>
      </c>
      <c r="J18" s="4">
        <v>0.05</v>
      </c>
      <c r="K18" s="4">
        <v>1.68</v>
      </c>
      <c r="L18" s="4">
        <v>0.21</v>
      </c>
      <c r="M18" s="4">
        <v>1.4999999999999999E-2</v>
      </c>
      <c r="N18" s="4">
        <v>3.7</v>
      </c>
      <c r="O18" s="4">
        <v>3.5</v>
      </c>
      <c r="P18" s="4">
        <v>0.38</v>
      </c>
      <c r="Q18" s="4">
        <v>5.0000000000000001E-3</v>
      </c>
      <c r="R18" s="125"/>
      <c r="S18" s="125"/>
    </row>
    <row r="19" spans="1:54" x14ac:dyDescent="0.2">
      <c r="A19" s="4">
        <v>17</v>
      </c>
      <c r="B19" s="4" t="s">
        <v>37</v>
      </c>
      <c r="C19" s="4">
        <v>61.8</v>
      </c>
      <c r="D19" s="4">
        <v>29.5</v>
      </c>
      <c r="E19" s="4">
        <v>55.6</v>
      </c>
      <c r="F19" s="4">
        <v>6.43</v>
      </c>
      <c r="G19" s="4">
        <v>1.7</v>
      </c>
      <c r="H19" s="4">
        <v>3.13</v>
      </c>
      <c r="I19" s="4">
        <v>0.99</v>
      </c>
      <c r="J19" s="4">
        <v>2.7E-2</v>
      </c>
      <c r="K19" s="4">
        <v>1.18</v>
      </c>
      <c r="L19" s="4">
        <v>0.16</v>
      </c>
      <c r="M19" s="4">
        <v>1.2999999999999999E-2</v>
      </c>
      <c r="N19" s="4">
        <v>1.7</v>
      </c>
      <c r="O19" s="4">
        <v>9.8000000000000007</v>
      </c>
      <c r="P19" s="4">
        <v>0.22</v>
      </c>
      <c r="Q19" s="4">
        <v>6.0000000000000001E-3</v>
      </c>
      <c r="R19" s="125"/>
      <c r="S19" s="125"/>
    </row>
    <row r="20" spans="1:54" x14ac:dyDescent="0.2">
      <c r="A20" s="4">
        <v>18</v>
      </c>
      <c r="B20" s="4" t="s">
        <v>38</v>
      </c>
      <c r="C20" s="4">
        <v>55.5</v>
      </c>
      <c r="D20" s="4">
        <v>3.9</v>
      </c>
      <c r="E20" s="4">
        <v>75</v>
      </c>
      <c r="F20" s="4">
        <v>14.8</v>
      </c>
      <c r="G20" s="4">
        <v>1.2</v>
      </c>
      <c r="H20" s="4">
        <v>1.1000000000000001</v>
      </c>
      <c r="I20" s="4">
        <v>0.23</v>
      </c>
      <c r="J20" s="4">
        <v>2.3E-2</v>
      </c>
      <c r="K20" s="4">
        <v>0.30599999999999999</v>
      </c>
      <c r="L20" s="4">
        <v>0.04</v>
      </c>
      <c r="M20" s="4">
        <v>1.4E-2</v>
      </c>
      <c r="N20" s="4">
        <v>3.6</v>
      </c>
      <c r="O20" s="4">
        <v>6.7</v>
      </c>
      <c r="P20" s="4">
        <v>0.11</v>
      </c>
      <c r="Q20" s="4">
        <v>0.01</v>
      </c>
      <c r="R20" s="125"/>
      <c r="S20" s="125"/>
    </row>
    <row r="21" spans="1:54" x14ac:dyDescent="0.2">
      <c r="A21" s="4">
        <v>19</v>
      </c>
      <c r="B21" s="4" t="s">
        <v>39</v>
      </c>
      <c r="C21" s="4">
        <v>56</v>
      </c>
      <c r="D21" s="4">
        <v>12</v>
      </c>
      <c r="E21" s="4">
        <v>66.8</v>
      </c>
      <c r="F21" s="4">
        <v>9.15</v>
      </c>
      <c r="G21" s="4">
        <v>3.93</v>
      </c>
      <c r="H21" s="4">
        <v>0.96</v>
      </c>
      <c r="I21" s="4">
        <v>0.32</v>
      </c>
      <c r="J21" s="4">
        <v>8.8999999999999996E-2</v>
      </c>
      <c r="K21" s="4">
        <v>0.159</v>
      </c>
      <c r="L21" s="4">
        <v>0.06</v>
      </c>
      <c r="M21" s="4">
        <v>1.7000000000000001E-2</v>
      </c>
      <c r="N21" s="4">
        <v>7.1</v>
      </c>
      <c r="O21" s="4">
        <v>7.9</v>
      </c>
      <c r="P21" s="4">
        <v>0.13</v>
      </c>
      <c r="Q21" s="4">
        <v>6.0000000000000001E-3</v>
      </c>
      <c r="R21" s="125"/>
      <c r="S21" s="125"/>
    </row>
    <row r="22" spans="1:54" x14ac:dyDescent="0.2">
      <c r="A22" s="4">
        <v>20</v>
      </c>
      <c r="B22" s="4" t="s">
        <v>40</v>
      </c>
      <c r="C22" s="4">
        <v>36.299999999999997</v>
      </c>
      <c r="D22" s="4">
        <v>22.1</v>
      </c>
      <c r="E22" s="4">
        <v>27.4</v>
      </c>
      <c r="F22" s="4">
        <v>8.2899999999999991</v>
      </c>
      <c r="G22" s="4">
        <v>2.68</v>
      </c>
      <c r="H22" s="4">
        <v>2.6</v>
      </c>
      <c r="I22" s="4">
        <v>7.1</v>
      </c>
      <c r="J22" s="4">
        <v>3.5999999999999997E-2</v>
      </c>
      <c r="K22" s="4">
        <v>0.12</v>
      </c>
      <c r="L22" s="4">
        <v>1.4</v>
      </c>
      <c r="M22" s="4" t="s">
        <v>41</v>
      </c>
      <c r="N22" s="4">
        <v>27.4</v>
      </c>
      <c r="O22" s="4">
        <v>5.9</v>
      </c>
      <c r="P22" s="4">
        <v>0.2</v>
      </c>
      <c r="Q22" s="4">
        <v>8.9999999999999993E-3</v>
      </c>
      <c r="R22" s="125"/>
      <c r="S22" s="125"/>
    </row>
    <row r="23" spans="1:54" x14ac:dyDescent="0.2">
      <c r="A23" s="4">
        <v>21</v>
      </c>
      <c r="B23" s="4" t="s">
        <v>42</v>
      </c>
      <c r="C23" s="4">
        <v>66.400000000000006</v>
      </c>
      <c r="D23" s="4">
        <v>29.6</v>
      </c>
      <c r="E23" s="4">
        <v>62.1</v>
      </c>
      <c r="F23" s="4">
        <v>3.64</v>
      </c>
      <c r="G23" s="4">
        <v>1.18</v>
      </c>
      <c r="H23" s="4">
        <v>1.1200000000000001</v>
      </c>
      <c r="I23" s="4">
        <v>1.04</v>
      </c>
      <c r="J23" s="4">
        <v>1.4E-2</v>
      </c>
      <c r="K23" s="4">
        <v>0.44900000000000001</v>
      </c>
      <c r="L23" s="4">
        <v>0.18</v>
      </c>
      <c r="M23" s="4" t="s">
        <v>43</v>
      </c>
      <c r="N23" s="4">
        <v>0.8</v>
      </c>
      <c r="O23" s="4">
        <v>3</v>
      </c>
      <c r="P23" s="4">
        <v>0.32</v>
      </c>
      <c r="Q23" s="4">
        <v>7.0000000000000001E-3</v>
      </c>
      <c r="R23" s="125"/>
      <c r="S23" s="125"/>
    </row>
    <row r="24" spans="1:54" x14ac:dyDescent="0.2">
      <c r="A24" s="4">
        <v>22</v>
      </c>
      <c r="B24" s="4" t="s">
        <v>44</v>
      </c>
      <c r="C24" s="4">
        <v>66.3</v>
      </c>
      <c r="D24" s="4">
        <v>27.8</v>
      </c>
      <c r="E24" s="4">
        <v>64</v>
      </c>
      <c r="F24" s="4">
        <v>7.04</v>
      </c>
      <c r="G24" s="4">
        <v>0.22</v>
      </c>
      <c r="H24" s="4">
        <v>0.4</v>
      </c>
      <c r="I24" s="4">
        <v>0.34</v>
      </c>
      <c r="J24" s="4">
        <v>1.7000000000000001E-2</v>
      </c>
      <c r="K24" s="4">
        <v>3.3000000000000002E-2</v>
      </c>
      <c r="L24" s="4">
        <v>0.05</v>
      </c>
      <c r="M24" s="4">
        <v>2.4E-2</v>
      </c>
      <c r="N24" s="4">
        <v>0.12</v>
      </c>
      <c r="O24" s="4">
        <v>8.4</v>
      </c>
      <c r="P24" s="4">
        <v>0.1</v>
      </c>
      <c r="Q24" s="4">
        <v>5.0000000000000001E-3</v>
      </c>
      <c r="R24" s="125"/>
      <c r="S24" s="125"/>
    </row>
    <row r="25" spans="1:54" x14ac:dyDescent="0.2">
      <c r="A25" s="4">
        <v>23</v>
      </c>
      <c r="B25" s="4" t="s">
        <v>45</v>
      </c>
      <c r="C25" s="4">
        <v>62.7</v>
      </c>
      <c r="D25" s="4">
        <v>23.3</v>
      </c>
      <c r="E25" s="4">
        <v>63.8</v>
      </c>
      <c r="F25" s="4">
        <v>3.39</v>
      </c>
      <c r="G25" s="4">
        <v>2.4700000000000002</v>
      </c>
      <c r="H25" s="4">
        <v>1.3</v>
      </c>
      <c r="I25" s="4">
        <v>3.83</v>
      </c>
      <c r="J25" s="4">
        <v>7.9000000000000001E-2</v>
      </c>
      <c r="K25" s="4">
        <v>2.3E-2</v>
      </c>
      <c r="L25" s="4">
        <v>0.1</v>
      </c>
      <c r="M25" s="4">
        <v>1.6E-2</v>
      </c>
      <c r="N25" s="4">
        <v>1.1000000000000001</v>
      </c>
      <c r="O25" s="4">
        <v>2.2000000000000002</v>
      </c>
      <c r="P25" s="4">
        <v>0.3</v>
      </c>
      <c r="Q25" s="4">
        <v>5.0000000000000001E-3</v>
      </c>
      <c r="R25" s="125"/>
      <c r="S25" s="125"/>
    </row>
    <row r="26" spans="1:54" x14ac:dyDescent="0.2">
      <c r="A26" s="4">
        <v>24</v>
      </c>
      <c r="B26" s="4" t="s">
        <v>46</v>
      </c>
      <c r="C26" s="4">
        <v>62.6</v>
      </c>
      <c r="D26" s="4">
        <v>1.6</v>
      </c>
      <c r="E26" s="4">
        <v>87.7</v>
      </c>
      <c r="F26" s="4">
        <v>3.7</v>
      </c>
      <c r="G26" s="4">
        <v>1.21</v>
      </c>
      <c r="H26" s="4">
        <v>4.0199999999999996</v>
      </c>
      <c r="I26" s="4">
        <v>0.99</v>
      </c>
      <c r="J26" s="4">
        <v>1.2999999999999999E-2</v>
      </c>
      <c r="K26" s="4">
        <v>6.7000000000000004E-2</v>
      </c>
      <c r="L26" s="4">
        <v>0.16</v>
      </c>
      <c r="M26" s="4">
        <v>1.4999999999999999E-2</v>
      </c>
      <c r="N26" s="4">
        <v>0.19</v>
      </c>
      <c r="O26" s="5" t="s">
        <v>21</v>
      </c>
      <c r="P26" s="4">
        <v>0.32</v>
      </c>
      <c r="Q26" s="4">
        <v>6.0000000000000001E-3</v>
      </c>
      <c r="R26" s="125"/>
      <c r="S26" s="125"/>
    </row>
    <row r="27" spans="1:54" x14ac:dyDescent="0.2">
      <c r="A27" s="4">
        <v>25</v>
      </c>
      <c r="B27" s="4" t="s">
        <v>47</v>
      </c>
      <c r="C27" s="4">
        <v>52.9</v>
      </c>
      <c r="D27" s="4">
        <v>13.2</v>
      </c>
      <c r="E27" s="4">
        <v>61</v>
      </c>
      <c r="F27" s="4">
        <v>4.74</v>
      </c>
      <c r="G27" s="4">
        <v>1.71</v>
      </c>
      <c r="H27" s="4">
        <v>4.45</v>
      </c>
      <c r="I27" s="4">
        <v>1.22</v>
      </c>
      <c r="J27" s="4">
        <v>0.03</v>
      </c>
      <c r="K27" s="4">
        <v>0.25800000000000001</v>
      </c>
      <c r="L27" s="4">
        <v>0.17</v>
      </c>
      <c r="M27" s="4">
        <v>0.36</v>
      </c>
      <c r="N27" s="4">
        <v>12.3</v>
      </c>
      <c r="O27" s="4">
        <v>9.3000000000000007</v>
      </c>
      <c r="P27" s="4">
        <v>0.26</v>
      </c>
      <c r="Q27" s="4">
        <v>1.0999999999999999E-2</v>
      </c>
      <c r="R27" s="125"/>
      <c r="S27" s="125"/>
    </row>
    <row r="28" spans="1:54" x14ac:dyDescent="0.2">
      <c r="A28" s="4">
        <v>26</v>
      </c>
      <c r="B28" s="4" t="s">
        <v>48</v>
      </c>
      <c r="C28" s="4"/>
      <c r="D28" s="4"/>
      <c r="E28" s="4">
        <v>0.19</v>
      </c>
      <c r="F28" s="4">
        <v>0.17</v>
      </c>
      <c r="G28" s="4">
        <v>0.05</v>
      </c>
      <c r="H28" s="4">
        <v>51.8</v>
      </c>
      <c r="I28" s="4">
        <v>3.2</v>
      </c>
      <c r="J28" s="4"/>
      <c r="K28" s="4"/>
      <c r="L28" s="4"/>
      <c r="M28" s="4"/>
      <c r="N28" s="4"/>
      <c r="O28" s="4"/>
      <c r="P28" s="4"/>
      <c r="Q28" s="4"/>
      <c r="R28" s="125"/>
      <c r="S28" s="125"/>
    </row>
    <row r="29" spans="1:54" x14ac:dyDescent="0.2">
      <c r="A29" s="4">
        <v>27</v>
      </c>
      <c r="B29" s="4" t="s">
        <v>49</v>
      </c>
      <c r="C29" s="4"/>
      <c r="D29" s="4"/>
      <c r="E29" s="4">
        <v>0.08</v>
      </c>
      <c r="F29" s="4">
        <v>0.13</v>
      </c>
      <c r="G29" s="4">
        <v>0.04</v>
      </c>
      <c r="H29" s="4">
        <v>34.799999999999997</v>
      </c>
      <c r="I29" s="4">
        <v>18</v>
      </c>
      <c r="J29" s="4"/>
      <c r="K29" s="4"/>
      <c r="L29" s="4"/>
      <c r="M29" s="4"/>
      <c r="N29" s="4"/>
      <c r="O29" s="4"/>
      <c r="P29" s="4"/>
      <c r="Q29" s="4"/>
      <c r="R29" s="125"/>
      <c r="S29" s="125"/>
    </row>
    <row r="30" spans="1:54" x14ac:dyDescent="0.2">
      <c r="A30" s="4">
        <v>28</v>
      </c>
      <c r="B30" s="4" t="s">
        <v>233</v>
      </c>
      <c r="C30" s="17">
        <v>67.8</v>
      </c>
      <c r="D30" s="324">
        <v>28.1</v>
      </c>
      <c r="E30" s="324">
        <v>65.8</v>
      </c>
      <c r="F30" s="324">
        <v>5.07</v>
      </c>
      <c r="G30" s="324">
        <v>0.19</v>
      </c>
      <c r="H30" s="324">
        <v>0.27</v>
      </c>
      <c r="I30" s="324">
        <v>0.25</v>
      </c>
      <c r="J30" s="324">
        <v>1.0999999999999999E-2</v>
      </c>
      <c r="K30" s="324">
        <v>4.8000000000000001E-2</v>
      </c>
      <c r="L30" s="324">
        <v>0.03</v>
      </c>
      <c r="M30" s="324">
        <v>2.4E-2</v>
      </c>
      <c r="N30" s="324">
        <v>0.18</v>
      </c>
      <c r="O30" s="324">
        <v>8.8000000000000007</v>
      </c>
      <c r="P30" s="17"/>
      <c r="Q30" s="323">
        <v>5.0000000000000001E-3</v>
      </c>
      <c r="R30" s="17"/>
      <c r="S30" s="17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</row>
    <row r="31" spans="1:54" x14ac:dyDescent="0.2">
      <c r="A31" s="4">
        <v>29</v>
      </c>
      <c r="B31" s="4" t="s">
        <v>234</v>
      </c>
      <c r="C31" s="4">
        <v>48.7</v>
      </c>
      <c r="D31" s="4">
        <v>28.9</v>
      </c>
      <c r="E31" s="4">
        <v>37.6</v>
      </c>
      <c r="F31" s="4">
        <v>15.8</v>
      </c>
      <c r="G31" s="4">
        <v>3.3</v>
      </c>
      <c r="H31" s="4">
        <v>6.5</v>
      </c>
      <c r="I31" s="4">
        <v>2.0499999999999998</v>
      </c>
      <c r="J31" s="4">
        <v>5.8999999999999997E-2</v>
      </c>
      <c r="K31" s="4">
        <v>3.67</v>
      </c>
      <c r="L31" s="4">
        <v>0.15</v>
      </c>
      <c r="M31" s="4" t="s">
        <v>235</v>
      </c>
      <c r="N31" s="4">
        <v>4.0999999999999996</v>
      </c>
      <c r="O31" s="4">
        <v>1.3</v>
      </c>
      <c r="P31" s="4">
        <v>0.32</v>
      </c>
      <c r="Q31" s="4">
        <v>5.0000000000000001E-3</v>
      </c>
      <c r="R31" s="4"/>
      <c r="S31" s="4"/>
    </row>
    <row r="32" spans="1:54" x14ac:dyDescent="0.2">
      <c r="A32" s="4">
        <v>30</v>
      </c>
      <c r="B32" s="4" t="s">
        <v>236</v>
      </c>
      <c r="C32" s="4">
        <v>48.7</v>
      </c>
      <c r="D32" s="4">
        <v>28.9</v>
      </c>
      <c r="E32" s="4">
        <v>37.6</v>
      </c>
      <c r="F32" s="4">
        <v>15.8</v>
      </c>
      <c r="G32" s="4">
        <v>3.3</v>
      </c>
      <c r="H32" s="4">
        <v>6.5</v>
      </c>
      <c r="I32" s="4">
        <v>2.0499999999999998</v>
      </c>
      <c r="J32" s="4">
        <v>5.8999999999999997E-2</v>
      </c>
      <c r="K32" s="4">
        <v>3.67</v>
      </c>
      <c r="L32" s="4">
        <v>0.15</v>
      </c>
      <c r="M32" s="4">
        <v>1.2999999999999999E-2</v>
      </c>
      <c r="N32" s="4">
        <v>4.0999999999999996</v>
      </c>
      <c r="O32" s="4">
        <v>1.3</v>
      </c>
      <c r="P32" s="4">
        <v>0.31</v>
      </c>
      <c r="Q32" s="4">
        <v>5.0000000000000001E-3</v>
      </c>
      <c r="R32" s="4"/>
      <c r="S32" s="4"/>
    </row>
  </sheetData>
  <phoneticPr fontId="0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F41"/>
  <sheetViews>
    <sheetView workbookViewId="0">
      <selection activeCell="C16" sqref="C16"/>
    </sheetView>
  </sheetViews>
  <sheetFormatPr defaultRowHeight="12.75" x14ac:dyDescent="0.2"/>
  <cols>
    <col min="1" max="1" width="10.28515625" customWidth="1"/>
  </cols>
  <sheetData>
    <row r="1" spans="1:6" x14ac:dyDescent="0.2">
      <c r="A1" s="38" t="s">
        <v>290</v>
      </c>
      <c r="B1" s="38"/>
      <c r="C1" s="38"/>
      <c r="D1" s="38"/>
      <c r="E1" s="38"/>
      <c r="F1" s="38"/>
    </row>
    <row r="2" spans="1:6" x14ac:dyDescent="0.2">
      <c r="A2" s="38" t="s">
        <v>291</v>
      </c>
      <c r="B2" s="38"/>
      <c r="C2" s="38"/>
      <c r="D2" s="38"/>
      <c r="E2" s="38"/>
      <c r="F2" s="38"/>
    </row>
    <row r="3" spans="1:6" x14ac:dyDescent="0.2">
      <c r="A3" s="38" t="s">
        <v>292</v>
      </c>
      <c r="B3" s="38"/>
      <c r="C3" s="38"/>
      <c r="D3" s="38"/>
      <c r="E3" s="38"/>
      <c r="F3" s="38"/>
    </row>
    <row r="4" spans="1:6" x14ac:dyDescent="0.2">
      <c r="A4" s="38"/>
      <c r="B4" s="38"/>
      <c r="C4" s="38"/>
      <c r="D4" s="38"/>
      <c r="E4" s="38"/>
      <c r="F4" s="38"/>
    </row>
    <row r="5" spans="1:6" x14ac:dyDescent="0.2">
      <c r="A5" s="32" t="s">
        <v>8</v>
      </c>
      <c r="B5" s="38">
        <v>38.695</v>
      </c>
      <c r="C5" s="38"/>
      <c r="D5" s="38"/>
      <c r="E5" s="38"/>
      <c r="F5" s="38"/>
    </row>
    <row r="6" spans="1:6" x14ac:dyDescent="0.2">
      <c r="A6" s="8" t="s">
        <v>6</v>
      </c>
      <c r="B6" s="38">
        <v>35.978000000000002</v>
      </c>
      <c r="C6" s="38"/>
      <c r="D6" s="38"/>
      <c r="E6" s="38"/>
      <c r="F6" s="38"/>
    </row>
    <row r="7" spans="1:6" x14ac:dyDescent="0.2">
      <c r="A7" s="8" t="s">
        <v>7</v>
      </c>
      <c r="B7" s="38">
        <v>13.215</v>
      </c>
      <c r="C7" s="38"/>
      <c r="D7" s="38"/>
      <c r="E7" s="38"/>
      <c r="F7" s="38"/>
    </row>
    <row r="8" spans="1:6" x14ac:dyDescent="0.2">
      <c r="A8" s="8" t="s">
        <v>9</v>
      </c>
      <c r="B8" s="53">
        <v>7.7850000000000001</v>
      </c>
      <c r="C8" s="38"/>
      <c r="D8" s="38"/>
      <c r="E8" s="38"/>
      <c r="F8" s="38"/>
    </row>
    <row r="9" spans="1:6" x14ac:dyDescent="0.2">
      <c r="A9" s="8" t="s">
        <v>11</v>
      </c>
      <c r="B9" s="53">
        <v>0.92800000000000005</v>
      </c>
      <c r="C9" s="38"/>
      <c r="D9" s="38"/>
      <c r="E9" s="38"/>
      <c r="F9" s="38"/>
    </row>
    <row r="10" spans="1:6" x14ac:dyDescent="0.2">
      <c r="A10" s="137" t="s">
        <v>280</v>
      </c>
      <c r="B10" s="53">
        <v>1.0429999999999999</v>
      </c>
      <c r="C10" s="38"/>
      <c r="D10" s="38"/>
      <c r="E10" s="38"/>
      <c r="F10" s="38"/>
    </row>
    <row r="11" spans="1:6" x14ac:dyDescent="0.2">
      <c r="A11" s="9" t="s">
        <v>75</v>
      </c>
      <c r="B11" s="53">
        <v>1.0760000000000001</v>
      </c>
      <c r="C11" s="38"/>
      <c r="D11" s="38"/>
      <c r="E11" s="38"/>
      <c r="F11" s="38"/>
    </row>
    <row r="12" spans="1:6" x14ac:dyDescent="0.2">
      <c r="A12" s="38"/>
      <c r="B12" s="53">
        <v>1.2490000000000001</v>
      </c>
      <c r="C12" s="39"/>
      <c r="D12" s="38"/>
      <c r="E12" s="38"/>
      <c r="F12" s="38"/>
    </row>
    <row r="13" spans="1:6" x14ac:dyDescent="0.2">
      <c r="B13" s="164" t="s">
        <v>293</v>
      </c>
      <c r="C13" s="39"/>
      <c r="D13" s="38"/>
      <c r="E13" s="38"/>
      <c r="F13" s="38"/>
    </row>
    <row r="14" spans="1:6" x14ac:dyDescent="0.2">
      <c r="A14" s="38" t="s">
        <v>294</v>
      </c>
      <c r="B14" s="38"/>
      <c r="C14" s="39"/>
      <c r="D14" s="38"/>
      <c r="E14" s="38"/>
      <c r="F14" s="38"/>
    </row>
    <row r="15" spans="1:6" x14ac:dyDescent="0.2">
      <c r="A15" s="38"/>
      <c r="B15" s="38"/>
      <c r="C15" s="39"/>
      <c r="D15" s="38"/>
      <c r="E15" s="38"/>
      <c r="F15" s="38"/>
    </row>
    <row r="16" spans="1:6" x14ac:dyDescent="0.2">
      <c r="A16" s="38"/>
      <c r="B16" s="38"/>
      <c r="C16" s="39"/>
      <c r="D16" s="38"/>
      <c r="E16" s="38"/>
      <c r="F16" s="38"/>
    </row>
    <row r="17" spans="1:6" x14ac:dyDescent="0.2">
      <c r="A17" s="38"/>
      <c r="B17" s="38"/>
      <c r="C17" s="39"/>
      <c r="D17" s="38"/>
      <c r="E17" s="38"/>
      <c r="F17" s="38"/>
    </row>
    <row r="18" spans="1:6" x14ac:dyDescent="0.2">
      <c r="A18" s="38"/>
      <c r="B18" s="38"/>
      <c r="C18" s="163"/>
      <c r="D18" s="38"/>
      <c r="E18" s="38"/>
      <c r="F18" s="38"/>
    </row>
    <row r="19" spans="1:6" x14ac:dyDescent="0.2">
      <c r="A19" s="38"/>
      <c r="B19" s="38"/>
      <c r="C19" s="38"/>
      <c r="D19" s="38"/>
      <c r="E19" s="38"/>
      <c r="F19" s="38"/>
    </row>
    <row r="20" spans="1:6" x14ac:dyDescent="0.2">
      <c r="A20" s="38"/>
      <c r="B20" s="38"/>
      <c r="C20" s="38"/>
      <c r="D20" s="38"/>
      <c r="E20" s="38"/>
      <c r="F20" s="38"/>
    </row>
    <row r="21" spans="1:6" x14ac:dyDescent="0.2">
      <c r="A21" s="38"/>
      <c r="B21" s="38"/>
      <c r="C21" s="38"/>
      <c r="D21" s="38"/>
      <c r="E21" s="38"/>
      <c r="F21" s="38"/>
    </row>
    <row r="22" spans="1:6" x14ac:dyDescent="0.2">
      <c r="A22" s="38"/>
      <c r="B22" s="38"/>
      <c r="C22" s="38"/>
      <c r="D22" s="38"/>
      <c r="E22" s="38"/>
      <c r="F22" s="38"/>
    </row>
    <row r="23" spans="1:6" x14ac:dyDescent="0.2">
      <c r="A23" s="38"/>
      <c r="B23" s="38"/>
      <c r="C23" s="38"/>
      <c r="D23" s="38"/>
      <c r="E23" s="38"/>
      <c r="F23" s="38"/>
    </row>
    <row r="24" spans="1:6" x14ac:dyDescent="0.2">
      <c r="A24" s="38"/>
      <c r="B24" s="38"/>
      <c r="C24" s="38"/>
      <c r="D24" s="38"/>
      <c r="E24" s="38"/>
      <c r="F24" s="38"/>
    </row>
    <row r="25" spans="1:6" x14ac:dyDescent="0.2">
      <c r="A25" s="38"/>
      <c r="B25" s="38"/>
      <c r="C25" s="38"/>
      <c r="D25" s="38"/>
      <c r="E25" s="38"/>
      <c r="F25" s="38"/>
    </row>
    <row r="26" spans="1:6" x14ac:dyDescent="0.2">
      <c r="A26" s="38"/>
      <c r="B26" s="38"/>
      <c r="C26" s="38"/>
      <c r="D26" s="38"/>
      <c r="E26" s="38"/>
      <c r="F26" s="38"/>
    </row>
    <row r="27" spans="1:6" x14ac:dyDescent="0.2">
      <c r="A27" s="38"/>
      <c r="B27" s="38"/>
      <c r="C27" s="38"/>
      <c r="D27" s="38"/>
      <c r="E27" s="38"/>
      <c r="F27" s="38"/>
    </row>
    <row r="28" spans="1:6" x14ac:dyDescent="0.2">
      <c r="A28" s="38"/>
      <c r="B28" s="38"/>
      <c r="C28" s="38"/>
      <c r="D28" s="38"/>
      <c r="E28" s="38"/>
      <c r="F28" s="38"/>
    </row>
    <row r="29" spans="1:6" x14ac:dyDescent="0.2">
      <c r="A29" s="38"/>
      <c r="B29" s="38"/>
      <c r="C29" s="38"/>
      <c r="D29" s="38"/>
      <c r="E29" s="38"/>
      <c r="F29" s="38"/>
    </row>
    <row r="30" spans="1:6" x14ac:dyDescent="0.2">
      <c r="A30" s="38"/>
      <c r="B30" s="38"/>
      <c r="C30" s="38"/>
      <c r="D30" s="38"/>
      <c r="E30" s="38"/>
      <c r="F30" s="38"/>
    </row>
    <row r="31" spans="1:6" x14ac:dyDescent="0.2">
      <c r="A31" s="38"/>
      <c r="B31" s="38"/>
      <c r="C31" s="38"/>
      <c r="D31" s="38"/>
      <c r="E31" s="38"/>
      <c r="F31" s="38"/>
    </row>
    <row r="32" spans="1:6" x14ac:dyDescent="0.2">
      <c r="A32" s="38"/>
      <c r="B32" s="38"/>
      <c r="C32" s="38"/>
      <c r="D32" s="38"/>
      <c r="E32" s="38"/>
      <c r="F32" s="38"/>
    </row>
    <row r="33" spans="1:6" x14ac:dyDescent="0.2">
      <c r="A33" s="38"/>
      <c r="B33" s="38"/>
      <c r="C33" s="38"/>
      <c r="D33" s="38"/>
      <c r="E33" s="38"/>
      <c r="F33" s="38"/>
    </row>
    <row r="34" spans="1:6" x14ac:dyDescent="0.2">
      <c r="A34" s="38"/>
      <c r="B34" s="38"/>
      <c r="C34" s="38"/>
      <c r="D34" s="38"/>
      <c r="E34" s="38"/>
      <c r="F34" s="38"/>
    </row>
    <row r="35" spans="1:6" x14ac:dyDescent="0.2">
      <c r="A35" s="38"/>
      <c r="B35" s="38"/>
      <c r="C35" s="38"/>
      <c r="D35" s="38"/>
      <c r="E35" s="38"/>
      <c r="F35" s="38"/>
    </row>
    <row r="36" spans="1:6" x14ac:dyDescent="0.2">
      <c r="A36" s="38"/>
      <c r="B36" s="38"/>
      <c r="C36" s="38"/>
      <c r="D36" s="38"/>
      <c r="E36" s="38"/>
      <c r="F36" s="38"/>
    </row>
    <row r="37" spans="1:6" x14ac:dyDescent="0.2">
      <c r="A37" s="38"/>
      <c r="B37" s="38"/>
      <c r="C37" s="38"/>
      <c r="D37" s="38"/>
      <c r="E37" s="38"/>
      <c r="F37" s="38"/>
    </row>
    <row r="38" spans="1:6" x14ac:dyDescent="0.2">
      <c r="A38" s="38"/>
      <c r="B38" s="38"/>
      <c r="C38" s="38"/>
      <c r="D38" s="38"/>
      <c r="E38" s="38"/>
      <c r="F38" s="38"/>
    </row>
    <row r="39" spans="1:6" x14ac:dyDescent="0.2">
      <c r="A39" s="38"/>
      <c r="B39" s="38"/>
      <c r="C39" s="38"/>
      <c r="D39" s="38"/>
      <c r="E39" s="38"/>
      <c r="F39" s="38"/>
    </row>
    <row r="40" spans="1:6" x14ac:dyDescent="0.2">
      <c r="A40" s="38"/>
      <c r="B40" s="38"/>
      <c r="C40" s="38"/>
      <c r="D40" s="38"/>
      <c r="E40" s="38"/>
      <c r="F40" s="38"/>
    </row>
    <row r="41" spans="1:6" x14ac:dyDescent="0.2">
      <c r="A41" s="38"/>
      <c r="B41" s="38"/>
      <c r="C41" s="38"/>
      <c r="D41" s="38"/>
      <c r="E41" s="38"/>
      <c r="F41" s="38"/>
    </row>
  </sheetData>
  <phoneticPr fontId="0" type="noConversion"/>
  <pageMargins left="0.75" right="0.75" top="1" bottom="1" header="0.5" footer="0.5"/>
  <pageSetup paperSize="9" orientation="portrait" horizontalDpi="120" verticalDpi="144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Лист8"/>
  <dimension ref="A1:DG830"/>
  <sheetViews>
    <sheetView topLeftCell="A55" zoomScale="85" zoomScaleNormal="100" workbookViewId="0">
      <selection activeCell="C36" sqref="C36"/>
    </sheetView>
  </sheetViews>
  <sheetFormatPr defaultRowHeight="12" x14ac:dyDescent="0.2"/>
  <cols>
    <col min="1" max="1" width="20.7109375" style="170" customWidth="1"/>
    <col min="2" max="2" width="14.5703125" style="170" customWidth="1"/>
    <col min="3" max="3" width="10" style="170" customWidth="1"/>
    <col min="4" max="4" width="9.85546875" style="170" customWidth="1"/>
    <col min="5" max="5" width="10.7109375" style="170" customWidth="1"/>
    <col min="6" max="6" width="7.7109375" style="170" customWidth="1"/>
    <col min="7" max="7" width="9.42578125" style="170" customWidth="1"/>
    <col min="8" max="8" width="8.42578125" style="170" customWidth="1"/>
    <col min="9" max="9" width="7.140625" style="170" customWidth="1"/>
    <col min="10" max="10" width="6" style="170" customWidth="1"/>
    <col min="11" max="11" width="6.42578125" style="170" customWidth="1"/>
    <col min="12" max="12" width="3.140625" style="170" hidden="1" customWidth="1"/>
    <col min="13" max="13" width="8" style="170" customWidth="1"/>
    <col min="14" max="16" width="6.140625" style="170" customWidth="1"/>
    <col min="17" max="17" width="7.140625" style="170" customWidth="1"/>
    <col min="18" max="19" width="6.42578125" style="170" customWidth="1"/>
    <col min="20" max="20" width="7" style="170" customWidth="1"/>
    <col min="21" max="22" width="7.140625" style="170" customWidth="1"/>
    <col min="23" max="23" width="7" style="170" customWidth="1"/>
    <col min="24" max="25" width="7.140625" style="170" customWidth="1"/>
    <col min="26" max="26" width="6.28515625" style="170" customWidth="1"/>
    <col min="27" max="28" width="7.28515625" style="170" customWidth="1"/>
    <col min="29" max="29" width="6.28515625" style="170" customWidth="1"/>
    <col min="30" max="31" width="5.28515625" style="170" customWidth="1"/>
    <col min="32" max="32" width="5.42578125" style="170" customWidth="1"/>
    <col min="33" max="34" width="5.85546875" style="170" customWidth="1"/>
    <col min="35" max="35" width="7" style="170" customWidth="1"/>
    <col min="36" max="36" width="7.28515625" style="170" customWidth="1"/>
    <col min="37" max="37" width="6.42578125" style="170" customWidth="1"/>
    <col min="38" max="38" width="7.28515625" style="170" customWidth="1"/>
    <col min="39" max="39" width="7" style="170" customWidth="1"/>
    <col min="40" max="40" width="7.5703125" style="170" customWidth="1"/>
    <col min="41" max="41" width="6.7109375" style="170" customWidth="1"/>
    <col min="42" max="42" width="5.85546875" style="170" customWidth="1"/>
    <col min="43" max="43" width="6.5703125" style="170" customWidth="1"/>
    <col min="44" max="44" width="7.140625" style="170" customWidth="1"/>
    <col min="45" max="45" width="6.42578125" style="170" customWidth="1"/>
    <col min="46" max="46" width="6.7109375" style="170" customWidth="1"/>
    <col min="47" max="16384" width="9.140625" style="170"/>
  </cols>
  <sheetData>
    <row r="1" spans="1:46" ht="12.75" thickBot="1" x14ac:dyDescent="0.25">
      <c r="A1" s="166"/>
      <c r="B1" s="167" t="s">
        <v>295</v>
      </c>
      <c r="C1" s="167"/>
      <c r="D1" s="166"/>
      <c r="E1" s="166"/>
      <c r="F1" s="166"/>
      <c r="G1" s="166"/>
      <c r="H1" s="166"/>
      <c r="I1" s="166"/>
      <c r="J1" s="168" t="s">
        <v>296</v>
      </c>
      <c r="K1" s="168"/>
      <c r="L1" s="168"/>
      <c r="M1" s="168"/>
      <c r="N1" s="168"/>
      <c r="O1" s="168"/>
      <c r="P1" s="168"/>
      <c r="Q1" s="168" t="s">
        <v>297</v>
      </c>
      <c r="R1" s="168"/>
      <c r="S1" s="168"/>
      <c r="T1" s="168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  <c r="AL1" s="166"/>
      <c r="AM1" s="169"/>
      <c r="AN1" s="169"/>
      <c r="AO1" s="169"/>
    </row>
    <row r="2" spans="1:46" x14ac:dyDescent="0.2">
      <c r="A2" s="171"/>
      <c r="B2" s="172" t="s">
        <v>298</v>
      </c>
      <c r="C2" s="173"/>
      <c r="D2" s="173" t="s">
        <v>299</v>
      </c>
      <c r="E2" s="173" t="s">
        <v>300</v>
      </c>
      <c r="F2" s="174"/>
      <c r="G2" s="175" t="s">
        <v>301</v>
      </c>
      <c r="H2" s="176"/>
      <c r="I2" s="176"/>
      <c r="J2" s="175" t="s">
        <v>201</v>
      </c>
      <c r="K2" s="176"/>
      <c r="L2" s="176" t="s">
        <v>302</v>
      </c>
      <c r="M2" s="177"/>
      <c r="N2" s="177"/>
      <c r="O2" s="165" t="s">
        <v>4</v>
      </c>
      <c r="P2" s="176"/>
      <c r="Q2" s="175" t="s">
        <v>303</v>
      </c>
      <c r="R2" s="176"/>
      <c r="S2" s="176"/>
      <c r="T2" s="176" t="s">
        <v>304</v>
      </c>
      <c r="U2" s="176"/>
      <c r="V2" s="176"/>
      <c r="W2" s="176" t="s">
        <v>203</v>
      </c>
      <c r="X2" s="176"/>
      <c r="Y2" s="176"/>
      <c r="Z2" s="176" t="s">
        <v>202</v>
      </c>
      <c r="AA2" s="176"/>
      <c r="AB2" s="176"/>
      <c r="AC2" s="176" t="s">
        <v>305</v>
      </c>
      <c r="AD2" s="176"/>
      <c r="AE2" s="176"/>
      <c r="AF2" s="176" t="s">
        <v>306</v>
      </c>
      <c r="AG2" s="176"/>
      <c r="AH2" s="176"/>
      <c r="AI2" s="176" t="s">
        <v>307</v>
      </c>
      <c r="AJ2" s="176"/>
      <c r="AK2" s="176"/>
      <c r="AL2" s="176" t="s">
        <v>308</v>
      </c>
      <c r="AM2" s="178"/>
      <c r="AN2" s="179"/>
      <c r="AO2" s="176" t="s">
        <v>13</v>
      </c>
      <c r="AP2" s="178"/>
      <c r="AQ2" s="179"/>
      <c r="AR2" s="176" t="s">
        <v>12</v>
      </c>
      <c r="AS2" s="176"/>
      <c r="AT2" s="179"/>
    </row>
    <row r="3" spans="1:46" ht="12.75" thickBot="1" x14ac:dyDescent="0.25">
      <c r="A3" s="180"/>
      <c r="B3" s="181" t="s">
        <v>309</v>
      </c>
      <c r="C3" s="182"/>
      <c r="D3" s="182" t="s">
        <v>310</v>
      </c>
      <c r="E3" s="182" t="s">
        <v>311</v>
      </c>
      <c r="F3" s="183"/>
      <c r="G3" s="184" t="s">
        <v>312</v>
      </c>
      <c r="H3" s="185" t="s">
        <v>311</v>
      </c>
      <c r="I3" s="186"/>
      <c r="J3" s="185" t="s">
        <v>312</v>
      </c>
      <c r="K3" s="185" t="s">
        <v>311</v>
      </c>
      <c r="L3" s="187" t="s">
        <v>313</v>
      </c>
      <c r="M3" s="187"/>
      <c r="N3" s="188" t="s">
        <v>136</v>
      </c>
      <c r="O3" s="189"/>
      <c r="P3" s="190" t="s">
        <v>312</v>
      </c>
      <c r="Q3" s="185" t="s">
        <v>311</v>
      </c>
      <c r="R3" s="186"/>
      <c r="S3" s="185" t="s">
        <v>312</v>
      </c>
      <c r="T3" s="185" t="s">
        <v>311</v>
      </c>
      <c r="U3" s="186"/>
      <c r="V3" s="185" t="s">
        <v>314</v>
      </c>
      <c r="W3" s="185" t="s">
        <v>315</v>
      </c>
      <c r="X3" s="186"/>
      <c r="Y3" s="185" t="s">
        <v>314</v>
      </c>
      <c r="Z3" s="185" t="s">
        <v>315</v>
      </c>
      <c r="AA3" s="186"/>
      <c r="AB3" s="185" t="s">
        <v>314</v>
      </c>
      <c r="AC3" s="185" t="s">
        <v>315</v>
      </c>
      <c r="AD3" s="186"/>
      <c r="AE3" s="185" t="s">
        <v>312</v>
      </c>
      <c r="AF3" s="185" t="s">
        <v>315</v>
      </c>
      <c r="AG3" s="186"/>
      <c r="AH3" s="185" t="s">
        <v>314</v>
      </c>
      <c r="AI3" s="185" t="s">
        <v>316</v>
      </c>
      <c r="AJ3" s="191"/>
      <c r="AK3" s="185" t="s">
        <v>310</v>
      </c>
      <c r="AL3" s="192" t="s">
        <v>315</v>
      </c>
      <c r="AM3" s="193"/>
      <c r="AN3" s="185" t="s">
        <v>310</v>
      </c>
      <c r="AO3" s="192" t="s">
        <v>315</v>
      </c>
      <c r="AP3" s="193"/>
      <c r="AQ3" s="185" t="s">
        <v>314</v>
      </c>
      <c r="AR3" s="185" t="s">
        <v>315</v>
      </c>
      <c r="AS3" s="194"/>
    </row>
    <row r="4" spans="1:46" ht="12.75" thickBot="1" x14ac:dyDescent="0.25">
      <c r="A4" s="195" t="s">
        <v>317</v>
      </c>
      <c r="B4" s="196">
        <v>61093</v>
      </c>
      <c r="C4" s="197">
        <f>B4/$B$29</f>
        <v>6.3931360617327487E-2</v>
      </c>
      <c r="D4" s="196">
        <v>9.8000000000000007</v>
      </c>
      <c r="E4" s="198">
        <f>B4*(100-D4)/100</f>
        <v>55105.886000000006</v>
      </c>
      <c r="F4" s="199">
        <f>E4/$E$29</f>
        <v>6.3094174438681844E-2</v>
      </c>
      <c r="G4" s="196">
        <v>1.6</v>
      </c>
      <c r="H4" s="198">
        <f t="shared" ref="H4:H28" si="0">E4*(100-G4)/100</f>
        <v>54224.191824000009</v>
      </c>
      <c r="I4" s="200">
        <f>H4/$H$29</f>
        <v>6.707919907368369E-2</v>
      </c>
      <c r="J4" s="201">
        <v>61</v>
      </c>
      <c r="K4" s="198">
        <f t="shared" ref="K4:K28" si="1">E4*J4*(100-L4)/10000</f>
        <v>33614.590460000007</v>
      </c>
      <c r="L4" s="196">
        <v>0</v>
      </c>
      <c r="M4" s="202">
        <f>J4*F4</f>
        <v>3.8487446407595924</v>
      </c>
      <c r="N4" s="203">
        <v>30</v>
      </c>
      <c r="O4" s="204">
        <f t="shared" ref="O4:O28" si="2">N4*F4</f>
        <v>1.8928252331604554</v>
      </c>
      <c r="P4" s="205">
        <v>3.61</v>
      </c>
      <c r="Q4" s="198">
        <f t="shared" ref="Q4:Q28" si="3">E4*P4/100</f>
        <v>1989.3224846000001</v>
      </c>
      <c r="R4" s="199">
        <f t="shared" ref="R4:R28" si="4">P4*F4</f>
        <v>0.22776996972364144</v>
      </c>
      <c r="S4" s="196">
        <v>6.6</v>
      </c>
      <c r="T4" s="201">
        <f t="shared" ref="T4:T28" si="5">E4*S4/100</f>
        <v>3636.9884760000004</v>
      </c>
      <c r="U4" s="206">
        <f t="shared" ref="U4:U28" si="6">S4*F4</f>
        <v>0.41642155129530012</v>
      </c>
      <c r="V4" s="207">
        <v>0.94</v>
      </c>
      <c r="W4" s="198">
        <f t="shared" ref="W4:W28" si="7">E4*V4/100</f>
        <v>517.99532839999995</v>
      </c>
      <c r="X4" s="206">
        <f t="shared" ref="X4:X28" si="8">V4*F4</f>
        <v>5.930852397236093E-2</v>
      </c>
      <c r="Y4" s="207">
        <v>1.77</v>
      </c>
      <c r="Z4" s="201">
        <f t="shared" ref="Z4:Z28" si="9">E4*Y4/100</f>
        <v>975.37418220000006</v>
      </c>
      <c r="AA4" s="206">
        <f t="shared" ref="AA4:AA28" si="10">Y4*F4</f>
        <v>0.11167668875646687</v>
      </c>
      <c r="AB4" s="207">
        <v>0.21</v>
      </c>
      <c r="AC4" s="198">
        <f t="shared" ref="AC4:AC28" si="11">E4*AB4/100</f>
        <v>115.72236060000002</v>
      </c>
      <c r="AD4" s="206">
        <f t="shared" ref="AD4:AD28" si="12">AB4*F4</f>
        <v>1.3249776632123187E-2</v>
      </c>
      <c r="AE4" s="196">
        <v>1.44</v>
      </c>
      <c r="AF4" s="198">
        <f t="shared" ref="AF4:AF28" si="13">E4*AE4/100</f>
        <v>793.5247584</v>
      </c>
      <c r="AG4" s="199">
        <f t="shared" ref="AG4:AG28" si="14">AE4*F4</f>
        <v>9.0855611191701852E-2</v>
      </c>
      <c r="AH4" s="196">
        <v>1.7000000000000001E-2</v>
      </c>
      <c r="AI4" s="198">
        <f t="shared" ref="AI4:AI28" si="15">E4*AH4/100</f>
        <v>9.3680006200000019</v>
      </c>
      <c r="AJ4" s="206">
        <f t="shared" ref="AJ4:AJ28" si="16">AH4*F4</f>
        <v>1.0726009654575914E-3</v>
      </c>
      <c r="AK4" s="196">
        <v>0.09</v>
      </c>
      <c r="AL4" s="208">
        <f t="shared" ref="AL4:AL28" si="17">E4*AK4/100</f>
        <v>49.5952974</v>
      </c>
      <c r="AM4" s="206">
        <f t="shared" ref="AM4:AM28" si="18">AK4*F4</f>
        <v>5.6784756994813657E-3</v>
      </c>
      <c r="AN4" s="196">
        <v>1.4E-2</v>
      </c>
      <c r="AO4" s="208">
        <f t="shared" ref="AO4:AO28" si="19">E4*AN4/100</f>
        <v>7.7148240400000008</v>
      </c>
      <c r="AP4" s="199">
        <f t="shared" ref="AP4:AP28" si="20">AN4*F4</f>
        <v>8.8331844214154583E-4</v>
      </c>
      <c r="AQ4" s="207">
        <v>0.23</v>
      </c>
      <c r="AR4" s="198">
        <f t="shared" ref="AR4:AR28" si="21">E4*AQ4/100</f>
        <v>126.74353780000001</v>
      </c>
      <c r="AS4" s="209">
        <f t="shared" ref="AS4:AS28" si="22">AQ4*F4</f>
        <v>1.4511660120896825E-2</v>
      </c>
    </row>
    <row r="5" spans="1:46" ht="12.75" thickBot="1" x14ac:dyDescent="0.25">
      <c r="A5" s="210" t="s">
        <v>318</v>
      </c>
      <c r="B5" s="205">
        <v>38500</v>
      </c>
      <c r="C5" s="199">
        <f t="shared" ref="C5:C28" si="23">B5/$B$29</f>
        <v>4.0288697293750647E-2</v>
      </c>
      <c r="D5" s="205">
        <v>9.5</v>
      </c>
      <c r="E5" s="211">
        <f>B5*(100-D5)/100</f>
        <v>34842.5</v>
      </c>
      <c r="F5" s="199">
        <f t="shared" ref="F5:F28" si="24">E5/$E$29</f>
        <v>3.9893356816362087E-2</v>
      </c>
      <c r="G5" s="205">
        <v>0.28000000000000003</v>
      </c>
      <c r="H5" s="211">
        <f t="shared" si="0"/>
        <v>34744.940999999999</v>
      </c>
      <c r="I5" s="200">
        <f t="shared" ref="I5:I28" si="25">H5/$H$29</f>
        <v>4.2981974202717883E-2</v>
      </c>
      <c r="J5" s="212">
        <v>68</v>
      </c>
      <c r="K5" s="211">
        <f t="shared" si="1"/>
        <v>23692.9</v>
      </c>
      <c r="L5" s="205">
        <v>0</v>
      </c>
      <c r="M5" s="202">
        <f t="shared" ref="M5:M28" si="26">J5*F5</f>
        <v>2.7127482635126219</v>
      </c>
      <c r="N5" s="213">
        <v>28.1</v>
      </c>
      <c r="O5" s="204">
        <f t="shared" si="2"/>
        <v>1.1210033265397747</v>
      </c>
      <c r="P5" s="214">
        <v>0.28000000000000003</v>
      </c>
      <c r="Q5" s="211">
        <f t="shared" si="3"/>
        <v>97.559000000000012</v>
      </c>
      <c r="R5" s="199">
        <f t="shared" si="4"/>
        <v>1.1170139908581385E-2</v>
      </c>
      <c r="S5" s="205">
        <v>5.24</v>
      </c>
      <c r="T5" s="212">
        <f t="shared" si="5"/>
        <v>1825.7470000000001</v>
      </c>
      <c r="U5" s="206">
        <f t="shared" si="6"/>
        <v>0.20904118971773733</v>
      </c>
      <c r="V5" s="214">
        <v>0.3</v>
      </c>
      <c r="W5" s="211">
        <f t="shared" si="7"/>
        <v>104.5275</v>
      </c>
      <c r="X5" s="206">
        <f t="shared" si="8"/>
        <v>1.1968007044908626E-2</v>
      </c>
      <c r="Y5" s="214">
        <v>0.21</v>
      </c>
      <c r="Z5" s="211">
        <f t="shared" si="9"/>
        <v>73.169250000000005</v>
      </c>
      <c r="AA5" s="206">
        <f t="shared" si="10"/>
        <v>8.377604931436038E-3</v>
      </c>
      <c r="AB5" s="214">
        <v>0</v>
      </c>
      <c r="AC5" s="211">
        <f t="shared" si="11"/>
        <v>0</v>
      </c>
      <c r="AD5" s="206">
        <f t="shared" si="12"/>
        <v>0</v>
      </c>
      <c r="AE5" s="205">
        <v>0.05</v>
      </c>
      <c r="AF5" s="211">
        <f t="shared" si="13"/>
        <v>17.421250000000001</v>
      </c>
      <c r="AG5" s="199">
        <f t="shared" si="14"/>
        <v>1.9946678408181043E-3</v>
      </c>
      <c r="AH5" s="205">
        <v>1.2E-2</v>
      </c>
      <c r="AI5" s="211">
        <f t="shared" si="15"/>
        <v>4.1810999999999998</v>
      </c>
      <c r="AJ5" s="206">
        <f t="shared" si="16"/>
        <v>4.7872028179634507E-4</v>
      </c>
      <c r="AK5" s="205">
        <v>5.0000000000000001E-3</v>
      </c>
      <c r="AL5" s="215">
        <f t="shared" si="17"/>
        <v>1.7421250000000001</v>
      </c>
      <c r="AM5" s="206">
        <f t="shared" si="18"/>
        <v>1.9946678408181044E-4</v>
      </c>
      <c r="AN5" s="205">
        <v>0.01</v>
      </c>
      <c r="AO5" s="215">
        <f t="shared" si="19"/>
        <v>3.4842500000000003</v>
      </c>
      <c r="AP5" s="199">
        <f t="shared" si="20"/>
        <v>3.9893356816362088E-4</v>
      </c>
      <c r="AQ5" s="214">
        <v>0.04</v>
      </c>
      <c r="AR5" s="211">
        <f t="shared" si="21"/>
        <v>13.937000000000001</v>
      </c>
      <c r="AS5" s="209">
        <f t="shared" si="22"/>
        <v>1.5957342726544835E-3</v>
      </c>
    </row>
    <row r="6" spans="1:46" ht="12.75" thickBot="1" x14ac:dyDescent="0.25">
      <c r="A6" s="210" t="s">
        <v>319</v>
      </c>
      <c r="B6" s="205">
        <v>0</v>
      </c>
      <c r="C6" s="199">
        <f t="shared" si="23"/>
        <v>0</v>
      </c>
      <c r="D6" s="205">
        <v>9.8000000000000007</v>
      </c>
      <c r="E6" s="211">
        <f t="shared" ref="E6:E28" si="27">B6*(100-D6)/100</f>
        <v>0</v>
      </c>
      <c r="F6" s="199">
        <f t="shared" si="24"/>
        <v>0</v>
      </c>
      <c r="G6" s="205">
        <v>3</v>
      </c>
      <c r="H6" s="211">
        <f t="shared" si="0"/>
        <v>0</v>
      </c>
      <c r="I6" s="200">
        <f t="shared" si="25"/>
        <v>0</v>
      </c>
      <c r="J6" s="212">
        <v>61</v>
      </c>
      <c r="K6" s="211">
        <f t="shared" si="1"/>
        <v>0</v>
      </c>
      <c r="L6" s="205">
        <v>0</v>
      </c>
      <c r="M6" s="216">
        <f t="shared" si="26"/>
        <v>0</v>
      </c>
      <c r="N6" s="203">
        <v>0</v>
      </c>
      <c r="O6" s="204">
        <f t="shared" si="2"/>
        <v>0</v>
      </c>
      <c r="P6" s="214">
        <v>4.29</v>
      </c>
      <c r="Q6" s="211">
        <f t="shared" si="3"/>
        <v>0</v>
      </c>
      <c r="R6" s="199">
        <f t="shared" si="4"/>
        <v>0</v>
      </c>
      <c r="S6" s="205">
        <v>4.22</v>
      </c>
      <c r="T6" s="212">
        <f t="shared" si="5"/>
        <v>0</v>
      </c>
      <c r="U6" s="206">
        <f t="shared" si="6"/>
        <v>0</v>
      </c>
      <c r="V6" s="214">
        <v>1.1200000000000001</v>
      </c>
      <c r="W6" s="211">
        <f t="shared" si="7"/>
        <v>0</v>
      </c>
      <c r="X6" s="206">
        <f t="shared" si="8"/>
        <v>0</v>
      </c>
      <c r="Y6" s="214">
        <v>1.44</v>
      </c>
      <c r="Z6" s="211">
        <f t="shared" si="9"/>
        <v>0</v>
      </c>
      <c r="AA6" s="206">
        <f t="shared" si="10"/>
        <v>0</v>
      </c>
      <c r="AB6" s="214">
        <v>0.27</v>
      </c>
      <c r="AC6" s="211">
        <f t="shared" si="11"/>
        <v>0</v>
      </c>
      <c r="AD6" s="206">
        <f t="shared" si="12"/>
        <v>0</v>
      </c>
      <c r="AE6" s="205">
        <v>0.3</v>
      </c>
      <c r="AF6" s="211">
        <f t="shared" si="13"/>
        <v>0</v>
      </c>
      <c r="AG6" s="199">
        <f t="shared" si="14"/>
        <v>0</v>
      </c>
      <c r="AH6" s="205">
        <v>0.01</v>
      </c>
      <c r="AI6" s="211">
        <f t="shared" si="15"/>
        <v>0</v>
      </c>
      <c r="AJ6" s="206">
        <f t="shared" si="16"/>
        <v>0</v>
      </c>
      <c r="AK6" s="205">
        <v>6.6000000000000003E-2</v>
      </c>
      <c r="AL6" s="215">
        <f t="shared" si="17"/>
        <v>0</v>
      </c>
      <c r="AM6" s="206">
        <f t="shared" si="18"/>
        <v>0</v>
      </c>
      <c r="AN6" s="205">
        <v>6.6000000000000003E-2</v>
      </c>
      <c r="AO6" s="215">
        <f t="shared" si="19"/>
        <v>0</v>
      </c>
      <c r="AP6" s="199">
        <f t="shared" si="20"/>
        <v>0</v>
      </c>
      <c r="AQ6" s="214">
        <v>0.27</v>
      </c>
      <c r="AR6" s="211">
        <f t="shared" si="21"/>
        <v>0</v>
      </c>
      <c r="AS6" s="209">
        <f t="shared" si="22"/>
        <v>0</v>
      </c>
    </row>
    <row r="7" spans="1:46" ht="12.75" thickBot="1" x14ac:dyDescent="0.25">
      <c r="A7" s="210" t="s">
        <v>320</v>
      </c>
      <c r="B7" s="205">
        <v>342500</v>
      </c>
      <c r="C7" s="199">
        <f t="shared" si="23"/>
        <v>0.35841243696388564</v>
      </c>
      <c r="D7" s="205">
        <v>9</v>
      </c>
      <c r="E7" s="211">
        <f t="shared" si="27"/>
        <v>311675</v>
      </c>
      <c r="F7" s="199">
        <f t="shared" si="24"/>
        <v>0.35685619532868346</v>
      </c>
      <c r="G7" s="205">
        <v>0.78</v>
      </c>
      <c r="H7" s="211">
        <f t="shared" si="0"/>
        <v>309243.935</v>
      </c>
      <c r="I7" s="200">
        <f t="shared" si="25"/>
        <v>0.38255684004520157</v>
      </c>
      <c r="J7" s="212">
        <v>66</v>
      </c>
      <c r="K7" s="211">
        <f t="shared" si="1"/>
        <v>205705.5</v>
      </c>
      <c r="L7" s="205">
        <v>0</v>
      </c>
      <c r="M7" s="202">
        <f t="shared" si="26"/>
        <v>23.552508891693108</v>
      </c>
      <c r="N7" s="213">
        <v>29.7</v>
      </c>
      <c r="O7" s="204">
        <f t="shared" si="2"/>
        <v>10.598629001261898</v>
      </c>
      <c r="P7" s="205">
        <v>1.0900000000000001</v>
      </c>
      <c r="Q7" s="211">
        <f t="shared" si="3"/>
        <v>3397.2575000000002</v>
      </c>
      <c r="R7" s="199">
        <f t="shared" si="4"/>
        <v>0.38897325290826501</v>
      </c>
      <c r="S7" s="205">
        <v>3.6</v>
      </c>
      <c r="T7" s="212">
        <f t="shared" si="5"/>
        <v>11220.3</v>
      </c>
      <c r="U7" s="206">
        <f t="shared" si="6"/>
        <v>1.2846823031832604</v>
      </c>
      <c r="V7" s="214">
        <v>0.92</v>
      </c>
      <c r="W7" s="211">
        <f t="shared" si="7"/>
        <v>2867.41</v>
      </c>
      <c r="X7" s="206">
        <f t="shared" si="8"/>
        <v>0.32830769970238877</v>
      </c>
      <c r="Y7" s="214">
        <v>1.33</v>
      </c>
      <c r="Z7" s="211">
        <f t="shared" si="9"/>
        <v>4145.2775000000001</v>
      </c>
      <c r="AA7" s="206">
        <f t="shared" si="10"/>
        <v>0.47461873978714902</v>
      </c>
      <c r="AB7" s="214">
        <v>0.28999999999999998</v>
      </c>
      <c r="AC7" s="211">
        <f t="shared" si="11"/>
        <v>903.85749999999996</v>
      </c>
      <c r="AD7" s="206">
        <f t="shared" si="12"/>
        <v>0.1034882966453182</v>
      </c>
      <c r="AE7" s="205">
        <v>0.41799999999999998</v>
      </c>
      <c r="AF7" s="211">
        <f t="shared" si="13"/>
        <v>1302.8015</v>
      </c>
      <c r="AG7" s="199">
        <f t="shared" si="14"/>
        <v>0.14916588964738967</v>
      </c>
      <c r="AH7" s="205">
        <v>1.4E-2</v>
      </c>
      <c r="AI7" s="211">
        <f t="shared" si="15"/>
        <v>43.634499999999996</v>
      </c>
      <c r="AJ7" s="206">
        <f t="shared" si="16"/>
        <v>4.9959867346015688E-3</v>
      </c>
      <c r="AK7" s="205">
        <v>8.9999999999999993E-3</v>
      </c>
      <c r="AL7" s="215">
        <f t="shared" si="17"/>
        <v>28.050749999999997</v>
      </c>
      <c r="AM7" s="206">
        <f t="shared" si="18"/>
        <v>3.2117057579581507E-3</v>
      </c>
      <c r="AN7" s="205">
        <v>1.4E-2</v>
      </c>
      <c r="AO7" s="215">
        <f t="shared" si="19"/>
        <v>43.634499999999996</v>
      </c>
      <c r="AP7" s="199">
        <f t="shared" si="20"/>
        <v>4.9959867346015688E-3</v>
      </c>
      <c r="AQ7" s="214">
        <v>0.22</v>
      </c>
      <c r="AR7" s="211">
        <f t="shared" si="21"/>
        <v>685.68499999999995</v>
      </c>
      <c r="AS7" s="209">
        <f t="shared" si="22"/>
        <v>7.8508362972310355E-2</v>
      </c>
    </row>
    <row r="8" spans="1:46" ht="12.75" thickBot="1" x14ac:dyDescent="0.25">
      <c r="A8" s="210" t="s">
        <v>321</v>
      </c>
      <c r="B8" s="205">
        <v>55725</v>
      </c>
      <c r="C8" s="199">
        <f t="shared" si="23"/>
        <v>5.8313965108941684E-2</v>
      </c>
      <c r="D8" s="205">
        <v>8.5</v>
      </c>
      <c r="E8" s="211">
        <f t="shared" si="27"/>
        <v>50988.375</v>
      </c>
      <c r="F8" s="199">
        <f t="shared" si="24"/>
        <v>5.8379778642791882E-2</v>
      </c>
      <c r="G8" s="205">
        <v>0.3</v>
      </c>
      <c r="H8" s="211">
        <f t="shared" si="0"/>
        <v>50835.409874999998</v>
      </c>
      <c r="I8" s="200">
        <f t="shared" si="25"/>
        <v>6.2887033707492546E-2</v>
      </c>
      <c r="J8" s="212">
        <v>66</v>
      </c>
      <c r="K8" s="211">
        <f t="shared" si="1"/>
        <v>33652.327499999999</v>
      </c>
      <c r="L8" s="205">
        <v>0</v>
      </c>
      <c r="M8" s="202">
        <f t="shared" si="26"/>
        <v>3.8530653904242644</v>
      </c>
      <c r="N8" s="213">
        <v>28</v>
      </c>
      <c r="O8" s="204">
        <f t="shared" si="2"/>
        <v>1.6346338019981728</v>
      </c>
      <c r="P8" s="214">
        <v>0.35</v>
      </c>
      <c r="Q8" s="211">
        <f t="shared" si="3"/>
        <v>178.45931249999998</v>
      </c>
      <c r="R8" s="199">
        <f t="shared" si="4"/>
        <v>2.0432922524977158E-2</v>
      </c>
      <c r="S8" s="205">
        <v>6.3</v>
      </c>
      <c r="T8" s="212">
        <f t="shared" si="5"/>
        <v>3212.267625</v>
      </c>
      <c r="U8" s="206">
        <f t="shared" si="6"/>
        <v>0.36779260544958886</v>
      </c>
      <c r="V8" s="214">
        <v>0.32</v>
      </c>
      <c r="W8" s="211">
        <f t="shared" si="7"/>
        <v>163.1628</v>
      </c>
      <c r="X8" s="206">
        <f t="shared" si="8"/>
        <v>1.8681529165693402E-2</v>
      </c>
      <c r="Y8" s="214">
        <v>0.3</v>
      </c>
      <c r="Z8" s="211">
        <f t="shared" si="9"/>
        <v>152.965125</v>
      </c>
      <c r="AA8" s="206">
        <f t="shared" si="10"/>
        <v>1.7513933592837563E-2</v>
      </c>
      <c r="AB8" s="214">
        <v>0</v>
      </c>
      <c r="AC8" s="211">
        <f t="shared" si="11"/>
        <v>0</v>
      </c>
      <c r="AD8" s="206">
        <f t="shared" si="12"/>
        <v>0</v>
      </c>
      <c r="AE8" s="205">
        <v>3.1E-2</v>
      </c>
      <c r="AF8" s="211">
        <f t="shared" si="13"/>
        <v>15.806396250000001</v>
      </c>
      <c r="AG8" s="199">
        <f t="shared" si="14"/>
        <v>1.8097731379265484E-3</v>
      </c>
      <c r="AH8" s="205">
        <v>1.2E-2</v>
      </c>
      <c r="AI8" s="211">
        <f t="shared" si="15"/>
        <v>6.1186049999999996</v>
      </c>
      <c r="AJ8" s="206">
        <f t="shared" si="16"/>
        <v>7.0055734371350263E-4</v>
      </c>
      <c r="AK8" s="205">
        <v>7.0000000000000001E-3</v>
      </c>
      <c r="AL8" s="215">
        <f t="shared" si="17"/>
        <v>3.56918625</v>
      </c>
      <c r="AM8" s="206">
        <f t="shared" si="18"/>
        <v>4.0865845049954316E-4</v>
      </c>
      <c r="AN8" s="205">
        <v>7.0000000000000001E-3</v>
      </c>
      <c r="AO8" s="215">
        <f t="shared" si="19"/>
        <v>3.56918625</v>
      </c>
      <c r="AP8" s="199">
        <f t="shared" si="20"/>
        <v>4.0865845049954316E-4</v>
      </c>
      <c r="AQ8" s="214">
        <v>0.04</v>
      </c>
      <c r="AR8" s="211">
        <f t="shared" si="21"/>
        <v>20.395350000000001</v>
      </c>
      <c r="AS8" s="209">
        <f t="shared" si="22"/>
        <v>2.3351911457116753E-3</v>
      </c>
    </row>
    <row r="9" spans="1:46" ht="12.75" thickBot="1" x14ac:dyDescent="0.25">
      <c r="A9" s="210" t="s">
        <v>322</v>
      </c>
      <c r="B9" s="205">
        <v>108980</v>
      </c>
      <c r="C9" s="199">
        <f t="shared" si="23"/>
        <v>0.11404317483306352</v>
      </c>
      <c r="D9" s="205">
        <v>9.6</v>
      </c>
      <c r="E9" s="211">
        <f t="shared" si="27"/>
        <v>98517.92</v>
      </c>
      <c r="F9" s="199">
        <f t="shared" si="24"/>
        <v>0.11279932655136155</v>
      </c>
      <c r="G9" s="205">
        <v>1.2</v>
      </c>
      <c r="H9" s="211">
        <f t="shared" si="0"/>
        <v>97335.704959999988</v>
      </c>
      <c r="I9" s="200">
        <f t="shared" si="25"/>
        <v>0.12041122071826453</v>
      </c>
      <c r="J9" s="212">
        <v>63</v>
      </c>
      <c r="K9" s="211">
        <f t="shared" si="1"/>
        <v>62066.289599999996</v>
      </c>
      <c r="L9" s="217">
        <v>0</v>
      </c>
      <c r="M9" s="202">
        <f t="shared" si="26"/>
        <v>7.1063575727357771</v>
      </c>
      <c r="N9" s="213">
        <v>23.3</v>
      </c>
      <c r="O9" s="204">
        <f t="shared" si="2"/>
        <v>2.6282243086467241</v>
      </c>
      <c r="P9" s="214">
        <v>1.39</v>
      </c>
      <c r="Q9" s="211">
        <f t="shared" si="3"/>
        <v>1369.3990879999997</v>
      </c>
      <c r="R9" s="199">
        <f t="shared" si="4"/>
        <v>0.15679106390639252</v>
      </c>
      <c r="S9" s="205">
        <v>3.1</v>
      </c>
      <c r="T9" s="212">
        <f t="shared" si="5"/>
        <v>3054.0555200000003</v>
      </c>
      <c r="U9" s="206">
        <f t="shared" si="6"/>
        <v>0.3496779123092208</v>
      </c>
      <c r="V9" s="214">
        <v>3.18</v>
      </c>
      <c r="W9" s="211">
        <f t="shared" si="7"/>
        <v>3132.8698560000003</v>
      </c>
      <c r="X9" s="206">
        <f t="shared" si="8"/>
        <v>0.35870185843332975</v>
      </c>
      <c r="Y9" s="214">
        <v>2.46</v>
      </c>
      <c r="Z9" s="211">
        <f t="shared" si="9"/>
        <v>2423.5408320000001</v>
      </c>
      <c r="AA9" s="206">
        <f t="shared" si="10"/>
        <v>0.27748634331634942</v>
      </c>
      <c r="AB9" s="214">
        <v>0.28000000000000003</v>
      </c>
      <c r="AC9" s="211">
        <f t="shared" si="11"/>
        <v>275.85017600000003</v>
      </c>
      <c r="AD9" s="206">
        <f t="shared" si="12"/>
        <v>3.1583811434381236E-2</v>
      </c>
      <c r="AE9" s="205">
        <v>1.0999999999999999E-2</v>
      </c>
      <c r="AF9" s="211">
        <f t="shared" si="13"/>
        <v>10.836971199999999</v>
      </c>
      <c r="AG9" s="199">
        <f t="shared" si="14"/>
        <v>1.240792592064977E-3</v>
      </c>
      <c r="AH9" s="205">
        <v>7.8E-2</v>
      </c>
      <c r="AI9" s="211">
        <f t="shared" si="15"/>
        <v>76.843977600000002</v>
      </c>
      <c r="AJ9" s="206">
        <f t="shared" si="16"/>
        <v>8.7983474710062008E-3</v>
      </c>
      <c r="AK9" s="205">
        <v>6.0000000000000001E-3</v>
      </c>
      <c r="AL9" s="215">
        <f t="shared" si="17"/>
        <v>5.9110752</v>
      </c>
      <c r="AM9" s="206">
        <f t="shared" si="18"/>
        <v>6.7679595930816925E-4</v>
      </c>
      <c r="AN9" s="205">
        <v>1.2E-2</v>
      </c>
      <c r="AO9" s="215">
        <f t="shared" si="19"/>
        <v>11.8221504</v>
      </c>
      <c r="AP9" s="199">
        <f t="shared" si="20"/>
        <v>1.3535919186163385E-3</v>
      </c>
      <c r="AQ9" s="214">
        <v>0.12</v>
      </c>
      <c r="AR9" s="211">
        <f t="shared" si="21"/>
        <v>118.22150399999998</v>
      </c>
      <c r="AS9" s="209">
        <f t="shared" si="22"/>
        <v>1.3535919186163385E-2</v>
      </c>
    </row>
    <row r="10" spans="1:46" ht="12.75" thickBot="1" x14ac:dyDescent="0.25">
      <c r="A10" s="210" t="s">
        <v>323</v>
      </c>
      <c r="B10" s="205">
        <v>4150</v>
      </c>
      <c r="C10" s="199">
        <f t="shared" si="23"/>
        <v>4.3428076303653291E-3</v>
      </c>
      <c r="D10" s="205">
        <v>9.1999999999999993</v>
      </c>
      <c r="E10" s="211">
        <f t="shared" si="27"/>
        <v>3768.2</v>
      </c>
      <c r="F10" s="199">
        <f t="shared" si="24"/>
        <v>4.3144477909281944E-3</v>
      </c>
      <c r="G10" s="205">
        <v>0.6</v>
      </c>
      <c r="H10" s="211">
        <f t="shared" si="0"/>
        <v>3745.5907999999999</v>
      </c>
      <c r="I10" s="200">
        <f t="shared" si="25"/>
        <v>4.6335634053756899E-3</v>
      </c>
      <c r="J10" s="212">
        <v>66</v>
      </c>
      <c r="K10" s="211">
        <f t="shared" si="1"/>
        <v>2487.0120000000002</v>
      </c>
      <c r="L10" s="205">
        <v>0</v>
      </c>
      <c r="M10" s="202">
        <f t="shared" si="26"/>
        <v>0.28475355420126081</v>
      </c>
      <c r="N10" s="213">
        <v>24.6</v>
      </c>
      <c r="O10" s="204">
        <f t="shared" si="2"/>
        <v>0.10613541565683358</v>
      </c>
      <c r="P10" s="214">
        <v>0.34</v>
      </c>
      <c r="Q10" s="211">
        <f t="shared" si="3"/>
        <v>12.81188</v>
      </c>
      <c r="R10" s="199">
        <f t="shared" si="4"/>
        <v>1.4669122489155862E-3</v>
      </c>
      <c r="S10" s="205">
        <v>7.32</v>
      </c>
      <c r="T10" s="212">
        <f t="shared" si="5"/>
        <v>275.83223999999996</v>
      </c>
      <c r="U10" s="206">
        <f t="shared" si="6"/>
        <v>3.1581757829594381E-2</v>
      </c>
      <c r="V10" s="214">
        <v>0.28000000000000003</v>
      </c>
      <c r="W10" s="211">
        <f t="shared" si="7"/>
        <v>10.55096</v>
      </c>
      <c r="X10" s="206">
        <f t="shared" si="8"/>
        <v>1.2080453814598945E-3</v>
      </c>
      <c r="Y10" s="214">
        <v>0.16</v>
      </c>
      <c r="Z10" s="211">
        <f t="shared" si="9"/>
        <v>6.0291200000000007</v>
      </c>
      <c r="AA10" s="206">
        <f t="shared" si="10"/>
        <v>6.9031164654851111E-4</v>
      </c>
      <c r="AB10" s="214">
        <v>0</v>
      </c>
      <c r="AC10" s="211">
        <f t="shared" si="11"/>
        <v>0</v>
      </c>
      <c r="AD10" s="206">
        <f t="shared" si="12"/>
        <v>0</v>
      </c>
      <c r="AE10" s="205">
        <v>1.2E-2</v>
      </c>
      <c r="AF10" s="211">
        <f t="shared" si="13"/>
        <v>0.45218399999999997</v>
      </c>
      <c r="AG10" s="199">
        <f t="shared" si="14"/>
        <v>5.1773373491138333E-5</v>
      </c>
      <c r="AH10" s="205">
        <v>1.2E-2</v>
      </c>
      <c r="AI10" s="211">
        <f t="shared" si="15"/>
        <v>0.45218399999999997</v>
      </c>
      <c r="AJ10" s="206">
        <f t="shared" si="16"/>
        <v>5.1773373491138333E-5</v>
      </c>
      <c r="AK10" s="205">
        <v>6.0000000000000001E-3</v>
      </c>
      <c r="AL10" s="215">
        <f t="shared" si="17"/>
        <v>0.22609199999999999</v>
      </c>
      <c r="AM10" s="206">
        <f t="shared" si="18"/>
        <v>2.5886686745569167E-5</v>
      </c>
      <c r="AN10" s="205">
        <v>1.7999999999999999E-2</v>
      </c>
      <c r="AO10" s="215">
        <f t="shared" si="19"/>
        <v>0.67827599999999988</v>
      </c>
      <c r="AP10" s="199">
        <f t="shared" si="20"/>
        <v>7.7660060236707493E-5</v>
      </c>
      <c r="AQ10" s="214">
        <v>0.02</v>
      </c>
      <c r="AR10" s="211">
        <f t="shared" si="21"/>
        <v>0.75364000000000009</v>
      </c>
      <c r="AS10" s="209">
        <f t="shared" si="22"/>
        <v>8.6288955818563889E-5</v>
      </c>
    </row>
    <row r="11" spans="1:46" ht="12.75" thickBot="1" x14ac:dyDescent="0.25">
      <c r="A11" s="210" t="s">
        <v>324</v>
      </c>
      <c r="B11" s="205">
        <v>2000</v>
      </c>
      <c r="C11" s="199">
        <f t="shared" si="23"/>
        <v>2.0929193399350987E-3</v>
      </c>
      <c r="D11" s="205">
        <v>7</v>
      </c>
      <c r="E11" s="211">
        <f t="shared" si="27"/>
        <v>1860</v>
      </c>
      <c r="F11" s="199">
        <f t="shared" si="24"/>
        <v>2.1296302985845872E-3</v>
      </c>
      <c r="G11" s="205">
        <v>0.7</v>
      </c>
      <c r="H11" s="211">
        <f t="shared" si="0"/>
        <v>1846.98</v>
      </c>
      <c r="I11" s="200">
        <f t="shared" si="25"/>
        <v>2.2848462086303696E-3</v>
      </c>
      <c r="J11" s="212">
        <v>63</v>
      </c>
      <c r="K11" s="211">
        <f t="shared" si="1"/>
        <v>1171.8</v>
      </c>
      <c r="L11" s="205">
        <v>0</v>
      </c>
      <c r="M11" s="202">
        <f t="shared" si="26"/>
        <v>0.13416670881082898</v>
      </c>
      <c r="N11" s="203">
        <v>23</v>
      </c>
      <c r="O11" s="204">
        <f t="shared" si="2"/>
        <v>4.8981496867445504E-2</v>
      </c>
      <c r="P11" s="214">
        <v>0.2</v>
      </c>
      <c r="Q11" s="211">
        <f t="shared" si="3"/>
        <v>3.72</v>
      </c>
      <c r="R11" s="199">
        <f t="shared" si="4"/>
        <v>4.2592605971691747E-4</v>
      </c>
      <c r="S11" s="205">
        <v>0.99</v>
      </c>
      <c r="T11" s="212">
        <f t="shared" si="5"/>
        <v>18.414000000000001</v>
      </c>
      <c r="U11" s="206">
        <f t="shared" si="6"/>
        <v>2.1083339955987415E-3</v>
      </c>
      <c r="V11" s="214">
        <v>4.8</v>
      </c>
      <c r="W11" s="211">
        <f t="shared" si="7"/>
        <v>89.28</v>
      </c>
      <c r="X11" s="206">
        <f t="shared" si="8"/>
        <v>1.0222225433206018E-2</v>
      </c>
      <c r="Y11" s="214">
        <v>1.96</v>
      </c>
      <c r="Z11" s="211">
        <f t="shared" si="9"/>
        <v>36.455999999999996</v>
      </c>
      <c r="AA11" s="206">
        <f t="shared" si="10"/>
        <v>4.1740753852257907E-3</v>
      </c>
      <c r="AB11" s="214">
        <v>1.1100000000000001</v>
      </c>
      <c r="AC11" s="211">
        <f t="shared" si="11"/>
        <v>20.646000000000004</v>
      </c>
      <c r="AD11" s="206">
        <f t="shared" si="12"/>
        <v>2.3638896314288919E-3</v>
      </c>
      <c r="AE11" s="205">
        <v>0.3</v>
      </c>
      <c r="AF11" s="211">
        <f t="shared" si="13"/>
        <v>5.58</v>
      </c>
      <c r="AG11" s="199">
        <f t="shared" si="14"/>
        <v>6.388890895753761E-4</v>
      </c>
      <c r="AH11" s="205">
        <v>0.12</v>
      </c>
      <c r="AI11" s="211">
        <f t="shared" si="15"/>
        <v>2.2319999999999998</v>
      </c>
      <c r="AJ11" s="206">
        <f t="shared" si="16"/>
        <v>2.5555563583015044E-4</v>
      </c>
      <c r="AK11" s="205">
        <v>6.0000000000000001E-3</v>
      </c>
      <c r="AL11" s="215">
        <f t="shared" si="17"/>
        <v>0.1116</v>
      </c>
      <c r="AM11" s="206">
        <f t="shared" si="18"/>
        <v>1.2777781791507523E-5</v>
      </c>
      <c r="AN11" s="205">
        <v>6.0000000000000001E-3</v>
      </c>
      <c r="AO11" s="215">
        <f t="shared" si="19"/>
        <v>0.1116</v>
      </c>
      <c r="AP11" s="199">
        <f t="shared" si="20"/>
        <v>1.2777781791507523E-5</v>
      </c>
      <c r="AQ11" s="214">
        <v>1.1100000000000001</v>
      </c>
      <c r="AR11" s="211">
        <f t="shared" si="21"/>
        <v>20.646000000000004</v>
      </c>
      <c r="AS11" s="209">
        <f t="shared" si="22"/>
        <v>2.3638896314288919E-3</v>
      </c>
    </row>
    <row r="12" spans="1:46" ht="12.75" thickBot="1" x14ac:dyDescent="0.25">
      <c r="A12" s="210" t="s">
        <v>325</v>
      </c>
      <c r="B12" s="205">
        <v>41133</v>
      </c>
      <c r="C12" s="199">
        <f t="shared" si="23"/>
        <v>4.3044025604775202E-2</v>
      </c>
      <c r="D12" s="205">
        <v>1.5</v>
      </c>
      <c r="E12" s="211">
        <f t="shared" si="27"/>
        <v>40516.004999999997</v>
      </c>
      <c r="F12" s="199">
        <f t="shared" si="24"/>
        <v>4.6389307433120766E-2</v>
      </c>
      <c r="G12" s="205">
        <v>4.2</v>
      </c>
      <c r="H12" s="211">
        <f t="shared" si="0"/>
        <v>38814.332789999993</v>
      </c>
      <c r="I12" s="200">
        <f t="shared" si="25"/>
        <v>4.8016102565132765E-2</v>
      </c>
      <c r="J12" s="212">
        <v>50</v>
      </c>
      <c r="K12" s="211">
        <f t="shared" si="1"/>
        <v>20258.002499999999</v>
      </c>
      <c r="L12" s="205">
        <v>0</v>
      </c>
      <c r="M12" s="202">
        <f t="shared" si="26"/>
        <v>2.3194653716560385</v>
      </c>
      <c r="N12" s="203">
        <v>4</v>
      </c>
      <c r="O12" s="204">
        <f t="shared" si="2"/>
        <v>0.18555722973248306</v>
      </c>
      <c r="P12" s="214">
        <v>6.68</v>
      </c>
      <c r="Q12" s="211">
        <f t="shared" si="3"/>
        <v>2706.4691339999995</v>
      </c>
      <c r="R12" s="199">
        <f t="shared" si="4"/>
        <v>0.30988057365324673</v>
      </c>
      <c r="S12" s="205">
        <v>13.63</v>
      </c>
      <c r="T12" s="212">
        <f t="shared" si="5"/>
        <v>5522.3314815000003</v>
      </c>
      <c r="U12" s="206">
        <f t="shared" si="6"/>
        <v>0.63228626031343604</v>
      </c>
      <c r="V12" s="214">
        <v>1.68</v>
      </c>
      <c r="W12" s="211">
        <f t="shared" si="7"/>
        <v>680.66888399999993</v>
      </c>
      <c r="X12" s="206">
        <f t="shared" si="8"/>
        <v>7.7934036487642883E-2</v>
      </c>
      <c r="Y12" s="214">
        <v>3.55</v>
      </c>
      <c r="Z12" s="211">
        <f t="shared" si="9"/>
        <v>1438.3181774999998</v>
      </c>
      <c r="AA12" s="206">
        <f t="shared" si="10"/>
        <v>0.16468204138757872</v>
      </c>
      <c r="AB12" s="214">
        <v>0.25</v>
      </c>
      <c r="AC12" s="211">
        <f t="shared" si="11"/>
        <v>101.29001249999999</v>
      </c>
      <c r="AD12" s="206">
        <f t="shared" si="12"/>
        <v>1.1597326858280192E-2</v>
      </c>
      <c r="AE12" s="205">
        <v>3.2</v>
      </c>
      <c r="AF12" s="211">
        <f t="shared" si="13"/>
        <v>1296.51216</v>
      </c>
      <c r="AG12" s="199">
        <f t="shared" si="14"/>
        <v>0.14844578378598647</v>
      </c>
      <c r="AH12" s="205">
        <v>4.5999999999999999E-2</v>
      </c>
      <c r="AI12" s="211">
        <f t="shared" si="15"/>
        <v>18.637362299999996</v>
      </c>
      <c r="AJ12" s="206">
        <f t="shared" si="16"/>
        <v>2.1339081419235553E-3</v>
      </c>
      <c r="AK12" s="205">
        <v>6.0000000000000001E-3</v>
      </c>
      <c r="AL12" s="215">
        <f t="shared" si="17"/>
        <v>2.4309602999999997</v>
      </c>
      <c r="AM12" s="206">
        <f t="shared" si="18"/>
        <v>2.7833584459872461E-4</v>
      </c>
      <c r="AN12" s="205">
        <v>1.7999999999999999E-2</v>
      </c>
      <c r="AO12" s="215">
        <f t="shared" si="19"/>
        <v>7.2928808999999992</v>
      </c>
      <c r="AP12" s="199">
        <f t="shared" si="20"/>
        <v>8.3500753379617374E-4</v>
      </c>
      <c r="AQ12" s="214">
        <v>0.19</v>
      </c>
      <c r="AR12" s="211">
        <f t="shared" si="21"/>
        <v>76.980409499999993</v>
      </c>
      <c r="AS12" s="209">
        <f t="shared" si="22"/>
        <v>8.8139684122929465E-3</v>
      </c>
    </row>
    <row r="13" spans="1:46" ht="12.75" thickBot="1" x14ac:dyDescent="0.25">
      <c r="A13" s="210" t="s">
        <v>326</v>
      </c>
      <c r="B13" s="205">
        <v>0</v>
      </c>
      <c r="C13" s="199">
        <f t="shared" si="23"/>
        <v>0</v>
      </c>
      <c r="D13" s="205">
        <v>1.9</v>
      </c>
      <c r="E13" s="211">
        <f t="shared" si="27"/>
        <v>0</v>
      </c>
      <c r="F13" s="199">
        <f t="shared" si="24"/>
        <v>0</v>
      </c>
      <c r="G13" s="205">
        <v>3.4</v>
      </c>
      <c r="H13" s="211">
        <f t="shared" si="0"/>
        <v>0</v>
      </c>
      <c r="I13" s="200">
        <f t="shared" si="25"/>
        <v>0</v>
      </c>
      <c r="J13" s="212">
        <v>54</v>
      </c>
      <c r="K13" s="211">
        <f t="shared" si="1"/>
        <v>0</v>
      </c>
      <c r="L13" s="205">
        <v>0</v>
      </c>
      <c r="M13" s="216">
        <f t="shared" si="26"/>
        <v>0</v>
      </c>
      <c r="N13" s="203">
        <v>0</v>
      </c>
      <c r="O13" s="204">
        <f t="shared" si="2"/>
        <v>0</v>
      </c>
      <c r="P13" s="214">
        <v>6.01</v>
      </c>
      <c r="Q13" s="211">
        <f t="shared" si="3"/>
        <v>0</v>
      </c>
      <c r="R13" s="199">
        <f t="shared" si="4"/>
        <v>0</v>
      </c>
      <c r="S13" s="205">
        <v>9.6199999999999992</v>
      </c>
      <c r="T13" s="212">
        <f t="shared" si="5"/>
        <v>0</v>
      </c>
      <c r="U13" s="206">
        <f t="shared" si="6"/>
        <v>0</v>
      </c>
      <c r="V13" s="214">
        <v>1.32</v>
      </c>
      <c r="W13" s="211">
        <f t="shared" si="7"/>
        <v>0</v>
      </c>
      <c r="X13" s="206">
        <f t="shared" si="8"/>
        <v>0</v>
      </c>
      <c r="Y13" s="214">
        <v>2.83</v>
      </c>
      <c r="Z13" s="211">
        <f t="shared" si="9"/>
        <v>0</v>
      </c>
      <c r="AA13" s="206">
        <f t="shared" si="10"/>
        <v>0</v>
      </c>
      <c r="AB13" s="214">
        <v>0.11</v>
      </c>
      <c r="AC13" s="211">
        <f t="shared" si="11"/>
        <v>0</v>
      </c>
      <c r="AD13" s="206">
        <f t="shared" si="12"/>
        <v>0</v>
      </c>
      <c r="AE13" s="205">
        <v>2.39</v>
      </c>
      <c r="AF13" s="211">
        <f t="shared" si="13"/>
        <v>0</v>
      </c>
      <c r="AG13" s="199">
        <f t="shared" si="14"/>
        <v>0</v>
      </c>
      <c r="AH13" s="205">
        <v>2.8000000000000001E-2</v>
      </c>
      <c r="AI13" s="211">
        <f t="shared" si="15"/>
        <v>0</v>
      </c>
      <c r="AJ13" s="206">
        <f t="shared" si="16"/>
        <v>0</v>
      </c>
      <c r="AK13" s="205">
        <v>6.0000000000000001E-3</v>
      </c>
      <c r="AL13" s="215">
        <f t="shared" si="17"/>
        <v>0</v>
      </c>
      <c r="AM13" s="206">
        <f t="shared" si="18"/>
        <v>0</v>
      </c>
      <c r="AN13" s="205">
        <v>1.7000000000000001E-2</v>
      </c>
      <c r="AO13" s="215">
        <f t="shared" si="19"/>
        <v>0</v>
      </c>
      <c r="AP13" s="199">
        <f t="shared" si="20"/>
        <v>0</v>
      </c>
      <c r="AQ13" s="214">
        <v>0.21</v>
      </c>
      <c r="AR13" s="211">
        <f t="shared" si="21"/>
        <v>0</v>
      </c>
      <c r="AS13" s="209">
        <f t="shared" si="22"/>
        <v>0</v>
      </c>
    </row>
    <row r="14" spans="1:46" ht="12.75" thickBot="1" x14ac:dyDescent="0.25">
      <c r="A14" s="210" t="s">
        <v>327</v>
      </c>
      <c r="B14" s="205">
        <v>39350</v>
      </c>
      <c r="C14" s="199">
        <f t="shared" si="23"/>
        <v>4.1178188013223066E-2</v>
      </c>
      <c r="D14" s="205">
        <v>8.1999999999999993</v>
      </c>
      <c r="E14" s="211">
        <f t="shared" si="27"/>
        <v>36123.300000000003</v>
      </c>
      <c r="F14" s="199">
        <f t="shared" si="24"/>
        <v>4.1359824819817544E-2</v>
      </c>
      <c r="G14" s="205">
        <v>11.2</v>
      </c>
      <c r="H14" s="211">
        <f t="shared" si="0"/>
        <v>32077.490399999999</v>
      </c>
      <c r="I14" s="200">
        <f t="shared" si="25"/>
        <v>3.9682147247299411E-2</v>
      </c>
      <c r="J14" s="212">
        <v>52</v>
      </c>
      <c r="K14" s="211">
        <f t="shared" si="1"/>
        <v>18784.116000000002</v>
      </c>
      <c r="L14" s="205">
        <v>0</v>
      </c>
      <c r="M14" s="202">
        <f t="shared" si="26"/>
        <v>2.1507108906305121</v>
      </c>
      <c r="N14" s="203">
        <v>5</v>
      </c>
      <c r="O14" s="204">
        <f t="shared" si="2"/>
        <v>0.20679912409908771</v>
      </c>
      <c r="P14" s="214">
        <v>1.1000000000000001</v>
      </c>
      <c r="Q14" s="211">
        <f t="shared" si="3"/>
        <v>397.35630000000003</v>
      </c>
      <c r="R14" s="199">
        <f t="shared" si="4"/>
        <v>4.54958073017993E-2</v>
      </c>
      <c r="S14" s="205">
        <v>11.2</v>
      </c>
      <c r="T14" s="212">
        <f t="shared" si="5"/>
        <v>4045.8096</v>
      </c>
      <c r="U14" s="206">
        <f t="shared" si="6"/>
        <v>0.46323003798195644</v>
      </c>
      <c r="V14" s="214">
        <v>0.8</v>
      </c>
      <c r="W14" s="211">
        <f t="shared" si="7"/>
        <v>288.9864</v>
      </c>
      <c r="X14" s="206">
        <f t="shared" si="8"/>
        <v>3.3087859855854038E-2</v>
      </c>
      <c r="Y14" s="214">
        <v>2.5</v>
      </c>
      <c r="Z14" s="211">
        <f t="shared" si="9"/>
        <v>903.08249999999998</v>
      </c>
      <c r="AA14" s="206">
        <f t="shared" si="10"/>
        <v>0.10339956204954386</v>
      </c>
      <c r="AB14" s="214">
        <v>0.24</v>
      </c>
      <c r="AC14" s="211">
        <f t="shared" si="11"/>
        <v>86.695920000000001</v>
      </c>
      <c r="AD14" s="206">
        <f t="shared" si="12"/>
        <v>9.926357956756211E-3</v>
      </c>
      <c r="AE14" s="205">
        <v>0.12</v>
      </c>
      <c r="AF14" s="211">
        <f t="shared" si="13"/>
        <v>43.34796</v>
      </c>
      <c r="AG14" s="199">
        <f t="shared" si="14"/>
        <v>4.9631789783781055E-3</v>
      </c>
      <c r="AH14" s="205">
        <v>4.2999999999999997E-2</v>
      </c>
      <c r="AI14" s="211">
        <f t="shared" si="15"/>
        <v>15.533018999999999</v>
      </c>
      <c r="AJ14" s="206">
        <f t="shared" si="16"/>
        <v>1.7784724672521542E-3</v>
      </c>
      <c r="AK14" s="205">
        <v>8.0000000000000002E-3</v>
      </c>
      <c r="AL14" s="215">
        <f t="shared" si="17"/>
        <v>2.8898640000000002</v>
      </c>
      <c r="AM14" s="206">
        <f t="shared" si="18"/>
        <v>3.3087859855854035E-4</v>
      </c>
      <c r="AN14" s="205">
        <v>1.7000000000000001E-2</v>
      </c>
      <c r="AO14" s="215">
        <f t="shared" si="19"/>
        <v>6.1409610000000008</v>
      </c>
      <c r="AP14" s="199">
        <f t="shared" si="20"/>
        <v>7.0311702193689833E-4</v>
      </c>
      <c r="AQ14" s="214">
        <v>7.0000000000000007E-2</v>
      </c>
      <c r="AR14" s="211">
        <f t="shared" si="21"/>
        <v>25.286310000000004</v>
      </c>
      <c r="AS14" s="209">
        <f t="shared" si="22"/>
        <v>2.8951877373872281E-3</v>
      </c>
    </row>
    <row r="15" spans="1:46" ht="12.75" thickBot="1" x14ac:dyDescent="0.25">
      <c r="A15" s="210" t="s">
        <v>328</v>
      </c>
      <c r="B15" s="205">
        <v>69180</v>
      </c>
      <c r="C15" s="199">
        <f t="shared" si="23"/>
        <v>7.2394079968355063E-2</v>
      </c>
      <c r="D15" s="205">
        <v>7.6</v>
      </c>
      <c r="E15" s="211">
        <f t="shared" si="27"/>
        <v>63922.32</v>
      </c>
      <c r="F15" s="199">
        <f t="shared" si="24"/>
        <v>7.3188660982698675E-2</v>
      </c>
      <c r="G15" s="205">
        <v>5.5</v>
      </c>
      <c r="H15" s="211">
        <f t="shared" si="0"/>
        <v>60406.592400000001</v>
      </c>
      <c r="I15" s="200">
        <f t="shared" si="25"/>
        <v>7.4727270258162018E-2</v>
      </c>
      <c r="J15" s="212">
        <v>55</v>
      </c>
      <c r="K15" s="211">
        <f t="shared" si="1"/>
        <v>35157.275999999998</v>
      </c>
      <c r="L15" s="205">
        <v>0</v>
      </c>
      <c r="M15" s="202">
        <f t="shared" si="26"/>
        <v>4.0253763540484275</v>
      </c>
      <c r="N15" s="213">
        <v>3.9</v>
      </c>
      <c r="O15" s="204">
        <f t="shared" si="2"/>
        <v>0.28543577783252483</v>
      </c>
      <c r="P15" s="214">
        <v>1.38</v>
      </c>
      <c r="Q15" s="211">
        <f t="shared" si="3"/>
        <v>882.12801599999989</v>
      </c>
      <c r="R15" s="199">
        <f t="shared" si="4"/>
        <v>0.10100035215612416</v>
      </c>
      <c r="S15" s="205">
        <v>13.43</v>
      </c>
      <c r="T15" s="212">
        <f t="shared" si="5"/>
        <v>8584.7675760000002</v>
      </c>
      <c r="U15" s="206">
        <f t="shared" si="6"/>
        <v>0.98292371699764314</v>
      </c>
      <c r="V15" s="214">
        <v>0.32</v>
      </c>
      <c r="W15" s="211">
        <f t="shared" si="7"/>
        <v>204.551424</v>
      </c>
      <c r="X15" s="206">
        <f t="shared" si="8"/>
        <v>2.3420371514463578E-2</v>
      </c>
      <c r="Y15" s="214">
        <v>1.55</v>
      </c>
      <c r="Z15" s="211">
        <f t="shared" si="9"/>
        <v>990.79596000000004</v>
      </c>
      <c r="AA15" s="206">
        <f t="shared" si="10"/>
        <v>0.11344242452318296</v>
      </c>
      <c r="AB15" s="214">
        <v>0.11</v>
      </c>
      <c r="AC15" s="211">
        <f t="shared" si="11"/>
        <v>70.314552000000006</v>
      </c>
      <c r="AD15" s="206">
        <f t="shared" si="12"/>
        <v>8.050752708096855E-3</v>
      </c>
      <c r="AE15" s="205">
        <v>0.43099999999999999</v>
      </c>
      <c r="AF15" s="211">
        <f t="shared" si="13"/>
        <v>275.50519919999999</v>
      </c>
      <c r="AG15" s="199">
        <f t="shared" si="14"/>
        <v>3.1544312883543126E-2</v>
      </c>
      <c r="AH15" s="205">
        <v>2.7E-2</v>
      </c>
      <c r="AI15" s="211">
        <f t="shared" si="15"/>
        <v>17.2590264</v>
      </c>
      <c r="AJ15" s="206">
        <f t="shared" si="16"/>
        <v>1.9760938465328642E-3</v>
      </c>
      <c r="AK15" s="205">
        <v>1.7000000000000001E-2</v>
      </c>
      <c r="AL15" s="215">
        <f t="shared" si="17"/>
        <v>10.866794400000002</v>
      </c>
      <c r="AM15" s="206">
        <f t="shared" si="18"/>
        <v>1.2442072367058776E-3</v>
      </c>
      <c r="AN15" s="205">
        <v>1.2999999999999999E-2</v>
      </c>
      <c r="AO15" s="215">
        <f t="shared" si="19"/>
        <v>8.3099015999999999</v>
      </c>
      <c r="AP15" s="199">
        <f t="shared" si="20"/>
        <v>9.5145259277508269E-4</v>
      </c>
      <c r="AQ15" s="214">
        <v>0.04</v>
      </c>
      <c r="AR15" s="211">
        <f t="shared" si="21"/>
        <v>25.568928</v>
      </c>
      <c r="AS15" s="209">
        <f t="shared" si="22"/>
        <v>2.9275464393079473E-3</v>
      </c>
    </row>
    <row r="16" spans="1:46" ht="12.75" thickBot="1" x14ac:dyDescent="0.25">
      <c r="A16" s="210" t="s">
        <v>329</v>
      </c>
      <c r="B16" s="205">
        <v>0</v>
      </c>
      <c r="C16" s="199">
        <f t="shared" si="23"/>
        <v>0</v>
      </c>
      <c r="D16" s="205">
        <v>2.7</v>
      </c>
      <c r="E16" s="211">
        <f t="shared" si="27"/>
        <v>0</v>
      </c>
      <c r="F16" s="199">
        <f t="shared" si="24"/>
        <v>0</v>
      </c>
      <c r="G16" s="205">
        <v>8.1</v>
      </c>
      <c r="H16" s="211">
        <f t="shared" si="0"/>
        <v>0</v>
      </c>
      <c r="I16" s="200">
        <f t="shared" si="25"/>
        <v>0</v>
      </c>
      <c r="J16" s="212">
        <v>56</v>
      </c>
      <c r="K16" s="211">
        <f t="shared" si="1"/>
        <v>0</v>
      </c>
      <c r="L16" s="205">
        <v>0</v>
      </c>
      <c r="M16" s="216">
        <f t="shared" si="26"/>
        <v>0</v>
      </c>
      <c r="N16" s="203">
        <v>0</v>
      </c>
      <c r="O16" s="204">
        <f t="shared" si="2"/>
        <v>0</v>
      </c>
      <c r="P16" s="214">
        <v>0.36</v>
      </c>
      <c r="Q16" s="211">
        <f t="shared" si="3"/>
        <v>0</v>
      </c>
      <c r="R16" s="199">
        <f t="shared" si="4"/>
        <v>0</v>
      </c>
      <c r="S16" s="205">
        <v>6.06</v>
      </c>
      <c r="T16" s="212">
        <f t="shared" si="5"/>
        <v>0</v>
      </c>
      <c r="U16" s="206">
        <f t="shared" si="6"/>
        <v>0</v>
      </c>
      <c r="V16" s="214">
        <v>0.39</v>
      </c>
      <c r="W16" s="211">
        <f t="shared" si="7"/>
        <v>0</v>
      </c>
      <c r="X16" s="206">
        <f t="shared" si="8"/>
        <v>0</v>
      </c>
      <c r="Y16" s="214">
        <v>3.2</v>
      </c>
      <c r="Z16" s="211">
        <f t="shared" si="9"/>
        <v>0</v>
      </c>
      <c r="AA16" s="206">
        <f t="shared" si="10"/>
        <v>0</v>
      </c>
      <c r="AB16" s="214">
        <v>0</v>
      </c>
      <c r="AC16" s="211">
        <f t="shared" si="11"/>
        <v>0</v>
      </c>
      <c r="AD16" s="206">
        <f t="shared" si="12"/>
        <v>0</v>
      </c>
      <c r="AE16" s="205">
        <v>7.0000000000000007E-2</v>
      </c>
      <c r="AF16" s="211">
        <f t="shared" si="13"/>
        <v>0</v>
      </c>
      <c r="AG16" s="199">
        <f t="shared" si="14"/>
        <v>0</v>
      </c>
      <c r="AH16" s="205">
        <v>5.8000000000000003E-2</v>
      </c>
      <c r="AI16" s="211">
        <f t="shared" si="15"/>
        <v>0</v>
      </c>
      <c r="AJ16" s="206">
        <f t="shared" si="16"/>
        <v>0</v>
      </c>
      <c r="AK16" s="205">
        <v>0</v>
      </c>
      <c r="AL16" s="215">
        <f t="shared" si="17"/>
        <v>0</v>
      </c>
      <c r="AM16" s="206">
        <f t="shared" si="18"/>
        <v>0</v>
      </c>
      <c r="AN16" s="205">
        <v>0</v>
      </c>
      <c r="AO16" s="215">
        <f t="shared" si="19"/>
        <v>0</v>
      </c>
      <c r="AP16" s="199">
        <f t="shared" si="20"/>
        <v>0</v>
      </c>
      <c r="AQ16" s="214">
        <v>0</v>
      </c>
      <c r="AR16" s="211">
        <f t="shared" si="21"/>
        <v>0</v>
      </c>
      <c r="AS16" s="209">
        <f t="shared" si="22"/>
        <v>0</v>
      </c>
    </row>
    <row r="17" spans="1:46" ht="12.75" thickBot="1" x14ac:dyDescent="0.25">
      <c r="A17" s="210" t="s">
        <v>330</v>
      </c>
      <c r="B17" s="205">
        <v>0</v>
      </c>
      <c r="C17" s="199">
        <f t="shared" si="23"/>
        <v>0</v>
      </c>
      <c r="D17" s="205">
        <v>8.5</v>
      </c>
      <c r="E17" s="211">
        <f t="shared" si="27"/>
        <v>0</v>
      </c>
      <c r="F17" s="199">
        <f t="shared" si="24"/>
        <v>0</v>
      </c>
      <c r="G17" s="205">
        <v>9.5</v>
      </c>
      <c r="H17" s="211">
        <f t="shared" si="0"/>
        <v>0</v>
      </c>
      <c r="I17" s="200">
        <f t="shared" si="25"/>
        <v>0</v>
      </c>
      <c r="J17" s="212">
        <v>43</v>
      </c>
      <c r="K17" s="211">
        <f t="shared" si="1"/>
        <v>0</v>
      </c>
      <c r="L17" s="205">
        <v>0</v>
      </c>
      <c r="M17" s="216">
        <f t="shared" si="26"/>
        <v>0</v>
      </c>
      <c r="N17" s="203">
        <v>0</v>
      </c>
      <c r="O17" s="204">
        <f t="shared" si="2"/>
        <v>0</v>
      </c>
      <c r="P17" s="214">
        <v>0.18</v>
      </c>
      <c r="Q17" s="211">
        <f t="shared" si="3"/>
        <v>0</v>
      </c>
      <c r="R17" s="199">
        <f t="shared" si="4"/>
        <v>0</v>
      </c>
      <c r="S17" s="205">
        <v>19.7</v>
      </c>
      <c r="T17" s="212">
        <f t="shared" si="5"/>
        <v>0</v>
      </c>
      <c r="U17" s="206">
        <f t="shared" si="6"/>
        <v>0</v>
      </c>
      <c r="V17" s="214">
        <v>0.6</v>
      </c>
      <c r="W17" s="211">
        <f t="shared" si="7"/>
        <v>0</v>
      </c>
      <c r="X17" s="206">
        <f t="shared" si="8"/>
        <v>0</v>
      </c>
      <c r="Y17" s="214">
        <v>5.0999999999999996</v>
      </c>
      <c r="Z17" s="211">
        <f t="shared" si="9"/>
        <v>0</v>
      </c>
      <c r="AA17" s="206">
        <f t="shared" si="10"/>
        <v>0</v>
      </c>
      <c r="AB17" s="214">
        <v>0.23</v>
      </c>
      <c r="AC17" s="211">
        <f t="shared" si="11"/>
        <v>0</v>
      </c>
      <c r="AD17" s="206">
        <f t="shared" si="12"/>
        <v>0</v>
      </c>
      <c r="AE17" s="205">
        <v>6.6000000000000003E-2</v>
      </c>
      <c r="AF17" s="211">
        <f t="shared" si="13"/>
        <v>0</v>
      </c>
      <c r="AG17" s="199">
        <f t="shared" si="14"/>
        <v>0</v>
      </c>
      <c r="AH17" s="205">
        <v>0.05</v>
      </c>
      <c r="AI17" s="211">
        <f t="shared" si="15"/>
        <v>0</v>
      </c>
      <c r="AJ17" s="206">
        <f t="shared" si="16"/>
        <v>0</v>
      </c>
      <c r="AK17" s="205">
        <v>5.0000000000000001E-3</v>
      </c>
      <c r="AL17" s="215">
        <f t="shared" si="17"/>
        <v>0</v>
      </c>
      <c r="AM17" s="206">
        <f t="shared" si="18"/>
        <v>0</v>
      </c>
      <c r="AN17" s="205">
        <v>5.0000000000000001E-3</v>
      </c>
      <c r="AO17" s="215">
        <f t="shared" si="19"/>
        <v>0</v>
      </c>
      <c r="AP17" s="199">
        <f t="shared" si="20"/>
        <v>0</v>
      </c>
      <c r="AQ17" s="214">
        <v>0.23</v>
      </c>
      <c r="AR17" s="211">
        <f t="shared" si="21"/>
        <v>0</v>
      </c>
      <c r="AS17" s="209">
        <f t="shared" si="22"/>
        <v>0</v>
      </c>
    </row>
    <row r="18" spans="1:46" ht="12.75" thickBot="1" x14ac:dyDescent="0.25">
      <c r="A18" s="210" t="s">
        <v>331</v>
      </c>
      <c r="B18" s="205">
        <v>0</v>
      </c>
      <c r="C18" s="199">
        <f t="shared" si="23"/>
        <v>0</v>
      </c>
      <c r="D18" s="205">
        <v>0</v>
      </c>
      <c r="E18" s="211">
        <f t="shared" si="27"/>
        <v>0</v>
      </c>
      <c r="F18" s="199">
        <f t="shared" si="24"/>
        <v>0</v>
      </c>
      <c r="G18" s="205">
        <v>0</v>
      </c>
      <c r="H18" s="211">
        <f t="shared" si="0"/>
        <v>0</v>
      </c>
      <c r="I18" s="200">
        <f t="shared" si="25"/>
        <v>0</v>
      </c>
      <c r="J18" s="212">
        <v>56</v>
      </c>
      <c r="K18" s="211">
        <f t="shared" si="1"/>
        <v>0</v>
      </c>
      <c r="L18" s="205">
        <v>0</v>
      </c>
      <c r="M18" s="218">
        <f t="shared" si="26"/>
        <v>0</v>
      </c>
      <c r="N18" s="203">
        <v>0</v>
      </c>
      <c r="O18" s="204">
        <f t="shared" si="2"/>
        <v>0</v>
      </c>
      <c r="P18" s="214">
        <v>8.15</v>
      </c>
      <c r="Q18" s="211">
        <f t="shared" si="3"/>
        <v>0</v>
      </c>
      <c r="R18" s="199">
        <f t="shared" si="4"/>
        <v>0</v>
      </c>
      <c r="S18" s="205">
        <v>5.51</v>
      </c>
      <c r="T18" s="212">
        <f t="shared" si="5"/>
        <v>0</v>
      </c>
      <c r="U18" s="206">
        <f t="shared" si="6"/>
        <v>0</v>
      </c>
      <c r="V18" s="214">
        <v>3.36</v>
      </c>
      <c r="W18" s="211">
        <f t="shared" si="7"/>
        <v>0</v>
      </c>
      <c r="X18" s="206">
        <f t="shared" si="8"/>
        <v>0</v>
      </c>
      <c r="Y18" s="214">
        <v>0.88</v>
      </c>
      <c r="Z18" s="211">
        <f t="shared" si="9"/>
        <v>0</v>
      </c>
      <c r="AA18" s="206">
        <f t="shared" si="10"/>
        <v>0</v>
      </c>
      <c r="AB18" s="214">
        <v>0.13</v>
      </c>
      <c r="AC18" s="211">
        <f t="shared" si="11"/>
        <v>0</v>
      </c>
      <c r="AD18" s="206">
        <f t="shared" si="12"/>
        <v>0</v>
      </c>
      <c r="AE18" s="205">
        <v>0.06</v>
      </c>
      <c r="AF18" s="211">
        <f t="shared" si="13"/>
        <v>0</v>
      </c>
      <c r="AG18" s="199">
        <f t="shared" si="14"/>
        <v>0</v>
      </c>
      <c r="AH18" s="205">
        <v>3.7999999999999999E-2</v>
      </c>
      <c r="AI18" s="211">
        <f t="shared" si="15"/>
        <v>0</v>
      </c>
      <c r="AJ18" s="206">
        <f t="shared" si="16"/>
        <v>0</v>
      </c>
      <c r="AK18" s="205">
        <v>0.112</v>
      </c>
      <c r="AL18" s="215">
        <f t="shared" si="17"/>
        <v>0</v>
      </c>
      <c r="AM18" s="206">
        <f t="shared" si="18"/>
        <v>0</v>
      </c>
      <c r="AN18" s="205">
        <v>0.112</v>
      </c>
      <c r="AO18" s="215">
        <f t="shared" si="19"/>
        <v>0</v>
      </c>
      <c r="AP18" s="199">
        <f t="shared" si="20"/>
        <v>0</v>
      </c>
      <c r="AQ18" s="214">
        <v>0.13</v>
      </c>
      <c r="AR18" s="211">
        <f t="shared" si="21"/>
        <v>0</v>
      </c>
      <c r="AS18" s="209">
        <f t="shared" si="22"/>
        <v>0</v>
      </c>
    </row>
    <row r="19" spans="1:46" ht="12.75" thickBot="1" x14ac:dyDescent="0.25">
      <c r="A19" s="210" t="s">
        <v>332</v>
      </c>
      <c r="B19" s="219">
        <v>650</v>
      </c>
      <c r="C19" s="199">
        <f t="shared" si="23"/>
        <v>6.8019878547890698E-4</v>
      </c>
      <c r="D19" s="205">
        <v>6.7</v>
      </c>
      <c r="E19" s="211">
        <f t="shared" si="27"/>
        <v>606.45000000000005</v>
      </c>
      <c r="F19" s="199">
        <f t="shared" si="24"/>
        <v>6.9436252396592633E-4</v>
      </c>
      <c r="G19" s="205">
        <v>2</v>
      </c>
      <c r="H19" s="211">
        <f t="shared" si="0"/>
        <v>594.32100000000003</v>
      </c>
      <c r="I19" s="200">
        <f t="shared" si="25"/>
        <v>7.352175354142491E-4</v>
      </c>
      <c r="J19" s="212">
        <v>61</v>
      </c>
      <c r="K19" s="211">
        <f t="shared" si="1"/>
        <v>369.93450000000007</v>
      </c>
      <c r="L19" s="205">
        <v>0</v>
      </c>
      <c r="M19" s="202">
        <f t="shared" si="26"/>
        <v>4.2356113961921509E-2</v>
      </c>
      <c r="N19" s="203">
        <v>1.5</v>
      </c>
      <c r="O19" s="204">
        <f t="shared" si="2"/>
        <v>1.0415437859488895E-3</v>
      </c>
      <c r="P19" s="220">
        <v>4.2</v>
      </c>
      <c r="Q19" s="212">
        <f t="shared" si="3"/>
        <v>25.4709</v>
      </c>
      <c r="R19" s="199">
        <f t="shared" si="4"/>
        <v>2.9163226006568908E-3</v>
      </c>
      <c r="S19" s="205">
        <v>4.1500000000000004</v>
      </c>
      <c r="T19" s="212">
        <f t="shared" si="5"/>
        <v>25.167675000000003</v>
      </c>
      <c r="U19" s="206">
        <f t="shared" si="6"/>
        <v>2.8816044744585947E-3</v>
      </c>
      <c r="V19" s="205">
        <v>1</v>
      </c>
      <c r="W19" s="212">
        <f t="shared" si="7"/>
        <v>6.0645000000000007</v>
      </c>
      <c r="X19" s="206">
        <f t="shared" si="8"/>
        <v>6.9436252396592633E-4</v>
      </c>
      <c r="Y19" s="205">
        <v>1.45</v>
      </c>
      <c r="Z19" s="212">
        <f t="shared" si="9"/>
        <v>8.7935250000000007</v>
      </c>
      <c r="AA19" s="206">
        <f t="shared" si="10"/>
        <v>1.0068256597505932E-3</v>
      </c>
      <c r="AB19" s="205">
        <v>0.28999999999999998</v>
      </c>
      <c r="AC19" s="212">
        <f t="shared" si="11"/>
        <v>1.758705</v>
      </c>
      <c r="AD19" s="206">
        <f t="shared" si="12"/>
        <v>2.0136513195011862E-4</v>
      </c>
      <c r="AE19" s="205">
        <v>0.23</v>
      </c>
      <c r="AF19" s="212">
        <f t="shared" si="13"/>
        <v>1.3948350000000003</v>
      </c>
      <c r="AG19" s="199">
        <f t="shared" si="14"/>
        <v>1.5970338051216306E-4</v>
      </c>
      <c r="AH19" s="205">
        <v>0.01</v>
      </c>
      <c r="AI19" s="214">
        <f t="shared" si="15"/>
        <v>6.0645000000000004E-2</v>
      </c>
      <c r="AJ19" s="206">
        <f t="shared" si="16"/>
        <v>6.9436252396592632E-6</v>
      </c>
      <c r="AK19" s="205">
        <v>2.7E-2</v>
      </c>
      <c r="AL19" s="221">
        <f t="shared" si="17"/>
        <v>0.16374150000000001</v>
      </c>
      <c r="AM19" s="206">
        <f t="shared" si="18"/>
        <v>1.8747788147080011E-5</v>
      </c>
      <c r="AN19" s="205">
        <v>2.7E-2</v>
      </c>
      <c r="AO19" s="221">
        <f t="shared" si="19"/>
        <v>0.16374150000000001</v>
      </c>
      <c r="AP19" s="199">
        <f t="shared" si="20"/>
        <v>1.8747788147080011E-5</v>
      </c>
      <c r="AQ19" s="205">
        <v>0.28999999999999998</v>
      </c>
      <c r="AR19" s="212">
        <f t="shared" si="21"/>
        <v>1.758705</v>
      </c>
      <c r="AS19" s="209">
        <f t="shared" si="22"/>
        <v>2.0136513195011862E-4</v>
      </c>
    </row>
    <row r="20" spans="1:46" ht="12.75" thickBot="1" x14ac:dyDescent="0.25">
      <c r="A20" s="210" t="s">
        <v>333</v>
      </c>
      <c r="B20" s="205">
        <v>14042</v>
      </c>
      <c r="C20" s="199">
        <f t="shared" si="23"/>
        <v>1.4694386685684327E-2</v>
      </c>
      <c r="D20" s="205">
        <v>9.6</v>
      </c>
      <c r="E20" s="211">
        <f t="shared" si="27"/>
        <v>12693.968000000001</v>
      </c>
      <c r="F20" s="199">
        <f t="shared" si="24"/>
        <v>1.4534117667775912E-2</v>
      </c>
      <c r="G20" s="205">
        <v>2</v>
      </c>
      <c r="H20" s="211">
        <f t="shared" si="0"/>
        <v>12440.08864</v>
      </c>
      <c r="I20" s="200">
        <f t="shared" si="25"/>
        <v>1.5389278370166288E-2</v>
      </c>
      <c r="J20" s="212">
        <v>57</v>
      </c>
      <c r="K20" s="211">
        <f t="shared" si="1"/>
        <v>7235.5617600000005</v>
      </c>
      <c r="L20" s="205">
        <v>0</v>
      </c>
      <c r="M20" s="202">
        <f t="shared" si="26"/>
        <v>0.82844470706322693</v>
      </c>
      <c r="N20" s="203">
        <v>12.5</v>
      </c>
      <c r="O20" s="204">
        <f t="shared" si="2"/>
        <v>0.1816764708471989</v>
      </c>
      <c r="P20" s="214">
        <v>8.8000000000000007</v>
      </c>
      <c r="Q20" s="211">
        <f t="shared" si="3"/>
        <v>1117.0691840000002</v>
      </c>
      <c r="R20" s="199">
        <f t="shared" si="4"/>
        <v>0.12790023547642804</v>
      </c>
      <c r="S20" s="205">
        <v>9.1</v>
      </c>
      <c r="T20" s="212">
        <f t="shared" si="5"/>
        <v>1155.1510880000001</v>
      </c>
      <c r="U20" s="206">
        <f t="shared" si="6"/>
        <v>0.13226047077676079</v>
      </c>
      <c r="V20" s="214">
        <v>1.8</v>
      </c>
      <c r="W20" s="211">
        <f t="shared" si="7"/>
        <v>228.49142399999999</v>
      </c>
      <c r="X20" s="206">
        <f t="shared" si="8"/>
        <v>2.6161411801996642E-2</v>
      </c>
      <c r="Y20" s="214">
        <v>1.4</v>
      </c>
      <c r="Z20" s="211">
        <f t="shared" si="9"/>
        <v>177.715552</v>
      </c>
      <c r="AA20" s="206">
        <f t="shared" si="10"/>
        <v>2.0347764734886274E-2</v>
      </c>
      <c r="AB20" s="214">
        <v>0.2</v>
      </c>
      <c r="AC20" s="211">
        <f t="shared" si="11"/>
        <v>25.387936000000003</v>
      </c>
      <c r="AD20" s="206">
        <f t="shared" si="12"/>
        <v>2.9068235335551825E-3</v>
      </c>
      <c r="AE20" s="205">
        <v>0.16</v>
      </c>
      <c r="AF20" s="211">
        <f t="shared" si="13"/>
        <v>20.3103488</v>
      </c>
      <c r="AG20" s="199">
        <f t="shared" si="14"/>
        <v>2.325458826844146E-3</v>
      </c>
      <c r="AH20" s="205">
        <v>1.9E-2</v>
      </c>
      <c r="AI20" s="211">
        <f t="shared" si="15"/>
        <v>2.41185392</v>
      </c>
      <c r="AJ20" s="206">
        <f t="shared" si="16"/>
        <v>2.7614823568774231E-4</v>
      </c>
      <c r="AK20" s="205">
        <v>1.7000000000000001E-2</v>
      </c>
      <c r="AL20" s="215">
        <f t="shared" si="17"/>
        <v>2.1579745600000004</v>
      </c>
      <c r="AM20" s="206">
        <f t="shared" si="18"/>
        <v>2.470800003521905E-4</v>
      </c>
      <c r="AN20" s="205">
        <v>0.02</v>
      </c>
      <c r="AO20" s="215">
        <f t="shared" si="19"/>
        <v>2.5387936</v>
      </c>
      <c r="AP20" s="199">
        <f t="shared" si="20"/>
        <v>2.9068235335551825E-4</v>
      </c>
      <c r="AQ20" s="214">
        <v>0.02</v>
      </c>
      <c r="AR20" s="211">
        <f t="shared" si="21"/>
        <v>2.5387936</v>
      </c>
      <c r="AS20" s="209">
        <f t="shared" si="22"/>
        <v>2.9068235335551825E-4</v>
      </c>
    </row>
    <row r="21" spans="1:46" ht="12.75" thickBot="1" x14ac:dyDescent="0.25">
      <c r="A21" s="210" t="s">
        <v>334</v>
      </c>
      <c r="B21" s="205">
        <v>25785</v>
      </c>
      <c r="C21" s="199">
        <f t="shared" si="23"/>
        <v>2.698296259011326E-2</v>
      </c>
      <c r="D21" s="205">
        <v>10.4</v>
      </c>
      <c r="E21" s="211">
        <f t="shared" si="27"/>
        <v>23103.360000000001</v>
      </c>
      <c r="F21" s="199">
        <f t="shared" si="24"/>
        <v>2.6452481427476995E-2</v>
      </c>
      <c r="G21" s="205">
        <v>14.7</v>
      </c>
      <c r="H21" s="211">
        <f t="shared" si="0"/>
        <v>19707.166079999999</v>
      </c>
      <c r="I21" s="200">
        <f t="shared" si="25"/>
        <v>2.437917232495047E-2</v>
      </c>
      <c r="J21" s="212">
        <v>50</v>
      </c>
      <c r="K21" s="211">
        <f t="shared" si="1"/>
        <v>11551.68</v>
      </c>
      <c r="L21" s="222">
        <v>0</v>
      </c>
      <c r="M21" s="202">
        <f t="shared" si="26"/>
        <v>1.3226240713738497</v>
      </c>
      <c r="N21" s="213">
        <v>14</v>
      </c>
      <c r="O21" s="204">
        <f t="shared" si="2"/>
        <v>0.37033473998467792</v>
      </c>
      <c r="P21" s="214">
        <v>5.14</v>
      </c>
      <c r="Q21" s="211">
        <f t="shared" si="3"/>
        <v>1187.512704</v>
      </c>
      <c r="R21" s="199">
        <f t="shared" si="4"/>
        <v>0.13596575453723175</v>
      </c>
      <c r="S21" s="205">
        <v>5.7</v>
      </c>
      <c r="T21" s="212">
        <f t="shared" si="5"/>
        <v>1316.8915200000001</v>
      </c>
      <c r="U21" s="206">
        <f t="shared" si="6"/>
        <v>0.15077914413661889</v>
      </c>
      <c r="V21" s="214">
        <v>1.5</v>
      </c>
      <c r="W21" s="211">
        <f t="shared" si="7"/>
        <v>346.55040000000002</v>
      </c>
      <c r="X21" s="206">
        <f t="shared" si="8"/>
        <v>3.967872214121549E-2</v>
      </c>
      <c r="Y21" s="212">
        <v>1.9</v>
      </c>
      <c r="Z21" s="212">
        <f t="shared" si="9"/>
        <v>438.96384</v>
      </c>
      <c r="AA21" s="206">
        <f t="shared" si="10"/>
        <v>5.0259714712206291E-2</v>
      </c>
      <c r="AB21" s="214">
        <v>0.26</v>
      </c>
      <c r="AC21" s="211">
        <f t="shared" si="11"/>
        <v>60.068736000000008</v>
      </c>
      <c r="AD21" s="206">
        <f t="shared" si="12"/>
        <v>6.877645171144019E-3</v>
      </c>
      <c r="AE21" s="205">
        <v>0.34200000000000003</v>
      </c>
      <c r="AF21" s="211">
        <f t="shared" si="13"/>
        <v>79.013491200000004</v>
      </c>
      <c r="AG21" s="199">
        <f t="shared" si="14"/>
        <v>9.0467486481971334E-3</v>
      </c>
      <c r="AH21" s="205">
        <v>2.5000000000000001E-2</v>
      </c>
      <c r="AI21" s="211">
        <f t="shared" si="15"/>
        <v>5.7758400000000005</v>
      </c>
      <c r="AJ21" s="206">
        <f t="shared" si="16"/>
        <v>6.6131203568692493E-4</v>
      </c>
      <c r="AK21" s="223">
        <v>1.7999999999999999E-2</v>
      </c>
      <c r="AL21" s="224">
        <f t="shared" si="17"/>
        <v>4.1586048</v>
      </c>
      <c r="AM21" s="206">
        <f t="shared" si="18"/>
        <v>4.7614466569458589E-4</v>
      </c>
      <c r="AN21" s="205">
        <v>0.39</v>
      </c>
      <c r="AO21" s="215">
        <f t="shared" si="19"/>
        <v>90.103104000000002</v>
      </c>
      <c r="AP21" s="199">
        <f t="shared" si="20"/>
        <v>1.0316467756716028E-2</v>
      </c>
      <c r="AQ21" s="214">
        <v>0.21</v>
      </c>
      <c r="AR21" s="211">
        <f t="shared" si="21"/>
        <v>48.517056000000004</v>
      </c>
      <c r="AS21" s="209">
        <f t="shared" si="22"/>
        <v>5.555021099770169E-3</v>
      </c>
    </row>
    <row r="22" spans="1:46" ht="12.75" thickBot="1" x14ac:dyDescent="0.25">
      <c r="A22" s="210" t="s">
        <v>335</v>
      </c>
      <c r="B22" s="205">
        <v>13777</v>
      </c>
      <c r="C22" s="199">
        <f t="shared" si="23"/>
        <v>1.4417074873142926E-2</v>
      </c>
      <c r="D22" s="205">
        <v>0</v>
      </c>
      <c r="E22" s="211">
        <f t="shared" si="27"/>
        <v>13777</v>
      </c>
      <c r="F22" s="199">
        <f t="shared" si="24"/>
        <v>1.5774148722365516E-2</v>
      </c>
      <c r="G22" s="205">
        <v>0.2</v>
      </c>
      <c r="H22" s="211">
        <f t="shared" si="0"/>
        <v>13749.445999999998</v>
      </c>
      <c r="I22" s="200">
        <f t="shared" si="25"/>
        <v>1.7009046965244884E-2</v>
      </c>
      <c r="J22" s="212">
        <v>58</v>
      </c>
      <c r="K22" s="211">
        <f t="shared" si="1"/>
        <v>7990.66</v>
      </c>
      <c r="L22" s="205">
        <v>0</v>
      </c>
      <c r="M22" s="202">
        <f t="shared" si="26"/>
        <v>0.91490062589719989</v>
      </c>
      <c r="N22" s="203">
        <v>12.7</v>
      </c>
      <c r="O22" s="204">
        <f t="shared" si="2"/>
        <v>0.20033168877404203</v>
      </c>
      <c r="P22" s="214">
        <v>7.96</v>
      </c>
      <c r="Q22" s="211">
        <f t="shared" si="3"/>
        <v>1096.6492000000001</v>
      </c>
      <c r="R22" s="199">
        <f t="shared" si="4"/>
        <v>0.12556222383002952</v>
      </c>
      <c r="S22" s="205">
        <v>5.79</v>
      </c>
      <c r="T22" s="212">
        <f t="shared" si="5"/>
        <v>797.68830000000003</v>
      </c>
      <c r="U22" s="206">
        <f t="shared" si="6"/>
        <v>9.1332321102496339E-2</v>
      </c>
      <c r="V22" s="214">
        <v>1.71</v>
      </c>
      <c r="W22" s="211">
        <f t="shared" si="7"/>
        <v>235.58669999999998</v>
      </c>
      <c r="X22" s="206">
        <f t="shared" si="8"/>
        <v>2.6973794315245034E-2</v>
      </c>
      <c r="Y22" s="214">
        <v>1.54</v>
      </c>
      <c r="Z22" s="211">
        <f t="shared" si="9"/>
        <v>212.16580000000002</v>
      </c>
      <c r="AA22" s="206">
        <f t="shared" si="10"/>
        <v>2.4292189032442894E-2</v>
      </c>
      <c r="AB22" s="214">
        <v>0.2</v>
      </c>
      <c r="AC22" s="211">
        <f t="shared" si="11"/>
        <v>27.554000000000002</v>
      </c>
      <c r="AD22" s="206">
        <f t="shared" si="12"/>
        <v>3.1548297444731034E-3</v>
      </c>
      <c r="AE22" s="205">
        <v>7.0000000000000007E-2</v>
      </c>
      <c r="AF22" s="211">
        <f t="shared" si="13"/>
        <v>9.6439000000000004</v>
      </c>
      <c r="AG22" s="199">
        <f t="shared" si="14"/>
        <v>1.1041904105655862E-3</v>
      </c>
      <c r="AH22" s="205">
        <v>2.3E-2</v>
      </c>
      <c r="AI22" s="211">
        <f t="shared" si="15"/>
        <v>3.1687099999999999</v>
      </c>
      <c r="AJ22" s="206">
        <f t="shared" si="16"/>
        <v>3.6280542061440686E-4</v>
      </c>
      <c r="AK22" s="205">
        <v>1.2E-2</v>
      </c>
      <c r="AL22" s="215">
        <f t="shared" si="17"/>
        <v>1.65324</v>
      </c>
      <c r="AM22" s="206">
        <f t="shared" si="18"/>
        <v>1.8928978466838621E-4</v>
      </c>
      <c r="AN22" s="205">
        <v>2.1000000000000001E-2</v>
      </c>
      <c r="AO22" s="215">
        <f t="shared" si="19"/>
        <v>2.89317</v>
      </c>
      <c r="AP22" s="199">
        <f t="shared" si="20"/>
        <v>3.3125712316967585E-4</v>
      </c>
      <c r="AQ22" s="214">
        <v>0.21</v>
      </c>
      <c r="AR22" s="211">
        <f t="shared" si="21"/>
        <v>28.931699999999999</v>
      </c>
      <c r="AS22" s="209">
        <f t="shared" si="22"/>
        <v>3.3125712316967584E-3</v>
      </c>
    </row>
    <row r="23" spans="1:46" ht="12.75" thickBot="1" x14ac:dyDescent="0.25">
      <c r="A23" s="210" t="s">
        <v>336</v>
      </c>
      <c r="B23" s="205">
        <v>16425</v>
      </c>
      <c r="C23" s="199">
        <f t="shared" si="23"/>
        <v>1.7188100079216995E-2</v>
      </c>
      <c r="D23" s="205">
        <v>8.6999999999999993</v>
      </c>
      <c r="E23" s="211">
        <f t="shared" si="27"/>
        <v>14996.025</v>
      </c>
      <c r="F23" s="199">
        <f t="shared" si="24"/>
        <v>1.7169886665769858E-2</v>
      </c>
      <c r="G23" s="205">
        <v>2.96</v>
      </c>
      <c r="H23" s="211">
        <f t="shared" si="0"/>
        <v>14552.142660000001</v>
      </c>
      <c r="I23" s="200">
        <f t="shared" si="25"/>
        <v>1.8002040078479064E-2</v>
      </c>
      <c r="J23" s="212">
        <v>71</v>
      </c>
      <c r="K23" s="211">
        <f t="shared" si="1"/>
        <v>10647.177749999999</v>
      </c>
      <c r="L23" s="205">
        <v>0</v>
      </c>
      <c r="M23" s="202">
        <f t="shared" si="26"/>
        <v>1.2190619532696598</v>
      </c>
      <c r="N23" s="213">
        <v>48</v>
      </c>
      <c r="O23" s="204">
        <f t="shared" si="2"/>
        <v>0.82415455995695319</v>
      </c>
      <c r="P23" s="214">
        <v>3.7</v>
      </c>
      <c r="Q23" s="211">
        <f t="shared" si="3"/>
        <v>554.85292500000003</v>
      </c>
      <c r="R23" s="199">
        <f t="shared" si="4"/>
        <v>6.3528580663348475E-2</v>
      </c>
      <c r="S23" s="205">
        <v>2.04</v>
      </c>
      <c r="T23" s="212">
        <f t="shared" si="5"/>
        <v>305.91890999999998</v>
      </c>
      <c r="U23" s="206">
        <f t="shared" si="6"/>
        <v>3.502656879817051E-2</v>
      </c>
      <c r="V23" s="214">
        <v>0.56000000000000005</v>
      </c>
      <c r="W23" s="211">
        <f t="shared" si="7"/>
        <v>83.977740000000011</v>
      </c>
      <c r="X23" s="206">
        <f t="shared" si="8"/>
        <v>9.6151365328311211E-3</v>
      </c>
      <c r="Y23" s="214">
        <v>0.42</v>
      </c>
      <c r="Z23" s="211">
        <f t="shared" si="9"/>
        <v>62.983305000000001</v>
      </c>
      <c r="AA23" s="206">
        <f t="shared" si="10"/>
        <v>7.2113523996233404E-3</v>
      </c>
      <c r="AB23" s="214">
        <v>0.1</v>
      </c>
      <c r="AC23" s="211">
        <f t="shared" si="11"/>
        <v>14.996024999999999</v>
      </c>
      <c r="AD23" s="206">
        <f t="shared" si="12"/>
        <v>1.7169886665769859E-3</v>
      </c>
      <c r="AE23" s="205">
        <v>0.05</v>
      </c>
      <c r="AF23" s="211">
        <f t="shared" si="13"/>
        <v>7.4980124999999997</v>
      </c>
      <c r="AG23" s="199">
        <f t="shared" si="14"/>
        <v>8.5849433328849295E-4</v>
      </c>
      <c r="AH23" s="205">
        <v>0.03</v>
      </c>
      <c r="AI23" s="211">
        <f t="shared" si="15"/>
        <v>4.4988074999999998</v>
      </c>
      <c r="AJ23" s="206">
        <f t="shared" si="16"/>
        <v>5.1509659997309577E-4</v>
      </c>
      <c r="AK23" s="205">
        <v>5.8999999999999997E-2</v>
      </c>
      <c r="AL23" s="215">
        <f t="shared" si="17"/>
        <v>8.8476547499999985</v>
      </c>
      <c r="AM23" s="206">
        <f t="shared" si="18"/>
        <v>1.0130233132804216E-3</v>
      </c>
      <c r="AN23" s="205">
        <v>0.04</v>
      </c>
      <c r="AO23" s="215">
        <f t="shared" si="19"/>
        <v>5.9984099999999998</v>
      </c>
      <c r="AP23" s="199">
        <f t="shared" si="20"/>
        <v>6.8679546663079436E-4</v>
      </c>
      <c r="AQ23" s="214">
        <v>0.45</v>
      </c>
      <c r="AR23" s="211">
        <f t="shared" si="21"/>
        <v>67.482112499999999</v>
      </c>
      <c r="AS23" s="209">
        <f t="shared" si="22"/>
        <v>7.7264489995964363E-3</v>
      </c>
    </row>
    <row r="24" spans="1:46" ht="12.75" thickBot="1" x14ac:dyDescent="0.25">
      <c r="A24" s="210" t="s">
        <v>29</v>
      </c>
      <c r="B24" s="205">
        <v>11522</v>
      </c>
      <c r="C24" s="199">
        <f t="shared" si="23"/>
        <v>1.2057308317366103E-2</v>
      </c>
      <c r="D24" s="205">
        <v>8.6999999999999993</v>
      </c>
      <c r="E24" s="211">
        <f t="shared" si="27"/>
        <v>10519.585999999999</v>
      </c>
      <c r="F24" s="199">
        <f t="shared" si="24"/>
        <v>1.2044531760304431E-2</v>
      </c>
      <c r="G24" s="205">
        <v>10.199999999999999</v>
      </c>
      <c r="H24" s="211">
        <f t="shared" si="0"/>
        <v>9446.5882280000005</v>
      </c>
      <c r="I24" s="200">
        <f t="shared" si="25"/>
        <v>1.1686104504238314E-2</v>
      </c>
      <c r="J24" s="212">
        <v>54</v>
      </c>
      <c r="K24" s="211">
        <f t="shared" si="1"/>
        <v>5680.5764399999998</v>
      </c>
      <c r="L24" s="205">
        <v>0</v>
      </c>
      <c r="M24" s="202">
        <f t="shared" si="26"/>
        <v>0.65040471505643926</v>
      </c>
      <c r="N24" s="213">
        <v>12.2</v>
      </c>
      <c r="O24" s="204">
        <f t="shared" si="2"/>
        <v>0.14694328747571406</v>
      </c>
      <c r="P24" s="214">
        <v>4.96</v>
      </c>
      <c r="Q24" s="211">
        <f t="shared" si="3"/>
        <v>521.77146559999994</v>
      </c>
      <c r="R24" s="199">
        <f t="shared" si="4"/>
        <v>5.974087753110998E-2</v>
      </c>
      <c r="S24" s="205">
        <v>4.99</v>
      </c>
      <c r="T24" s="212">
        <f t="shared" si="5"/>
        <v>524.92734140000005</v>
      </c>
      <c r="U24" s="206">
        <f t="shared" si="6"/>
        <v>6.0102213483919115E-2</v>
      </c>
      <c r="V24" s="214">
        <v>1.43</v>
      </c>
      <c r="W24" s="211">
        <f t="shared" si="7"/>
        <v>150.43007979999999</v>
      </c>
      <c r="X24" s="206">
        <f t="shared" si="8"/>
        <v>1.7223680417235335E-2</v>
      </c>
      <c r="Y24" s="214">
        <v>1.61</v>
      </c>
      <c r="Z24" s="211">
        <f t="shared" si="9"/>
        <v>169.36533459999998</v>
      </c>
      <c r="AA24" s="206">
        <f t="shared" si="10"/>
        <v>1.9391696134090135E-2</v>
      </c>
      <c r="AB24" s="214">
        <v>0.26</v>
      </c>
      <c r="AC24" s="211">
        <f t="shared" si="11"/>
        <v>27.350923600000002</v>
      </c>
      <c r="AD24" s="206">
        <f t="shared" si="12"/>
        <v>3.1315782576791522E-3</v>
      </c>
      <c r="AE24" s="205">
        <v>0.308</v>
      </c>
      <c r="AF24" s="211">
        <f t="shared" si="13"/>
        <v>32.400324879999999</v>
      </c>
      <c r="AG24" s="199">
        <f t="shared" si="14"/>
        <v>3.7097157821737647E-3</v>
      </c>
      <c r="AH24" s="205">
        <v>2.3E-2</v>
      </c>
      <c r="AI24" s="211">
        <f t="shared" si="15"/>
        <v>2.4195047799999996</v>
      </c>
      <c r="AJ24" s="206">
        <f t="shared" si="16"/>
        <v>2.7702423048700189E-4</v>
      </c>
      <c r="AK24" s="205">
        <v>8.9999999999999993E-3</v>
      </c>
      <c r="AL24" s="215">
        <f t="shared" si="17"/>
        <v>0.94676273999999994</v>
      </c>
      <c r="AM24" s="206">
        <f t="shared" si="18"/>
        <v>1.0840078584273987E-4</v>
      </c>
      <c r="AN24" s="205">
        <v>0.68</v>
      </c>
      <c r="AO24" s="215">
        <f t="shared" si="19"/>
        <v>71.533184800000001</v>
      </c>
      <c r="AP24" s="199">
        <f t="shared" si="20"/>
        <v>8.1902815970070139E-3</v>
      </c>
      <c r="AQ24" s="214">
        <v>0.2</v>
      </c>
      <c r="AR24" s="211">
        <f t="shared" si="21"/>
        <v>21.039171999999997</v>
      </c>
      <c r="AS24" s="209">
        <f t="shared" si="22"/>
        <v>2.4089063520608862E-3</v>
      </c>
    </row>
    <row r="25" spans="1:46" ht="12.75" thickBot="1" x14ac:dyDescent="0.25">
      <c r="A25" s="210" t="s">
        <v>337</v>
      </c>
      <c r="B25" s="205">
        <v>11145</v>
      </c>
      <c r="C25" s="199">
        <f t="shared" si="23"/>
        <v>1.1662793021788336E-2</v>
      </c>
      <c r="D25" s="205">
        <v>5.6</v>
      </c>
      <c r="E25" s="211">
        <f t="shared" si="27"/>
        <v>10520.88</v>
      </c>
      <c r="F25" s="199">
        <f t="shared" si="24"/>
        <v>1.2046013341813232E-2</v>
      </c>
      <c r="G25" s="205">
        <v>0</v>
      </c>
      <c r="H25" s="211">
        <f t="shared" si="0"/>
        <v>10520.88</v>
      </c>
      <c r="I25" s="200">
        <f t="shared" si="25"/>
        <v>1.3015080173827047E-2</v>
      </c>
      <c r="J25" s="212">
        <v>40</v>
      </c>
      <c r="K25" s="211">
        <f t="shared" si="1"/>
        <v>4208.351999999999</v>
      </c>
      <c r="L25" s="205">
        <v>0</v>
      </c>
      <c r="M25" s="202">
        <f t="shared" si="26"/>
        <v>0.48184053367252927</v>
      </c>
      <c r="N25" s="213">
        <v>10.4</v>
      </c>
      <c r="O25" s="204">
        <f t="shared" si="2"/>
        <v>0.12527853875485762</v>
      </c>
      <c r="P25" s="214">
        <v>19.670000000000002</v>
      </c>
      <c r="Q25" s="211">
        <f t="shared" si="3"/>
        <v>2069.4570960000001</v>
      </c>
      <c r="R25" s="199">
        <f t="shared" si="4"/>
        <v>0.23694508243346629</v>
      </c>
      <c r="S25" s="205">
        <v>13.94</v>
      </c>
      <c r="T25" s="212">
        <f t="shared" si="5"/>
        <v>1466.6106719999998</v>
      </c>
      <c r="U25" s="206">
        <f t="shared" si="6"/>
        <v>0.16792142598487644</v>
      </c>
      <c r="V25" s="214">
        <v>7.88</v>
      </c>
      <c r="W25" s="211">
        <f t="shared" si="7"/>
        <v>829.04534399999989</v>
      </c>
      <c r="X25" s="206">
        <f t="shared" si="8"/>
        <v>9.4922585133488266E-2</v>
      </c>
      <c r="Y25" s="214">
        <v>3.41</v>
      </c>
      <c r="Z25" s="211">
        <f t="shared" si="9"/>
        <v>358.76200799999998</v>
      </c>
      <c r="AA25" s="206">
        <f t="shared" si="10"/>
        <v>4.107690549558312E-2</v>
      </c>
      <c r="AB25" s="214">
        <v>0.75</v>
      </c>
      <c r="AC25" s="211">
        <f t="shared" si="11"/>
        <v>78.906599999999997</v>
      </c>
      <c r="AD25" s="206">
        <f t="shared" si="12"/>
        <v>9.0345100063599238E-3</v>
      </c>
      <c r="AE25" s="205">
        <v>8.4000000000000005E-2</v>
      </c>
      <c r="AF25" s="211">
        <f t="shared" si="13"/>
        <v>8.8375392000000002</v>
      </c>
      <c r="AG25" s="199">
        <f t="shared" si="14"/>
        <v>1.0118651207123115E-3</v>
      </c>
      <c r="AH25" s="205">
        <v>0.16</v>
      </c>
      <c r="AI25" s="211">
        <f t="shared" si="15"/>
        <v>16.833407999999999</v>
      </c>
      <c r="AJ25" s="206">
        <f t="shared" si="16"/>
        <v>1.9273621346901171E-3</v>
      </c>
      <c r="AK25" s="205">
        <v>0.27</v>
      </c>
      <c r="AL25" s="215">
        <f t="shared" si="17"/>
        <v>28.406376000000002</v>
      </c>
      <c r="AM25" s="206">
        <f t="shared" si="18"/>
        <v>3.2524236022895728E-3</v>
      </c>
      <c r="AN25" s="205">
        <v>0</v>
      </c>
      <c r="AO25" s="215">
        <f t="shared" si="19"/>
        <v>0</v>
      </c>
      <c r="AP25" s="199">
        <f t="shared" si="20"/>
        <v>0</v>
      </c>
      <c r="AQ25" s="214">
        <v>2.1</v>
      </c>
      <c r="AR25" s="211">
        <f t="shared" si="21"/>
        <v>220.93847999999997</v>
      </c>
      <c r="AS25" s="209">
        <f t="shared" si="22"/>
        <v>2.5296628017807788E-2</v>
      </c>
    </row>
    <row r="26" spans="1:46" ht="12.75" thickBot="1" x14ac:dyDescent="0.25">
      <c r="A26" s="210" t="s">
        <v>338</v>
      </c>
      <c r="B26" s="205">
        <v>30000</v>
      </c>
      <c r="C26" s="199">
        <f t="shared" si="23"/>
        <v>3.1393790099026479E-2</v>
      </c>
      <c r="D26" s="205">
        <v>4.8</v>
      </c>
      <c r="E26" s="211">
        <f t="shared" si="27"/>
        <v>28560</v>
      </c>
      <c r="F26" s="199">
        <f t="shared" si="24"/>
        <v>3.2700129746008499E-2</v>
      </c>
      <c r="G26" s="205">
        <v>31.2</v>
      </c>
      <c r="H26" s="211">
        <f t="shared" si="0"/>
        <v>19649.28</v>
      </c>
      <c r="I26" s="200">
        <f t="shared" si="25"/>
        <v>2.4307563108597031E-2</v>
      </c>
      <c r="J26" s="212">
        <v>35</v>
      </c>
      <c r="K26" s="211">
        <f t="shared" si="1"/>
        <v>9996</v>
      </c>
      <c r="L26" s="205">
        <v>0</v>
      </c>
      <c r="M26" s="202">
        <f t="shared" si="26"/>
        <v>1.1445045411102974</v>
      </c>
      <c r="N26" s="213">
        <v>36.4</v>
      </c>
      <c r="O26" s="204">
        <f t="shared" si="2"/>
        <v>1.1902847227547093</v>
      </c>
      <c r="P26" s="214">
        <v>3.45</v>
      </c>
      <c r="Q26" s="211">
        <f t="shared" si="3"/>
        <v>985.32</v>
      </c>
      <c r="R26" s="199">
        <f t="shared" si="4"/>
        <v>0.11281544762372933</v>
      </c>
      <c r="S26" s="205">
        <v>6.07</v>
      </c>
      <c r="T26" s="212">
        <f t="shared" si="5"/>
        <v>1733.5920000000001</v>
      </c>
      <c r="U26" s="206">
        <f t="shared" si="6"/>
        <v>0.1984897875582716</v>
      </c>
      <c r="V26" s="214">
        <v>8.0299999999999994</v>
      </c>
      <c r="W26" s="211">
        <f t="shared" si="7"/>
        <v>2293.3679999999999</v>
      </c>
      <c r="X26" s="206">
        <f t="shared" si="8"/>
        <v>0.26258204186044826</v>
      </c>
      <c r="Y26" s="214">
        <v>2.08</v>
      </c>
      <c r="Z26" s="211">
        <f t="shared" si="9"/>
        <v>594.048</v>
      </c>
      <c r="AA26" s="206">
        <f t="shared" si="10"/>
        <v>6.8016269871697677E-2</v>
      </c>
      <c r="AB26" s="214">
        <v>0.1</v>
      </c>
      <c r="AC26" s="211">
        <f t="shared" si="11"/>
        <v>28.56</v>
      </c>
      <c r="AD26" s="206">
        <f t="shared" si="12"/>
        <v>3.2700129746008502E-3</v>
      </c>
      <c r="AE26" s="205">
        <v>8.2000000000000003E-2</v>
      </c>
      <c r="AF26" s="211">
        <f t="shared" si="13"/>
        <v>23.4192</v>
      </c>
      <c r="AG26" s="199">
        <f t="shared" si="14"/>
        <v>2.6814106391726969E-3</v>
      </c>
      <c r="AH26" s="205">
        <v>2.1999999999999999E-2</v>
      </c>
      <c r="AI26" s="211">
        <f t="shared" si="15"/>
        <v>6.283199999999999</v>
      </c>
      <c r="AJ26" s="206">
        <f t="shared" si="16"/>
        <v>7.194028544121869E-4</v>
      </c>
      <c r="AK26" s="205">
        <v>5.0000000000000001E-3</v>
      </c>
      <c r="AL26" s="215">
        <f t="shared" si="17"/>
        <v>1.4280000000000002</v>
      </c>
      <c r="AM26" s="206">
        <f t="shared" si="18"/>
        <v>1.6350064873004249E-4</v>
      </c>
      <c r="AN26" s="205">
        <v>1.2999999999999999E-2</v>
      </c>
      <c r="AO26" s="215">
        <f t="shared" si="19"/>
        <v>3.7127999999999997</v>
      </c>
      <c r="AP26" s="199">
        <f t="shared" si="20"/>
        <v>4.2510168669811048E-4</v>
      </c>
      <c r="AQ26" s="214">
        <v>1.66</v>
      </c>
      <c r="AR26" s="211">
        <f t="shared" si="21"/>
        <v>474.096</v>
      </c>
      <c r="AS26" s="209">
        <f t="shared" si="22"/>
        <v>5.4282215378374105E-2</v>
      </c>
    </row>
    <row r="27" spans="1:46" ht="12.75" thickBot="1" x14ac:dyDescent="0.25">
      <c r="A27" s="210" t="s">
        <v>339</v>
      </c>
      <c r="B27" s="205">
        <v>22461</v>
      </c>
      <c r="C27" s="199">
        <f t="shared" si="23"/>
        <v>2.3504530647141125E-2</v>
      </c>
      <c r="D27" s="205">
        <v>0</v>
      </c>
      <c r="E27" s="211">
        <f t="shared" si="27"/>
        <v>22461</v>
      </c>
      <c r="F27" s="199">
        <f t="shared" si="24"/>
        <v>2.5717003299198071E-2</v>
      </c>
      <c r="G27" s="205">
        <v>12</v>
      </c>
      <c r="H27" s="211">
        <f t="shared" si="0"/>
        <v>19765.68</v>
      </c>
      <c r="I27" s="200">
        <f t="shared" si="25"/>
        <v>2.4451558224236929E-2</v>
      </c>
      <c r="J27" s="212">
        <v>0</v>
      </c>
      <c r="K27" s="211">
        <f t="shared" si="1"/>
        <v>0</v>
      </c>
      <c r="L27" s="222">
        <v>0</v>
      </c>
      <c r="M27" s="225">
        <f t="shared" si="26"/>
        <v>0</v>
      </c>
      <c r="N27" s="226">
        <v>0</v>
      </c>
      <c r="O27" s="227">
        <f t="shared" si="2"/>
        <v>0</v>
      </c>
      <c r="P27" s="214">
        <v>85</v>
      </c>
      <c r="Q27" s="211">
        <f t="shared" si="3"/>
        <v>19091.849999999999</v>
      </c>
      <c r="R27" s="199">
        <f t="shared" si="4"/>
        <v>2.1859452804318362</v>
      </c>
      <c r="S27" s="205">
        <v>0.1</v>
      </c>
      <c r="T27" s="212">
        <f t="shared" si="5"/>
        <v>22.460999999999999</v>
      </c>
      <c r="U27" s="206">
        <f t="shared" si="6"/>
        <v>2.5717003299198073E-3</v>
      </c>
      <c r="V27" s="214">
        <v>5</v>
      </c>
      <c r="W27" s="211">
        <f t="shared" si="7"/>
        <v>1123.05</v>
      </c>
      <c r="X27" s="206">
        <f t="shared" si="8"/>
        <v>0.12858501649599036</v>
      </c>
      <c r="Y27" s="214">
        <v>0.3</v>
      </c>
      <c r="Z27" s="211">
        <f t="shared" si="9"/>
        <v>67.382999999999996</v>
      </c>
      <c r="AA27" s="206">
        <f t="shared" si="10"/>
        <v>7.715100989759421E-3</v>
      </c>
      <c r="AB27" s="214"/>
      <c r="AC27" s="211">
        <f t="shared" si="11"/>
        <v>0</v>
      </c>
      <c r="AD27" s="206">
        <f t="shared" si="12"/>
        <v>0</v>
      </c>
      <c r="AE27" s="205"/>
      <c r="AF27" s="211">
        <f t="shared" si="13"/>
        <v>0</v>
      </c>
      <c r="AG27" s="199">
        <f t="shared" si="14"/>
        <v>0</v>
      </c>
      <c r="AH27" s="205"/>
      <c r="AI27" s="211">
        <f t="shared" si="15"/>
        <v>0</v>
      </c>
      <c r="AJ27" s="206">
        <f t="shared" si="16"/>
        <v>0</v>
      </c>
      <c r="AK27" s="205"/>
      <c r="AL27" s="215">
        <f t="shared" si="17"/>
        <v>0</v>
      </c>
      <c r="AM27" s="206">
        <f t="shared" si="18"/>
        <v>0</v>
      </c>
      <c r="AN27" s="205"/>
      <c r="AO27" s="215">
        <f t="shared" si="19"/>
        <v>0</v>
      </c>
      <c r="AP27" s="199">
        <f t="shared" si="20"/>
        <v>0</v>
      </c>
      <c r="AQ27" s="214"/>
      <c r="AR27" s="211">
        <f t="shared" si="21"/>
        <v>0</v>
      </c>
      <c r="AS27" s="209">
        <f t="shared" si="22"/>
        <v>0</v>
      </c>
    </row>
    <row r="28" spans="1:46" ht="12.75" thickBot="1" x14ac:dyDescent="0.25">
      <c r="A28" s="210" t="s">
        <v>340</v>
      </c>
      <c r="B28" s="211">
        <f>47185</f>
        <v>47185</v>
      </c>
      <c r="C28" s="199">
        <f t="shared" si="23"/>
        <v>4.9377199527418814E-2</v>
      </c>
      <c r="D28" s="205">
        <v>17.7</v>
      </c>
      <c r="E28" s="211">
        <f t="shared" si="27"/>
        <v>38833.254999999997</v>
      </c>
      <c r="F28" s="199">
        <f t="shared" si="24"/>
        <v>4.4462621742291084E-2</v>
      </c>
      <c r="G28" s="205">
        <v>88</v>
      </c>
      <c r="H28" s="228">
        <f t="shared" si="0"/>
        <v>4659.9905999999992</v>
      </c>
      <c r="I28" s="200">
        <f t="shared" si="25"/>
        <v>5.7647412828851202E-3</v>
      </c>
      <c r="J28" s="212">
        <v>0</v>
      </c>
      <c r="K28" s="211">
        <f t="shared" si="1"/>
        <v>0</v>
      </c>
      <c r="L28" s="222">
        <v>0</v>
      </c>
      <c r="M28" s="229">
        <f t="shared" si="26"/>
        <v>0</v>
      </c>
      <c r="N28" s="203">
        <v>0</v>
      </c>
      <c r="O28" s="213">
        <f t="shared" si="2"/>
        <v>0</v>
      </c>
      <c r="P28" s="214">
        <v>0.7</v>
      </c>
      <c r="Q28" s="211">
        <f t="shared" si="3"/>
        <v>271.83278499999994</v>
      </c>
      <c r="R28" s="199">
        <f t="shared" si="4"/>
        <v>3.1123835219603758E-2</v>
      </c>
      <c r="S28" s="205">
        <v>5.8</v>
      </c>
      <c r="T28" s="212">
        <f t="shared" si="5"/>
        <v>2252.32879</v>
      </c>
      <c r="U28" s="206">
        <f t="shared" si="6"/>
        <v>0.25788320610528825</v>
      </c>
      <c r="V28" s="214">
        <v>0.23</v>
      </c>
      <c r="W28" s="211">
        <f t="shared" si="7"/>
        <v>89.316486499999996</v>
      </c>
      <c r="X28" s="206">
        <f t="shared" si="8"/>
        <v>1.022640300072695E-2</v>
      </c>
      <c r="Y28" s="214">
        <v>3.13</v>
      </c>
      <c r="Z28" s="211">
        <f t="shared" si="9"/>
        <v>1215.4808814999999</v>
      </c>
      <c r="AA28" s="206">
        <f t="shared" si="10"/>
        <v>0.1391680060533711</v>
      </c>
      <c r="AB28" s="214">
        <v>0.18</v>
      </c>
      <c r="AC28" s="211">
        <f t="shared" si="11"/>
        <v>69.899858999999992</v>
      </c>
      <c r="AD28" s="206">
        <f t="shared" si="12"/>
        <v>8.0032719136123951E-3</v>
      </c>
      <c r="AE28" s="205">
        <v>0.51</v>
      </c>
      <c r="AF28" s="211">
        <f t="shared" si="13"/>
        <v>198.04960049999997</v>
      </c>
      <c r="AG28" s="199">
        <f t="shared" si="14"/>
        <v>2.2675937088568451E-2</v>
      </c>
      <c r="AH28" s="205">
        <v>5.0999999999999997E-2</v>
      </c>
      <c r="AI28" s="211">
        <f t="shared" si="15"/>
        <v>19.804960049999998</v>
      </c>
      <c r="AJ28" s="206">
        <f t="shared" si="16"/>
        <v>2.2675937088568452E-3</v>
      </c>
      <c r="AK28" s="205">
        <v>0</v>
      </c>
      <c r="AL28" s="215">
        <f t="shared" si="17"/>
        <v>0</v>
      </c>
      <c r="AM28" s="206">
        <f t="shared" si="18"/>
        <v>0</v>
      </c>
      <c r="AN28" s="205">
        <v>0.01</v>
      </c>
      <c r="AO28" s="215">
        <f t="shared" si="19"/>
        <v>3.8833254999999998</v>
      </c>
      <c r="AP28" s="199">
        <f t="shared" si="20"/>
        <v>4.4462621742291083E-4</v>
      </c>
      <c r="AQ28" s="214">
        <v>0</v>
      </c>
      <c r="AR28" s="211">
        <f t="shared" si="21"/>
        <v>0</v>
      </c>
      <c r="AS28" s="209">
        <f t="shared" si="22"/>
        <v>0</v>
      </c>
      <c r="AT28" s="230"/>
    </row>
    <row r="29" spans="1:46" ht="12.75" thickBot="1" x14ac:dyDescent="0.25">
      <c r="A29" s="231"/>
      <c r="B29" s="198">
        <f>SUM(B4:B28)</f>
        <v>955603</v>
      </c>
      <c r="C29" s="206">
        <f>SUM(C4:C28)</f>
        <v>0.99999999999999956</v>
      </c>
      <c r="D29" s="196"/>
      <c r="E29" s="198">
        <f>SUM(E4:E28)</f>
        <v>873391.02999999991</v>
      </c>
      <c r="F29" s="206">
        <f>SUM(F4:F28)</f>
        <v>1</v>
      </c>
      <c r="G29" s="232">
        <f>SUM(G4*F4+G5*F5+G6*F6+G7*F7+G8*F8+G9*F9+G10*F10+G11*F11+G12*F12+G13*F13+G14*F14+G15*F15+G16*F16+G17*F17+G18*F18+G19*F19+G20*F20+G21*F21+G22*F22+G23*F23+G24*F24+G25*F25+G26*F26+G27*F27+G28*F28)</f>
        <v>7.4457231078958994</v>
      </c>
      <c r="H29" s="198">
        <f>SUM(H4:H28)</f>
        <v>808360.75225700007</v>
      </c>
      <c r="I29" s="206">
        <f>SUM(I4:I$28)</f>
        <v>0.99999999999999978</v>
      </c>
      <c r="J29" s="233"/>
      <c r="K29" s="198">
        <f>SUM(K4:K28)</f>
        <v>494269.75650999992</v>
      </c>
      <c r="L29" s="233"/>
      <c r="M29" s="234">
        <f>SUM(M4:M28)</f>
        <v>56.592034899877547</v>
      </c>
      <c r="N29" s="235"/>
      <c r="O29" s="236">
        <f>SUM(O4:O28)</f>
        <v>21.748270268129502</v>
      </c>
      <c r="P29" s="214"/>
      <c r="Q29" s="198">
        <f>SUM(Q4:Q28)</f>
        <v>37956.268974699997</v>
      </c>
      <c r="R29" s="237">
        <f>SUM(R4:R28)</f>
        <v>4.3458505607391009</v>
      </c>
      <c r="S29" s="196"/>
      <c r="T29" s="201">
        <f>SUM(T4:T28)</f>
        <v>50997.250814899999</v>
      </c>
      <c r="U29" s="238">
        <f>SUM(U4:U28)</f>
        <v>5.8389941118241167</v>
      </c>
      <c r="V29" s="196"/>
      <c r="W29" s="198">
        <f>SUM(W4:W28)</f>
        <v>13445.883826699999</v>
      </c>
      <c r="X29" s="238">
        <f>SUM(X4:X28)</f>
        <v>1.5395033112144512</v>
      </c>
      <c r="Y29" s="196"/>
      <c r="Z29" s="198">
        <f>SUM(Z4:Z28)</f>
        <v>14450.669892799999</v>
      </c>
      <c r="AA29" s="237">
        <f>SUM(AA4:AA28)</f>
        <v>1.6545475504597293</v>
      </c>
      <c r="AB29" s="207"/>
      <c r="AC29" s="198">
        <f>SUM(AC4:AC28)</f>
        <v>1908.8593057000003</v>
      </c>
      <c r="AD29" s="238">
        <f>SUM(AD4:AD28)</f>
        <v>0.2185572372663365</v>
      </c>
      <c r="AE29" s="233"/>
      <c r="AF29" s="198">
        <f>SUM(AF4:AF28)</f>
        <v>4142.3556311299999</v>
      </c>
      <c r="AG29" s="238">
        <f>SUM(AG4:AG28)</f>
        <v>0.47428419675091021</v>
      </c>
      <c r="AH29" s="233"/>
      <c r="AI29" s="198">
        <f>SUM(AI4:AI28)</f>
        <v>255.51670417</v>
      </c>
      <c r="AJ29" s="238">
        <f>SUM(AJ4:AJ28)</f>
        <v>2.9255705107253057E-2</v>
      </c>
      <c r="AK29" s="196"/>
      <c r="AL29" s="208">
        <f>SUM(AL4:AL28)</f>
        <v>153.15609889999999</v>
      </c>
      <c r="AM29" s="238">
        <f>SUM(AM4:AM28)</f>
        <v>1.7535799388734279E-2</v>
      </c>
      <c r="AN29" s="196"/>
      <c r="AO29" s="208">
        <f>SUM(AO4:AO28)</f>
        <v>273.58505959000001</v>
      </c>
      <c r="AP29" s="237">
        <f>SUM(AP4:AP28)</f>
        <v>3.1324464093706123E-2</v>
      </c>
      <c r="AQ29" s="207"/>
      <c r="AR29" s="198">
        <f>SUM(AR4:AR28)</f>
        <v>1979.5196983999999</v>
      </c>
      <c r="AS29" s="239">
        <f>SUM(AS13:AS28)</f>
        <v>0.10489657274130695</v>
      </c>
      <c r="AT29" s="240"/>
    </row>
    <row r="30" spans="1:46" x14ac:dyDescent="0.2">
      <c r="A30" s="241"/>
      <c r="B30" s="205"/>
      <c r="C30" s="242"/>
      <c r="D30" s="205"/>
      <c r="E30" s="211"/>
      <c r="F30" s="211"/>
      <c r="G30" s="217"/>
      <c r="H30" s="211"/>
      <c r="I30" s="205"/>
      <c r="J30" s="217"/>
      <c r="K30" s="211"/>
      <c r="L30" s="217"/>
      <c r="M30" s="217"/>
      <c r="N30" s="217"/>
      <c r="O30" s="217"/>
      <c r="P30" s="214"/>
      <c r="Q30" s="211"/>
      <c r="R30" s="217"/>
      <c r="S30" s="205"/>
      <c r="T30" s="211"/>
      <c r="U30" s="217"/>
      <c r="V30" s="205"/>
      <c r="W30" s="211"/>
      <c r="X30" s="211"/>
      <c r="Y30" s="205"/>
      <c r="Z30" s="211"/>
      <c r="AA30" s="211"/>
      <c r="AB30" s="214"/>
      <c r="AC30" s="211"/>
      <c r="AD30" s="211"/>
      <c r="AE30" s="217"/>
      <c r="AF30" s="211"/>
      <c r="AG30" s="211"/>
      <c r="AH30" s="217"/>
      <c r="AI30" s="211"/>
      <c r="AJ30" s="243"/>
      <c r="AK30" s="205"/>
      <c r="AL30" s="215"/>
      <c r="AM30" s="243"/>
      <c r="AN30" s="205"/>
      <c r="AO30" s="215"/>
      <c r="AP30" s="243"/>
      <c r="AQ30" s="214"/>
      <c r="AR30" s="211"/>
      <c r="AS30" s="209"/>
    </row>
    <row r="31" spans="1:46" x14ac:dyDescent="0.2">
      <c r="A31" s="210" t="s">
        <v>98</v>
      </c>
      <c r="B31" s="205">
        <v>456</v>
      </c>
      <c r="C31" s="205"/>
      <c r="D31" s="205">
        <v>0</v>
      </c>
      <c r="E31" s="211">
        <f>B31*(100-D31)*(100-L31)/10000</f>
        <v>456</v>
      </c>
      <c r="F31" s="211"/>
      <c r="G31" s="205">
        <v>46</v>
      </c>
      <c r="H31" s="211">
        <f>E31*(100-G31)/100</f>
        <v>246.24</v>
      </c>
      <c r="I31" s="205"/>
      <c r="J31" s="205">
        <v>0</v>
      </c>
      <c r="K31" s="211">
        <f>E31*J31/100</f>
        <v>0</v>
      </c>
      <c r="L31" s="205">
        <v>0</v>
      </c>
      <c r="M31" s="205"/>
      <c r="N31" s="205">
        <v>0</v>
      </c>
      <c r="O31" s="205"/>
      <c r="P31" s="214">
        <v>34.299999999999997</v>
      </c>
      <c r="Q31" s="211">
        <f>E31*P31/100</f>
        <v>156.40799999999999</v>
      </c>
      <c r="R31" s="205"/>
      <c r="S31" s="205">
        <v>0.33</v>
      </c>
      <c r="T31" s="211">
        <f>E31*S31/100</f>
        <v>1.5048000000000001</v>
      </c>
      <c r="U31" s="205"/>
      <c r="V31" s="205">
        <v>18.5</v>
      </c>
      <c r="W31" s="211">
        <f>E31*V31/100</f>
        <v>84.36</v>
      </c>
      <c r="X31" s="211"/>
      <c r="Y31" s="205">
        <v>0.04</v>
      </c>
      <c r="Z31" s="211">
        <f>E31*Y31/100</f>
        <v>0.18240000000000001</v>
      </c>
      <c r="AA31" s="211"/>
      <c r="AB31" s="214">
        <v>0</v>
      </c>
      <c r="AC31" s="211">
        <f>E31*AB31/100</f>
        <v>0</v>
      </c>
      <c r="AD31" s="211"/>
      <c r="AE31" s="205">
        <v>0</v>
      </c>
      <c r="AF31" s="211">
        <f>E31*AE31/100</f>
        <v>0</v>
      </c>
      <c r="AG31" s="211"/>
      <c r="AH31" s="205">
        <v>0</v>
      </c>
      <c r="AI31" s="211">
        <f>E31*AH31/100</f>
        <v>0</v>
      </c>
      <c r="AJ31" s="243"/>
      <c r="AK31" s="205">
        <v>0</v>
      </c>
      <c r="AL31" s="215">
        <f>E31*AK31/100</f>
        <v>0</v>
      </c>
      <c r="AM31" s="243"/>
      <c r="AN31" s="205">
        <v>0</v>
      </c>
      <c r="AO31" s="215">
        <f>E31*AN31/100</f>
        <v>0</v>
      </c>
      <c r="AP31" s="243"/>
      <c r="AQ31" s="214">
        <v>0</v>
      </c>
      <c r="AR31" s="211">
        <f>E31*AQ31/100</f>
        <v>0</v>
      </c>
      <c r="AS31" s="209"/>
    </row>
    <row r="32" spans="1:46" ht="12.75" thickBot="1" x14ac:dyDescent="0.25">
      <c r="A32" s="244" t="s">
        <v>196</v>
      </c>
      <c r="B32" s="245">
        <v>87500</v>
      </c>
      <c r="C32" s="246"/>
      <c r="D32" s="246">
        <v>0</v>
      </c>
      <c r="E32" s="228">
        <f>B32*(100-D32)*(100-L32)/10000</f>
        <v>87500</v>
      </c>
      <c r="F32" s="228"/>
      <c r="G32" s="246">
        <v>44</v>
      </c>
      <c r="H32" s="228">
        <f>E32*(100-G32)/100</f>
        <v>49000</v>
      </c>
      <c r="I32" s="205"/>
      <c r="J32" s="246">
        <v>0</v>
      </c>
      <c r="K32" s="228">
        <f>E32*J32/100</f>
        <v>0</v>
      </c>
      <c r="L32" s="246">
        <v>0</v>
      </c>
      <c r="M32" s="246"/>
      <c r="N32" s="246">
        <v>0</v>
      </c>
      <c r="O32" s="246"/>
      <c r="P32" s="247">
        <v>51</v>
      </c>
      <c r="Q32" s="228">
        <f>E32*P32/100</f>
        <v>44625</v>
      </c>
      <c r="R32" s="217"/>
      <c r="S32" s="246">
        <v>0.2</v>
      </c>
      <c r="T32" s="228">
        <f>E32*S32/100</f>
        <v>175</v>
      </c>
      <c r="U32" s="217"/>
      <c r="V32" s="247">
        <v>4.3</v>
      </c>
      <c r="W32" s="228">
        <f>E32*V32/100</f>
        <v>3762.5</v>
      </c>
      <c r="X32" s="228"/>
      <c r="Y32" s="246">
        <v>0.01</v>
      </c>
      <c r="Z32" s="228">
        <f>E32*Y32/100</f>
        <v>8.75</v>
      </c>
      <c r="AA32" s="228"/>
      <c r="AB32" s="247">
        <v>0</v>
      </c>
      <c r="AC32" s="228">
        <f>E32*AB32/100</f>
        <v>0</v>
      </c>
      <c r="AD32" s="228"/>
      <c r="AE32" s="246">
        <v>0</v>
      </c>
      <c r="AF32" s="228">
        <f>E32*AE32/100</f>
        <v>0</v>
      </c>
      <c r="AG32" s="228"/>
      <c r="AH32" s="246">
        <v>0</v>
      </c>
      <c r="AI32" s="228">
        <f>E32*AH32/100</f>
        <v>0</v>
      </c>
      <c r="AJ32" s="248"/>
      <c r="AK32" s="246">
        <v>0</v>
      </c>
      <c r="AL32" s="249">
        <f>E32*AK32/100</f>
        <v>0</v>
      </c>
      <c r="AM32" s="248"/>
      <c r="AN32" s="246">
        <v>0</v>
      </c>
      <c r="AO32" s="249">
        <f>E32*AN32/100</f>
        <v>0</v>
      </c>
      <c r="AP32" s="248"/>
      <c r="AQ32" s="247">
        <v>0</v>
      </c>
      <c r="AR32" s="228">
        <f>E32*AQ32/100</f>
        <v>0</v>
      </c>
      <c r="AS32" s="209"/>
    </row>
    <row r="33" spans="1:46" x14ac:dyDescent="0.2">
      <c r="A33" s="250"/>
      <c r="B33" s="211"/>
      <c r="C33" s="211"/>
      <c r="D33" s="205"/>
      <c r="E33" s="205"/>
      <c r="F33" s="205"/>
      <c r="G33" s="217"/>
      <c r="H33" s="211"/>
      <c r="I33" s="251"/>
      <c r="J33" s="217"/>
      <c r="K33" s="211"/>
      <c r="L33" s="217"/>
      <c r="M33" s="217"/>
      <c r="N33" s="252"/>
      <c r="O33" s="252"/>
      <c r="P33" s="205"/>
      <c r="Q33" s="211"/>
      <c r="R33" s="211"/>
      <c r="S33" s="205"/>
      <c r="T33" s="211"/>
      <c r="U33" s="211"/>
      <c r="V33" s="205"/>
      <c r="W33" s="211"/>
      <c r="X33" s="211"/>
      <c r="Y33" s="205"/>
      <c r="Z33" s="211"/>
      <c r="AA33" s="211"/>
      <c r="AB33" s="205"/>
      <c r="AC33" s="211"/>
      <c r="AD33" s="211"/>
      <c r="AE33" s="217"/>
      <c r="AF33" s="211"/>
      <c r="AG33" s="211"/>
      <c r="AH33" s="217"/>
      <c r="AI33" s="211"/>
      <c r="AJ33" s="243"/>
      <c r="AK33" s="205"/>
      <c r="AL33" s="211"/>
      <c r="AM33" s="243"/>
      <c r="AN33" s="205"/>
      <c r="AO33" s="211"/>
      <c r="AP33" s="211"/>
      <c r="AQ33" s="205"/>
      <c r="AR33" s="211"/>
      <c r="AS33" s="253"/>
    </row>
    <row r="34" spans="1:46" ht="15" x14ac:dyDescent="0.25">
      <c r="A34" s="254" t="s">
        <v>341</v>
      </c>
      <c r="B34" s="255"/>
      <c r="C34" s="255">
        <v>1.4</v>
      </c>
      <c r="F34" s="255"/>
      <c r="G34" s="255" t="s">
        <v>342</v>
      </c>
      <c r="H34" s="255"/>
      <c r="I34" s="256"/>
      <c r="J34" s="214"/>
      <c r="K34" s="205"/>
      <c r="L34" s="217"/>
      <c r="M34" s="217"/>
      <c r="N34" s="217"/>
      <c r="O34" s="217"/>
      <c r="P34" s="217"/>
      <c r="Q34" s="205"/>
      <c r="R34" s="211"/>
      <c r="S34" s="211"/>
      <c r="T34" s="214"/>
      <c r="U34" s="205"/>
      <c r="V34" s="205"/>
      <c r="W34" s="214"/>
      <c r="X34" s="205"/>
      <c r="Y34" s="205"/>
      <c r="Z34" s="214"/>
      <c r="AA34" s="211"/>
      <c r="AB34" s="211"/>
      <c r="AC34" s="214"/>
      <c r="AD34" s="211"/>
      <c r="AE34" s="211"/>
      <c r="AF34" s="205"/>
      <c r="AG34" s="211"/>
      <c r="AH34" s="211"/>
      <c r="AI34" s="205"/>
      <c r="AJ34" s="211"/>
      <c r="AK34" s="211"/>
      <c r="AL34" s="257"/>
      <c r="AM34" s="211"/>
      <c r="AN34" s="211"/>
      <c r="AO34" s="257"/>
      <c r="AP34" s="211"/>
      <c r="AQ34" s="211"/>
      <c r="AR34" s="214"/>
      <c r="AS34" s="211"/>
      <c r="AT34" s="253"/>
    </row>
    <row r="35" spans="1:46" ht="15" x14ac:dyDescent="0.25">
      <c r="A35" s="258" t="s">
        <v>343</v>
      </c>
      <c r="B35" s="258"/>
      <c r="C35" s="259">
        <v>12.7</v>
      </c>
      <c r="D35" s="256"/>
      <c r="E35" s="260"/>
      <c r="F35" s="261" t="s">
        <v>344</v>
      </c>
      <c r="G35" s="261"/>
      <c r="H35" s="211"/>
      <c r="I35" s="211"/>
      <c r="J35" s="262">
        <f>N76/P76</f>
        <v>1.3999999999999997</v>
      </c>
      <c r="K35" s="256"/>
      <c r="L35" s="263"/>
      <c r="M35" s="263"/>
      <c r="N35" s="263"/>
      <c r="O35" s="263"/>
      <c r="P35" s="263"/>
      <c r="Q35" s="263"/>
      <c r="R35" s="256"/>
      <c r="S35" s="256"/>
      <c r="T35" s="211"/>
      <c r="U35" s="256"/>
      <c r="V35" s="256"/>
      <c r="W35" s="256"/>
      <c r="X35" s="256"/>
      <c r="Y35" s="256"/>
      <c r="Z35" s="263"/>
      <c r="AA35" s="256"/>
      <c r="AB35" s="256"/>
      <c r="AC35" s="263"/>
      <c r="AD35" s="256"/>
      <c r="AE35" s="211"/>
      <c r="AF35" s="256"/>
      <c r="AG35" s="256"/>
      <c r="AH35" s="211"/>
      <c r="AI35" s="263"/>
      <c r="AJ35" s="256"/>
      <c r="AK35" s="211"/>
      <c r="AL35" s="256"/>
      <c r="AM35" s="256"/>
      <c r="AN35" s="205"/>
      <c r="AO35" s="256"/>
      <c r="AP35" s="256"/>
      <c r="AQ35" s="256"/>
      <c r="AR35" s="263"/>
      <c r="AS35" s="256"/>
      <c r="AT35" s="219"/>
    </row>
    <row r="36" spans="1:46" ht="15" x14ac:dyDescent="0.25">
      <c r="A36" s="264" t="s">
        <v>345</v>
      </c>
      <c r="B36" s="265"/>
      <c r="C36" s="266">
        <f>B31/B29*100</f>
        <v>4.7718560950520246E-2</v>
      </c>
      <c r="D36" s="205"/>
      <c r="E36" s="211"/>
      <c r="F36" s="267" t="s">
        <v>346</v>
      </c>
      <c r="G36" s="267"/>
      <c r="H36" s="267"/>
      <c r="I36" s="211"/>
      <c r="J36" s="262">
        <f>N78/P78</f>
        <v>1.3862745098039211</v>
      </c>
      <c r="K36" s="211"/>
      <c r="L36" s="217"/>
      <c r="M36" s="217"/>
      <c r="N36" s="217"/>
      <c r="O36" s="217"/>
      <c r="P36" s="217"/>
      <c r="Q36" s="214"/>
      <c r="R36" s="211"/>
      <c r="S36" s="211"/>
      <c r="T36" s="205"/>
      <c r="U36" s="211"/>
      <c r="V36" s="211"/>
      <c r="W36" s="205"/>
      <c r="X36" s="211"/>
      <c r="Y36" s="211"/>
      <c r="Z36" s="205"/>
      <c r="AA36" s="211"/>
      <c r="AB36" s="211"/>
      <c r="AC36" s="214"/>
      <c r="AD36" s="211"/>
      <c r="AE36" s="211"/>
      <c r="AF36" s="217"/>
      <c r="AG36" s="211"/>
      <c r="AH36" s="211"/>
      <c r="AI36" s="217"/>
      <c r="AJ36" s="211"/>
      <c r="AK36" s="256"/>
      <c r="AL36" s="205"/>
      <c r="AM36" s="211"/>
      <c r="AN36" s="205"/>
      <c r="AO36" s="205"/>
      <c r="AP36" s="205"/>
      <c r="AQ36" s="205"/>
      <c r="AR36" s="214"/>
      <c r="AS36" s="211"/>
      <c r="AT36" s="268"/>
    </row>
    <row r="37" spans="1:46" ht="15.75" x14ac:dyDescent="0.3">
      <c r="A37" s="269" t="s">
        <v>347</v>
      </c>
      <c r="B37" s="270"/>
      <c r="C37" s="270"/>
      <c r="D37" s="270"/>
      <c r="E37" s="230"/>
      <c r="F37" s="230" t="s">
        <v>348</v>
      </c>
      <c r="G37" s="230"/>
      <c r="H37" s="211"/>
      <c r="I37" s="211"/>
      <c r="J37" s="262">
        <f>N79/P79</f>
        <v>1.5993431855500821</v>
      </c>
      <c r="K37" s="211"/>
      <c r="L37" s="217"/>
      <c r="M37" s="217"/>
      <c r="N37" s="217"/>
      <c r="O37" s="217"/>
      <c r="P37" s="217"/>
      <c r="Q37" s="214"/>
      <c r="R37" s="211"/>
      <c r="S37" s="211"/>
      <c r="T37" s="205"/>
      <c r="U37" s="211"/>
      <c r="V37" s="211"/>
      <c r="W37" s="205"/>
      <c r="X37" s="211"/>
      <c r="Y37" s="211"/>
      <c r="Z37" s="205"/>
      <c r="AA37" s="211"/>
      <c r="AB37" s="211"/>
      <c r="AC37" s="214"/>
      <c r="AD37" s="211"/>
      <c r="AE37" s="211"/>
      <c r="AF37" s="217"/>
      <c r="AG37" s="211"/>
      <c r="AH37" s="211"/>
      <c r="AI37" s="217"/>
      <c r="AJ37" s="211"/>
      <c r="AK37" s="211"/>
      <c r="AL37" s="205"/>
      <c r="AM37" s="211"/>
      <c r="AN37" s="205"/>
      <c r="AO37" s="205"/>
      <c r="AP37" s="205"/>
      <c r="AQ37" s="205"/>
      <c r="AR37" s="214"/>
      <c r="AS37" s="211"/>
      <c r="AT37" s="268"/>
    </row>
    <row r="38" spans="1:46" ht="12.75" x14ac:dyDescent="0.2">
      <c r="A38" s="271" t="s">
        <v>349</v>
      </c>
      <c r="B38" s="272"/>
      <c r="C38" s="270"/>
      <c r="D38" s="270"/>
      <c r="E38" s="230"/>
      <c r="F38" s="230"/>
      <c r="G38" s="230"/>
      <c r="H38" s="211"/>
      <c r="I38" s="211"/>
      <c r="J38" s="273"/>
      <c r="K38" s="211"/>
      <c r="L38" s="217"/>
      <c r="M38" s="217"/>
      <c r="N38" s="217"/>
      <c r="O38" s="217"/>
      <c r="P38" s="217"/>
      <c r="Q38" s="214"/>
      <c r="R38" s="211"/>
      <c r="S38" s="211"/>
      <c r="T38" s="205"/>
      <c r="U38" s="211"/>
      <c r="V38" s="211"/>
      <c r="W38" s="205"/>
      <c r="X38" s="211"/>
      <c r="Y38" s="211"/>
      <c r="Z38" s="205"/>
      <c r="AA38" s="211"/>
      <c r="AB38" s="211"/>
      <c r="AC38" s="214"/>
      <c r="AD38" s="211"/>
      <c r="AE38" s="211"/>
      <c r="AF38" s="217"/>
      <c r="AG38" s="211"/>
      <c r="AH38" s="211"/>
      <c r="AI38" s="217"/>
      <c r="AJ38" s="211"/>
      <c r="AK38" s="211"/>
      <c r="AL38" s="205"/>
      <c r="AM38" s="211"/>
      <c r="AN38" s="205"/>
      <c r="AO38" s="205"/>
      <c r="AP38" s="205"/>
      <c r="AQ38" s="205"/>
      <c r="AR38" s="214"/>
      <c r="AS38" s="211"/>
      <c r="AT38" s="268"/>
    </row>
    <row r="39" spans="1:46" ht="12.75" x14ac:dyDescent="0.2">
      <c r="A39" s="274" t="s">
        <v>350</v>
      </c>
      <c r="B39" s="240">
        <f>0.9*AG29*0.01+0.01*G29</f>
        <v>7.8725788849717176E-2</v>
      </c>
      <c r="C39" s="230"/>
      <c r="D39" s="230"/>
      <c r="E39" s="230"/>
      <c r="F39" s="230"/>
      <c r="G39" s="230"/>
      <c r="H39" s="211"/>
      <c r="I39" s="211"/>
      <c r="J39" s="273"/>
      <c r="K39" s="211"/>
      <c r="L39" s="217"/>
      <c r="M39" s="217"/>
      <c r="N39" s="217"/>
      <c r="O39" s="217"/>
      <c r="P39" s="217"/>
      <c r="Q39" s="214"/>
      <c r="R39" s="211"/>
      <c r="S39" s="211"/>
      <c r="T39" s="205"/>
      <c r="U39" s="211"/>
      <c r="V39" s="211"/>
      <c r="W39" s="205"/>
      <c r="X39" s="211"/>
      <c r="Y39" s="211"/>
      <c r="Z39" s="205"/>
      <c r="AA39" s="211"/>
      <c r="AB39" s="211"/>
      <c r="AC39" s="214"/>
      <c r="AD39" s="211"/>
      <c r="AE39" s="211"/>
      <c r="AF39" s="217"/>
      <c r="AG39" s="211"/>
      <c r="AH39" s="211"/>
      <c r="AI39" s="217"/>
      <c r="AJ39" s="211"/>
      <c r="AK39" s="211"/>
      <c r="AL39" s="205"/>
      <c r="AM39" s="211"/>
      <c r="AN39" s="205"/>
      <c r="AO39" s="205"/>
      <c r="AP39" s="205"/>
      <c r="AQ39" s="205"/>
      <c r="AR39" s="214"/>
      <c r="AS39" s="211"/>
      <c r="AT39" s="268"/>
    </row>
    <row r="40" spans="1:46" ht="12.75" x14ac:dyDescent="0.2">
      <c r="A40" s="274" t="s">
        <v>92</v>
      </c>
      <c r="B40" s="275">
        <f>G32*0.01</f>
        <v>0.44</v>
      </c>
      <c r="C40" s="230"/>
      <c r="D40" s="230"/>
      <c r="E40" s="230"/>
      <c r="F40" s="211"/>
      <c r="G40" s="217"/>
      <c r="H40" s="211"/>
      <c r="I40" s="211"/>
      <c r="J40" s="217"/>
      <c r="K40" s="211"/>
      <c r="L40" s="217"/>
      <c r="M40" s="217"/>
      <c r="N40" s="217"/>
      <c r="O40" s="217"/>
      <c r="P40" s="217"/>
      <c r="Q40" s="214"/>
      <c r="R40" s="211"/>
      <c r="S40" s="211"/>
      <c r="T40" s="205"/>
      <c r="U40" s="211"/>
      <c r="V40" s="211"/>
      <c r="W40" s="205"/>
      <c r="X40" s="211"/>
      <c r="Y40" s="211"/>
      <c r="Z40" s="205"/>
      <c r="AA40" s="211"/>
      <c r="AB40" s="211"/>
      <c r="AC40" s="214"/>
      <c r="AD40" s="211"/>
      <c r="AE40" s="211"/>
      <c r="AF40" s="217"/>
      <c r="AG40" s="211"/>
      <c r="AH40" s="211"/>
      <c r="AI40" s="217"/>
      <c r="AJ40" s="211"/>
      <c r="AK40" s="211"/>
      <c r="AL40" s="205"/>
      <c r="AM40" s="211"/>
      <c r="AN40" s="205"/>
      <c r="AO40" s="205"/>
      <c r="AP40" s="205"/>
      <c r="AQ40" s="205"/>
      <c r="AR40" s="214"/>
      <c r="AS40" s="211"/>
      <c r="AT40" s="268"/>
    </row>
    <row r="41" spans="1:46" ht="12.75" x14ac:dyDescent="0.2">
      <c r="A41" s="274" t="s">
        <v>351</v>
      </c>
      <c r="B41" s="275">
        <f>0.01*G31</f>
        <v>0.46</v>
      </c>
      <c r="C41" s="230"/>
      <c r="D41" s="230"/>
      <c r="E41" s="230"/>
      <c r="F41" s="211"/>
      <c r="G41" s="217"/>
      <c r="H41" s="211"/>
      <c r="I41" s="211"/>
      <c r="J41" s="217"/>
      <c r="K41" s="211"/>
      <c r="L41" s="217"/>
      <c r="M41" s="217"/>
      <c r="N41" s="217"/>
      <c r="O41" s="217"/>
      <c r="P41" s="217"/>
      <c r="Q41" s="214"/>
      <c r="R41" s="211"/>
      <c r="S41" s="211"/>
      <c r="T41" s="205"/>
      <c r="U41" s="211"/>
      <c r="V41" s="211"/>
      <c r="W41" s="205"/>
      <c r="X41" s="211"/>
      <c r="Y41" s="211"/>
      <c r="Z41" s="205"/>
      <c r="AA41" s="211"/>
      <c r="AB41" s="211"/>
      <c r="AC41" s="214"/>
      <c r="AD41" s="211"/>
      <c r="AE41" s="211"/>
      <c r="AF41" s="217"/>
      <c r="AG41" s="211"/>
      <c r="AH41" s="211"/>
      <c r="AI41" s="217"/>
      <c r="AJ41" s="211"/>
      <c r="AK41" s="211"/>
      <c r="AL41" s="205"/>
      <c r="AM41" s="211"/>
      <c r="AN41" s="205"/>
      <c r="AO41" s="205"/>
      <c r="AP41" s="205"/>
      <c r="AQ41" s="205"/>
      <c r="AR41" s="214"/>
      <c r="AS41" s="211"/>
      <c r="AT41" s="268"/>
    </row>
    <row r="42" spans="1:46" ht="12.75" x14ac:dyDescent="0.2">
      <c r="A42" s="274"/>
      <c r="C42" s="230"/>
      <c r="D42" s="230"/>
      <c r="E42" s="230"/>
      <c r="F42" s="211"/>
      <c r="G42" s="217"/>
      <c r="H42" s="211"/>
      <c r="I42" s="211"/>
      <c r="J42" s="217"/>
      <c r="K42" s="211"/>
      <c r="L42" s="217"/>
      <c r="M42" s="217"/>
      <c r="N42" s="217"/>
      <c r="O42" s="217"/>
      <c r="P42" s="217"/>
      <c r="Q42" s="214"/>
      <c r="R42" s="211"/>
      <c r="S42" s="211"/>
      <c r="T42" s="205"/>
      <c r="U42" s="211"/>
      <c r="V42" s="211"/>
      <c r="W42" s="205"/>
      <c r="X42" s="211"/>
      <c r="Y42" s="211"/>
      <c r="Z42" s="205"/>
      <c r="AA42" s="211"/>
      <c r="AB42" s="211"/>
      <c r="AC42" s="214"/>
      <c r="AD42" s="211"/>
      <c r="AE42" s="211"/>
      <c r="AF42" s="217"/>
      <c r="AG42" s="211"/>
      <c r="AH42" s="211"/>
      <c r="AI42" s="217"/>
      <c r="AJ42" s="211"/>
      <c r="AK42" s="211"/>
      <c r="AL42" s="205"/>
      <c r="AM42" s="256"/>
      <c r="AN42" s="205"/>
      <c r="AO42" s="205"/>
      <c r="AP42" s="205"/>
      <c r="AQ42" s="205"/>
      <c r="AR42" s="214"/>
      <c r="AS42" s="211"/>
      <c r="AT42" s="268"/>
    </row>
    <row r="43" spans="1:46" x14ac:dyDescent="0.2">
      <c r="A43" s="230" t="s">
        <v>352</v>
      </c>
      <c r="B43" s="240">
        <f>B39</f>
        <v>7.8725788849717176E-2</v>
      </c>
      <c r="C43" s="230"/>
      <c r="D43" s="230"/>
      <c r="E43" s="230"/>
      <c r="F43" s="211"/>
      <c r="G43" s="217"/>
      <c r="H43" s="211"/>
      <c r="I43" s="211"/>
      <c r="J43" s="217"/>
      <c r="K43" s="211"/>
      <c r="L43" s="217"/>
      <c r="M43" s="217"/>
      <c r="N43" s="217"/>
      <c r="O43" s="217"/>
      <c r="P43" s="217"/>
      <c r="Q43" s="214"/>
      <c r="R43" s="211"/>
      <c r="S43" s="211"/>
      <c r="T43" s="205"/>
      <c r="U43" s="211"/>
      <c r="V43" s="211"/>
      <c r="W43" s="205"/>
      <c r="X43" s="211"/>
      <c r="Y43" s="211"/>
      <c r="Z43" s="205"/>
      <c r="AA43" s="211"/>
      <c r="AB43" s="211"/>
      <c r="AC43" s="214"/>
      <c r="AD43" s="211"/>
      <c r="AE43" s="211"/>
      <c r="AF43" s="217"/>
      <c r="AG43" s="211"/>
      <c r="AH43" s="211"/>
      <c r="AI43" s="217"/>
      <c r="AJ43" s="211"/>
      <c r="AK43" s="211"/>
      <c r="AL43" s="205"/>
      <c r="AM43" s="211"/>
      <c r="AN43" s="205"/>
      <c r="AO43" s="205"/>
      <c r="AP43" s="205"/>
      <c r="AQ43" s="205"/>
      <c r="AR43" s="214"/>
      <c r="AS43" s="211"/>
      <c r="AT43" s="268"/>
    </row>
    <row r="44" spans="1:46" x14ac:dyDescent="0.2">
      <c r="A44" s="230" t="s">
        <v>353</v>
      </c>
      <c r="B44" s="170">
        <f>B40</f>
        <v>0.44</v>
      </c>
      <c r="C44" s="230"/>
      <c r="D44" s="230"/>
      <c r="E44" s="230"/>
      <c r="F44" s="211"/>
      <c r="G44" s="217"/>
      <c r="H44" s="211"/>
      <c r="I44" s="211"/>
      <c r="J44" s="217"/>
      <c r="K44" s="211"/>
      <c r="L44" s="217"/>
      <c r="M44" s="217"/>
      <c r="N44" s="217"/>
      <c r="O44" s="217"/>
      <c r="P44" s="217"/>
      <c r="Q44" s="214"/>
      <c r="R44" s="211"/>
      <c r="S44" s="211"/>
      <c r="T44" s="205"/>
      <c r="U44" s="211"/>
      <c r="V44" s="211"/>
      <c r="W44" s="205"/>
      <c r="X44" s="211"/>
      <c r="Y44" s="211"/>
      <c r="Z44" s="205"/>
      <c r="AA44" s="211"/>
      <c r="AB44" s="211"/>
      <c r="AC44" s="214"/>
      <c r="AD44" s="211"/>
      <c r="AE44" s="211"/>
      <c r="AF44" s="217"/>
      <c r="AG44" s="211"/>
      <c r="AH44" s="211"/>
      <c r="AI44" s="217"/>
      <c r="AJ44" s="211"/>
      <c r="AK44" s="256"/>
      <c r="AL44" s="205"/>
      <c r="AM44" s="211"/>
      <c r="AN44" s="205"/>
      <c r="AO44" s="205"/>
      <c r="AP44" s="205"/>
      <c r="AQ44" s="205"/>
      <c r="AR44" s="214"/>
      <c r="AS44" s="211"/>
      <c r="AT44" s="268"/>
    </row>
    <row r="45" spans="1:46" x14ac:dyDescent="0.2">
      <c r="A45" s="230" t="s">
        <v>354</v>
      </c>
      <c r="B45" s="276">
        <f>C36*B41</f>
        <v>2.1950538037239314E-2</v>
      </c>
      <c r="C45" s="230"/>
      <c r="D45" s="230"/>
      <c r="E45" s="230"/>
      <c r="F45" s="211"/>
      <c r="G45" s="217"/>
      <c r="H45" s="211"/>
      <c r="I45" s="211"/>
      <c r="J45" s="217"/>
      <c r="K45" s="211"/>
      <c r="L45" s="217"/>
      <c r="M45" s="217"/>
      <c r="N45" s="217"/>
      <c r="O45" s="217"/>
      <c r="P45" s="217"/>
      <c r="Q45" s="214"/>
      <c r="R45" s="211"/>
      <c r="S45" s="211"/>
      <c r="T45" s="205"/>
      <c r="U45" s="211"/>
      <c r="V45" s="211"/>
      <c r="W45" s="205"/>
      <c r="X45" s="211"/>
      <c r="Y45" s="211"/>
      <c r="Z45" s="205"/>
      <c r="AA45" s="211"/>
      <c r="AB45" s="211"/>
      <c r="AC45" s="214"/>
      <c r="AD45" s="211"/>
      <c r="AE45" s="211"/>
      <c r="AF45" s="217"/>
      <c r="AG45" s="211"/>
      <c r="AH45" s="211"/>
      <c r="AI45" s="217"/>
      <c r="AJ45" s="211"/>
      <c r="AK45" s="211"/>
      <c r="AL45" s="205"/>
      <c r="AM45" s="211"/>
      <c r="AN45" s="205"/>
      <c r="AO45" s="205"/>
      <c r="AP45" s="205"/>
      <c r="AQ45" s="205"/>
      <c r="AR45" s="214"/>
      <c r="AS45" s="211"/>
      <c r="AT45" s="268"/>
    </row>
    <row r="46" spans="1:46" x14ac:dyDescent="0.2">
      <c r="A46" s="230"/>
      <c r="C46" s="230"/>
      <c r="D46" s="230"/>
      <c r="E46" s="230"/>
      <c r="F46" s="211"/>
      <c r="G46" s="217"/>
      <c r="H46" s="211"/>
      <c r="I46" s="211"/>
      <c r="J46" s="217"/>
      <c r="K46" s="211"/>
      <c r="L46" s="217"/>
      <c r="M46" s="217"/>
      <c r="N46" s="217"/>
      <c r="O46" s="217"/>
      <c r="P46" s="217"/>
      <c r="Q46" s="214"/>
      <c r="R46" s="211"/>
      <c r="S46" s="211"/>
      <c r="T46" s="205"/>
      <c r="U46" s="211"/>
      <c r="V46" s="211"/>
      <c r="W46" s="205"/>
      <c r="X46" s="211"/>
      <c r="Y46" s="211"/>
      <c r="Z46" s="205"/>
      <c r="AA46" s="211"/>
      <c r="AB46" s="211"/>
      <c r="AC46" s="214"/>
      <c r="AD46" s="211"/>
      <c r="AE46" s="211"/>
      <c r="AF46" s="217"/>
      <c r="AG46" s="211"/>
      <c r="AH46" s="211"/>
      <c r="AI46" s="217"/>
      <c r="AJ46" s="211"/>
      <c r="AK46" s="211"/>
      <c r="AL46" s="205"/>
      <c r="AM46" s="211"/>
      <c r="AN46" s="205"/>
      <c r="AO46" s="205"/>
      <c r="AP46" s="205"/>
      <c r="AQ46" s="205"/>
      <c r="AR46" s="214"/>
      <c r="AS46" s="211"/>
      <c r="AT46" s="268"/>
    </row>
    <row r="47" spans="1:46" ht="14.25" x14ac:dyDescent="0.25">
      <c r="A47" s="277" t="s">
        <v>393</v>
      </c>
      <c r="C47" s="230"/>
      <c r="D47" s="230"/>
      <c r="E47" s="230"/>
      <c r="F47" s="211"/>
      <c r="G47" s="217"/>
      <c r="H47" s="211"/>
      <c r="I47" s="211"/>
      <c r="J47" s="217"/>
      <c r="K47" s="211"/>
      <c r="L47" s="217"/>
      <c r="M47" s="217"/>
      <c r="N47" s="217"/>
      <c r="O47" s="217"/>
      <c r="P47" s="217"/>
      <c r="Q47" s="214"/>
      <c r="R47" s="211"/>
      <c r="S47" s="211"/>
      <c r="T47" s="205"/>
      <c r="U47" s="211"/>
      <c r="V47" s="211"/>
      <c r="W47" s="205"/>
      <c r="X47" s="211"/>
      <c r="Y47" s="211"/>
      <c r="Z47" s="205"/>
      <c r="AA47" s="211"/>
      <c r="AB47" s="211"/>
      <c r="AC47" s="214"/>
      <c r="AD47" s="211"/>
      <c r="AE47" s="211"/>
      <c r="AF47" s="217"/>
      <c r="AG47" s="211"/>
      <c r="AH47" s="211"/>
      <c r="AI47" s="217"/>
      <c r="AJ47" s="211"/>
      <c r="AK47" s="211"/>
      <c r="AL47" s="205"/>
      <c r="AM47" s="211"/>
      <c r="AN47" s="205"/>
      <c r="AO47" s="205"/>
      <c r="AP47" s="205"/>
      <c r="AQ47" s="205"/>
      <c r="AR47" s="214"/>
      <c r="AS47" s="211"/>
      <c r="AT47" s="268"/>
    </row>
    <row r="48" spans="1:46" ht="12.75" x14ac:dyDescent="0.2">
      <c r="A48" s="271"/>
      <c r="C48" s="230"/>
      <c r="D48" s="230"/>
      <c r="E48" s="230"/>
      <c r="F48" s="211"/>
      <c r="G48" s="217"/>
      <c r="H48" s="211"/>
      <c r="I48" s="256"/>
      <c r="J48" s="217"/>
      <c r="K48" s="211"/>
      <c r="L48" s="217"/>
      <c r="M48" s="217"/>
      <c r="N48" s="217"/>
      <c r="O48" s="217"/>
      <c r="P48" s="217"/>
      <c r="Q48" s="214"/>
      <c r="R48" s="211"/>
      <c r="S48" s="211"/>
      <c r="T48" s="205"/>
      <c r="U48" s="211"/>
      <c r="V48" s="211"/>
      <c r="W48" s="205"/>
      <c r="X48" s="211"/>
      <c r="Y48" s="211"/>
      <c r="Z48" s="205"/>
      <c r="AA48" s="211"/>
      <c r="AB48" s="211"/>
      <c r="AC48" s="214"/>
      <c r="AD48" s="211"/>
      <c r="AE48" s="211"/>
      <c r="AF48" s="217"/>
      <c r="AG48" s="211"/>
      <c r="AH48" s="211"/>
      <c r="AI48" s="217"/>
      <c r="AJ48" s="211"/>
      <c r="AK48" s="211"/>
      <c r="AL48" s="205"/>
      <c r="AM48" s="211"/>
      <c r="AN48" s="205"/>
      <c r="AO48" s="205"/>
      <c r="AP48" s="205"/>
      <c r="AQ48" s="205"/>
      <c r="AR48" s="214"/>
      <c r="AS48" s="211"/>
      <c r="AT48" s="268"/>
    </row>
    <row r="49" spans="1:46" x14ac:dyDescent="0.2">
      <c r="A49" s="230" t="s">
        <v>352</v>
      </c>
      <c r="B49" s="276">
        <f>-0.01*O29*0.11</f>
        <v>-2.3923097294942453E-2</v>
      </c>
      <c r="C49" s="230"/>
      <c r="D49" s="230"/>
      <c r="E49" s="230"/>
      <c r="F49" s="211"/>
      <c r="G49" s="217"/>
      <c r="H49" s="211"/>
      <c r="I49" s="211"/>
      <c r="J49" s="217"/>
      <c r="K49" s="211"/>
      <c r="L49" s="217"/>
      <c r="M49" s="217"/>
      <c r="N49" s="217"/>
      <c r="O49" s="217"/>
      <c r="P49" s="217"/>
      <c r="Q49" s="214"/>
      <c r="R49" s="211"/>
      <c r="S49" s="211"/>
      <c r="T49" s="205"/>
      <c r="U49" s="211"/>
      <c r="V49" s="211"/>
      <c r="W49" s="205"/>
      <c r="X49" s="211"/>
      <c r="Y49" s="211"/>
      <c r="Z49" s="205"/>
      <c r="AA49" s="211"/>
      <c r="AB49" s="211"/>
      <c r="AC49" s="214"/>
      <c r="AD49" s="211"/>
      <c r="AE49" s="214"/>
      <c r="AF49" s="217"/>
      <c r="AG49" s="211"/>
      <c r="AH49" s="211"/>
      <c r="AI49" s="217"/>
      <c r="AJ49" s="211"/>
      <c r="AK49" s="211"/>
      <c r="AL49" s="205"/>
      <c r="AM49" s="211"/>
      <c r="AN49" s="205"/>
      <c r="AO49" s="205"/>
      <c r="AP49" s="205"/>
      <c r="AQ49" s="205"/>
      <c r="AR49" s="214"/>
      <c r="AS49" s="211"/>
      <c r="AT49" s="268"/>
    </row>
    <row r="50" spans="1:46" x14ac:dyDescent="0.2">
      <c r="A50" s="230" t="s">
        <v>354</v>
      </c>
      <c r="B50" s="275">
        <f>C35*0.11</f>
        <v>1.397</v>
      </c>
      <c r="C50" s="230"/>
      <c r="D50" s="230"/>
      <c r="E50" s="230"/>
      <c r="F50" s="211"/>
      <c r="G50" s="217"/>
      <c r="H50" s="211"/>
      <c r="I50" s="211"/>
      <c r="J50" s="217"/>
      <c r="K50" s="211"/>
      <c r="L50" s="217"/>
      <c r="M50" s="217"/>
      <c r="N50" s="217"/>
      <c r="O50" s="217"/>
      <c r="P50" s="217"/>
      <c r="Q50" s="214"/>
      <c r="R50" s="211"/>
      <c r="S50" s="211"/>
      <c r="T50" s="205"/>
      <c r="U50" s="211"/>
      <c r="V50" s="211"/>
      <c r="W50" s="205"/>
      <c r="X50" s="211"/>
      <c r="Y50" s="211"/>
      <c r="Z50" s="205"/>
      <c r="AA50" s="211"/>
      <c r="AB50" s="211"/>
      <c r="AC50" s="214"/>
      <c r="AD50" s="211"/>
      <c r="AE50" s="214"/>
      <c r="AF50" s="217"/>
      <c r="AG50" s="211"/>
      <c r="AH50" s="211"/>
      <c r="AI50" s="217"/>
      <c r="AJ50" s="211"/>
      <c r="AK50" s="211"/>
      <c r="AL50" s="205"/>
      <c r="AM50" s="211"/>
      <c r="AN50" s="205"/>
      <c r="AO50" s="205"/>
      <c r="AP50" s="205"/>
      <c r="AQ50" s="205"/>
      <c r="AR50" s="214"/>
      <c r="AS50" s="211"/>
      <c r="AT50" s="268"/>
    </row>
    <row r="51" spans="1:46" x14ac:dyDescent="0.2">
      <c r="A51" s="230"/>
      <c r="C51" s="230"/>
      <c r="D51" s="230"/>
      <c r="E51" s="230"/>
      <c r="F51" s="211"/>
      <c r="G51" s="217"/>
      <c r="H51" s="211"/>
      <c r="I51" s="211"/>
      <c r="J51" s="217"/>
      <c r="K51" s="211"/>
      <c r="L51" s="217"/>
      <c r="M51" s="217"/>
      <c r="N51" s="217"/>
      <c r="O51" s="217"/>
      <c r="P51" s="217"/>
      <c r="Q51" s="214"/>
      <c r="R51" s="211"/>
      <c r="S51" s="211"/>
      <c r="T51" s="205"/>
      <c r="U51" s="211"/>
      <c r="V51" s="211"/>
      <c r="W51" s="205"/>
      <c r="X51" s="211"/>
      <c r="Y51" s="211"/>
      <c r="Z51" s="205"/>
      <c r="AA51" s="211"/>
      <c r="AB51" s="211"/>
      <c r="AC51" s="214"/>
      <c r="AD51" s="211"/>
      <c r="AE51" s="214"/>
      <c r="AF51" s="217"/>
      <c r="AG51" s="211"/>
      <c r="AH51" s="211"/>
      <c r="AI51" s="217"/>
      <c r="AJ51" s="211"/>
      <c r="AK51" s="211"/>
      <c r="AL51" s="205"/>
      <c r="AM51" s="211"/>
      <c r="AN51" s="205"/>
      <c r="AO51" s="205"/>
      <c r="AP51" s="205"/>
      <c r="AQ51" s="205"/>
      <c r="AR51" s="214"/>
      <c r="AS51" s="211"/>
      <c r="AT51" s="268"/>
    </row>
    <row r="52" spans="1:46" ht="12.75" x14ac:dyDescent="0.2">
      <c r="A52" s="278" t="s">
        <v>355</v>
      </c>
      <c r="B52" s="230"/>
      <c r="C52" s="230"/>
      <c r="D52" s="230"/>
      <c r="E52" s="230"/>
      <c r="F52" s="211"/>
      <c r="G52" s="217"/>
      <c r="H52" s="211"/>
      <c r="I52" s="211"/>
      <c r="J52" s="217"/>
      <c r="K52" s="211"/>
      <c r="L52" s="217"/>
      <c r="M52" s="217"/>
      <c r="N52" s="217"/>
      <c r="O52" s="217"/>
      <c r="P52" s="217"/>
      <c r="Q52" s="214"/>
      <c r="R52" s="211"/>
      <c r="S52" s="211"/>
      <c r="T52" s="205"/>
      <c r="U52" s="211"/>
      <c r="V52" s="211"/>
      <c r="W52" s="205"/>
      <c r="X52" s="211"/>
      <c r="Y52" s="211"/>
      <c r="Z52" s="205"/>
      <c r="AA52" s="211"/>
      <c r="AB52" s="211"/>
      <c r="AC52" s="214"/>
      <c r="AD52" s="211"/>
      <c r="AE52" s="214"/>
      <c r="AF52" s="217"/>
      <c r="AG52" s="211"/>
      <c r="AH52" s="211"/>
      <c r="AI52" s="217"/>
      <c r="AJ52" s="211"/>
      <c r="AK52" s="256"/>
      <c r="AL52" s="205"/>
      <c r="AM52" s="211"/>
      <c r="AN52" s="205"/>
      <c r="AO52" s="205"/>
      <c r="AP52" s="205"/>
      <c r="AQ52" s="205"/>
      <c r="AR52" s="214"/>
      <c r="AS52" s="211"/>
      <c r="AT52" s="268"/>
    </row>
    <row r="53" spans="1:46" x14ac:dyDescent="0.2">
      <c r="A53" s="230"/>
      <c r="B53" s="230" t="s">
        <v>356</v>
      </c>
      <c r="C53" s="230" t="s">
        <v>357</v>
      </c>
      <c r="D53" s="230"/>
      <c r="E53" s="230"/>
      <c r="F53" s="211"/>
      <c r="G53" s="217"/>
      <c r="H53" s="211"/>
      <c r="I53" s="211"/>
      <c r="J53" s="217"/>
      <c r="K53" s="211"/>
      <c r="L53" s="217"/>
      <c r="M53" s="217"/>
      <c r="N53" s="217"/>
      <c r="O53" s="217"/>
      <c r="P53" s="217"/>
      <c r="Q53" s="214"/>
      <c r="R53" s="211"/>
      <c r="S53" s="211"/>
      <c r="T53" s="205"/>
      <c r="U53" s="211"/>
      <c r="V53" s="211"/>
      <c r="W53" s="205"/>
      <c r="X53" s="211"/>
      <c r="Y53" s="211"/>
      <c r="Z53" s="205"/>
      <c r="AA53" s="211"/>
      <c r="AB53" s="211"/>
      <c r="AC53" s="214"/>
      <c r="AD53" s="211"/>
      <c r="AE53" s="214"/>
      <c r="AF53" s="217"/>
      <c r="AG53" s="211"/>
      <c r="AH53" s="211"/>
      <c r="AI53" s="217"/>
      <c r="AJ53" s="211"/>
      <c r="AK53" s="211"/>
      <c r="AL53" s="205"/>
      <c r="AM53" s="211"/>
      <c r="AN53" s="205"/>
      <c r="AO53" s="205"/>
      <c r="AP53" s="205"/>
      <c r="AQ53" s="205"/>
      <c r="AR53" s="214"/>
      <c r="AS53" s="211"/>
      <c r="AT53" s="268"/>
    </row>
    <row r="54" spans="1:46" x14ac:dyDescent="0.2">
      <c r="A54" s="230"/>
      <c r="B54" s="279">
        <f>1-B49-B43</f>
        <v>0.94519730844522531</v>
      </c>
      <c r="C54" s="170">
        <f>1-B44</f>
        <v>0.56000000000000005</v>
      </c>
      <c r="D54" s="230" t="s">
        <v>358</v>
      </c>
      <c r="E54" s="276">
        <f>100-C36+B45+B50</f>
        <v>101.37123197708674</v>
      </c>
      <c r="F54" s="211"/>
      <c r="G54" s="217"/>
      <c r="H54" s="211"/>
      <c r="I54" s="211"/>
      <c r="J54" s="217"/>
      <c r="K54" s="211"/>
      <c r="L54" s="217"/>
      <c r="M54" s="217"/>
      <c r="N54" s="217"/>
      <c r="O54" s="217"/>
      <c r="P54" s="217"/>
      <c r="Q54" s="214"/>
      <c r="R54" s="211"/>
      <c r="S54" s="211"/>
      <c r="T54" s="205"/>
      <c r="U54" s="211"/>
      <c r="V54" s="211"/>
      <c r="W54" s="205"/>
      <c r="X54" s="211"/>
      <c r="Y54" s="211"/>
      <c r="Z54" s="205"/>
      <c r="AA54" s="211"/>
      <c r="AB54" s="211"/>
      <c r="AC54" s="214"/>
      <c r="AD54" s="211"/>
      <c r="AE54" s="214"/>
      <c r="AF54" s="217"/>
      <c r="AG54" s="211"/>
      <c r="AH54" s="211"/>
      <c r="AI54" s="217"/>
      <c r="AJ54" s="211"/>
      <c r="AK54" s="211"/>
      <c r="AL54" s="205"/>
      <c r="AM54" s="211"/>
      <c r="AN54" s="205"/>
      <c r="AO54" s="205"/>
      <c r="AP54" s="205"/>
      <c r="AQ54" s="205"/>
      <c r="AR54" s="214"/>
      <c r="AS54" s="211"/>
      <c r="AT54" s="268"/>
    </row>
    <row r="55" spans="1:46" ht="12.75" x14ac:dyDescent="0.2">
      <c r="A55" s="278" t="s">
        <v>359</v>
      </c>
      <c r="B55" s="279"/>
      <c r="D55" s="230"/>
      <c r="F55" s="211"/>
      <c r="G55" s="217"/>
      <c r="H55" s="211"/>
      <c r="I55" s="211"/>
      <c r="J55" s="217"/>
      <c r="K55" s="211"/>
      <c r="L55" s="217"/>
      <c r="M55" s="217"/>
      <c r="N55" s="217"/>
      <c r="O55" s="217"/>
      <c r="P55" s="217"/>
      <c r="Q55" s="214"/>
      <c r="R55" s="211"/>
      <c r="S55" s="211"/>
      <c r="T55" s="205"/>
      <c r="U55" s="211"/>
      <c r="V55" s="211"/>
      <c r="W55" s="205"/>
      <c r="X55" s="211"/>
      <c r="Y55" s="211"/>
      <c r="Z55" s="205"/>
      <c r="AA55" s="211"/>
      <c r="AB55" s="211"/>
      <c r="AC55" s="214"/>
      <c r="AD55" s="211"/>
      <c r="AE55" s="214"/>
      <c r="AF55" s="217"/>
      <c r="AG55" s="211"/>
      <c r="AH55" s="211"/>
      <c r="AI55" s="217"/>
      <c r="AJ55" s="211"/>
      <c r="AK55" s="211"/>
      <c r="AL55" s="205"/>
      <c r="AM55" s="256"/>
      <c r="AN55" s="205"/>
      <c r="AO55" s="205"/>
      <c r="AP55" s="205"/>
      <c r="AQ55" s="205"/>
      <c r="AR55" s="214"/>
      <c r="AS55" s="211"/>
      <c r="AT55" s="268"/>
    </row>
    <row r="56" spans="1:46" x14ac:dyDescent="0.2">
      <c r="A56" s="230"/>
      <c r="B56" s="170">
        <f>C34*U29-R29</f>
        <v>3.8287411958146622</v>
      </c>
      <c r="C56" s="230">
        <f>S32*C34-P32</f>
        <v>-50.72</v>
      </c>
      <c r="D56" s="230" t="s">
        <v>358</v>
      </c>
      <c r="E56" s="230">
        <f>-C36*(S31*C34-P31)</f>
        <v>1.6147006654437037</v>
      </c>
      <c r="F56" s="211"/>
      <c r="G56" s="217"/>
      <c r="H56" s="211"/>
      <c r="I56" s="211"/>
      <c r="J56" s="217"/>
      <c r="K56" s="211"/>
      <c r="L56" s="217"/>
      <c r="M56" s="217"/>
      <c r="N56" s="217"/>
      <c r="O56" s="217"/>
      <c r="P56" s="217"/>
      <c r="Q56" s="214"/>
      <c r="R56" s="211"/>
      <c r="S56" s="211"/>
      <c r="T56" s="205"/>
      <c r="U56" s="211"/>
      <c r="V56" s="211"/>
      <c r="W56" s="205"/>
      <c r="X56" s="211"/>
      <c r="Y56" s="211"/>
      <c r="Z56" s="205"/>
      <c r="AA56" s="211"/>
      <c r="AB56" s="211"/>
      <c r="AC56" s="214"/>
      <c r="AD56" s="211"/>
      <c r="AE56" s="214"/>
      <c r="AF56" s="217"/>
      <c r="AG56" s="211"/>
      <c r="AH56" s="211"/>
      <c r="AI56" s="217"/>
      <c r="AJ56" s="211"/>
      <c r="AK56" s="211"/>
      <c r="AL56" s="205"/>
      <c r="AM56" s="211"/>
      <c r="AN56" s="205"/>
      <c r="AO56" s="205"/>
      <c r="AP56" s="205"/>
      <c r="AQ56" s="205"/>
      <c r="AR56" s="214"/>
      <c r="AS56" s="211"/>
      <c r="AT56" s="268"/>
    </row>
    <row r="57" spans="1:46" ht="12.75" x14ac:dyDescent="0.2">
      <c r="A57" s="278" t="s">
        <v>360</v>
      </c>
      <c r="B57" s="240"/>
      <c r="C57" s="230"/>
      <c r="D57" s="230"/>
      <c r="E57" s="230"/>
      <c r="F57" s="211"/>
      <c r="G57" s="217"/>
      <c r="H57" s="211"/>
      <c r="I57" s="211"/>
      <c r="J57" s="217"/>
      <c r="K57" s="211"/>
      <c r="L57" s="217"/>
      <c r="M57" s="217"/>
      <c r="N57" s="217"/>
      <c r="O57" s="217"/>
      <c r="P57" s="217"/>
      <c r="Q57" s="214"/>
      <c r="R57" s="211"/>
      <c r="S57" s="211"/>
      <c r="T57" s="205"/>
      <c r="U57" s="211"/>
      <c r="V57" s="211"/>
      <c r="W57" s="205"/>
      <c r="X57" s="211"/>
      <c r="Y57" s="211"/>
      <c r="Z57" s="205"/>
      <c r="AA57" s="211"/>
      <c r="AB57" s="211"/>
      <c r="AC57" s="214"/>
      <c r="AD57" s="211"/>
      <c r="AE57" s="214"/>
      <c r="AF57" s="217"/>
      <c r="AG57" s="211"/>
      <c r="AH57" s="211"/>
      <c r="AI57" s="217"/>
      <c r="AJ57" s="211"/>
      <c r="AK57" s="211"/>
      <c r="AL57" s="205"/>
      <c r="AM57" s="211"/>
      <c r="AN57" s="205"/>
      <c r="AO57" s="205"/>
      <c r="AP57" s="205"/>
      <c r="AQ57" s="205"/>
      <c r="AR57" s="214"/>
      <c r="AS57" s="211"/>
      <c r="AT57" s="268"/>
    </row>
    <row r="58" spans="1:46" x14ac:dyDescent="0.2">
      <c r="A58" s="230" t="s">
        <v>361</v>
      </c>
      <c r="B58" s="279">
        <f>B54</f>
        <v>0.94519730844522531</v>
      </c>
      <c r="C58" s="230">
        <f>C54</f>
        <v>0.56000000000000005</v>
      </c>
      <c r="D58" s="230" t="s">
        <v>358</v>
      </c>
      <c r="E58" s="230">
        <f>E54</f>
        <v>101.37123197708674</v>
      </c>
      <c r="F58" s="211"/>
      <c r="G58" s="217"/>
      <c r="H58" s="211"/>
      <c r="I58" s="211"/>
      <c r="J58" s="217"/>
      <c r="K58" s="211"/>
      <c r="L58" s="217"/>
      <c r="M58" s="217"/>
      <c r="N58" s="217"/>
      <c r="O58" s="217"/>
      <c r="P58" s="217"/>
      <c r="Q58" s="214"/>
      <c r="R58" s="211"/>
      <c r="S58" s="211"/>
      <c r="T58" s="205"/>
      <c r="U58" s="211"/>
      <c r="V58" s="211"/>
      <c r="W58" s="205"/>
      <c r="X58" s="211"/>
      <c r="Y58" s="211"/>
      <c r="Z58" s="205"/>
      <c r="AA58" s="211"/>
      <c r="AB58" s="211"/>
      <c r="AC58" s="214"/>
      <c r="AD58" s="211"/>
      <c r="AE58" s="214"/>
      <c r="AF58" s="217"/>
      <c r="AG58" s="211"/>
      <c r="AH58" s="211"/>
      <c r="AI58" s="217"/>
      <c r="AJ58" s="211"/>
      <c r="AK58" s="211"/>
      <c r="AL58" s="205"/>
      <c r="AM58" s="211"/>
      <c r="AN58" s="205"/>
      <c r="AO58" s="205"/>
      <c r="AP58" s="205"/>
      <c r="AQ58" s="205"/>
      <c r="AR58" s="214"/>
      <c r="AS58" s="211"/>
      <c r="AT58" s="268"/>
    </row>
    <row r="59" spans="1:46" ht="12.75" x14ac:dyDescent="0.2">
      <c r="A59" s="230" t="s">
        <v>362</v>
      </c>
      <c r="B59" s="280">
        <f>B56</f>
        <v>3.8287411958146622</v>
      </c>
      <c r="C59" s="271">
        <f>C56</f>
        <v>-50.72</v>
      </c>
      <c r="D59" s="280" t="s">
        <v>358</v>
      </c>
      <c r="E59" s="271">
        <f>E56</f>
        <v>1.6147006654437037</v>
      </c>
      <c r="F59" s="211"/>
      <c r="G59" s="217"/>
      <c r="H59" s="211"/>
      <c r="I59" s="211"/>
      <c r="J59" s="217"/>
      <c r="K59" s="211"/>
      <c r="L59" s="217"/>
      <c r="M59" s="217"/>
      <c r="N59" s="217"/>
      <c r="O59" s="217"/>
      <c r="P59" s="217"/>
      <c r="Q59" s="214"/>
      <c r="R59" s="211"/>
      <c r="S59" s="211"/>
      <c r="T59" s="205"/>
      <c r="U59" s="211"/>
      <c r="V59" s="211"/>
      <c r="W59" s="205"/>
      <c r="X59" s="211"/>
      <c r="Y59" s="211"/>
      <c r="Z59" s="205"/>
      <c r="AA59" s="211"/>
      <c r="AB59" s="211"/>
      <c r="AC59" s="214"/>
      <c r="AD59" s="211"/>
      <c r="AE59" s="214"/>
      <c r="AF59" s="217"/>
      <c r="AG59" s="211"/>
      <c r="AH59" s="211"/>
      <c r="AI59" s="217"/>
      <c r="AJ59" s="211"/>
      <c r="AK59" s="211"/>
      <c r="AL59" s="205"/>
      <c r="AM59" s="211"/>
      <c r="AN59" s="205"/>
      <c r="AO59" s="205"/>
      <c r="AP59" s="205"/>
      <c r="AQ59" s="205"/>
      <c r="AR59" s="214"/>
      <c r="AS59" s="211"/>
      <c r="AT59" s="253"/>
    </row>
    <row r="60" spans="1:46" ht="12.75" x14ac:dyDescent="0.2">
      <c r="A60" s="281" t="s">
        <v>363</v>
      </c>
      <c r="B60" s="230"/>
      <c r="C60" s="230"/>
      <c r="D60" s="230"/>
      <c r="E60" s="230"/>
      <c r="F60" s="211"/>
      <c r="G60" s="217"/>
      <c r="H60" s="211"/>
      <c r="I60" s="211"/>
      <c r="J60" s="217"/>
      <c r="K60" s="211"/>
      <c r="L60" s="217"/>
      <c r="M60" s="217"/>
      <c r="N60" s="217"/>
      <c r="O60" s="217"/>
      <c r="P60" s="217"/>
      <c r="Q60" s="214"/>
      <c r="R60" s="211"/>
      <c r="S60" s="211"/>
      <c r="T60" s="205"/>
      <c r="U60" s="211"/>
      <c r="V60" s="211"/>
      <c r="W60" s="205"/>
      <c r="X60" s="211"/>
      <c r="Y60" s="211"/>
      <c r="Z60" s="205"/>
      <c r="AA60" s="211"/>
      <c r="AB60" s="211"/>
      <c r="AC60" s="214"/>
      <c r="AD60" s="211"/>
      <c r="AE60" s="214"/>
      <c r="AF60" s="217"/>
      <c r="AG60" s="211"/>
      <c r="AH60" s="211"/>
      <c r="AI60" s="217"/>
      <c r="AJ60" s="211"/>
      <c r="AK60" s="256"/>
      <c r="AL60" s="205"/>
      <c r="AM60" s="211"/>
      <c r="AN60" s="205"/>
      <c r="AO60" s="205"/>
      <c r="AP60" s="205"/>
      <c r="AQ60" s="205"/>
      <c r="AR60" s="214"/>
      <c r="AS60" s="211"/>
      <c r="AT60" s="253"/>
    </row>
    <row r="61" spans="1:46" x14ac:dyDescent="0.2">
      <c r="A61" s="282" t="s">
        <v>364</v>
      </c>
      <c r="B61" s="283">
        <f>(E59-C59/C58*E58)/(B59-C59*B58/C58)</f>
        <v>102.67553546541089</v>
      </c>
      <c r="C61" s="230"/>
      <c r="D61" s="230"/>
      <c r="E61" s="230"/>
      <c r="F61" s="211"/>
      <c r="G61" s="217"/>
      <c r="H61" s="211"/>
      <c r="I61" s="211"/>
      <c r="J61" s="217"/>
      <c r="K61" s="211"/>
      <c r="L61" s="217"/>
      <c r="M61" s="217"/>
      <c r="N61" s="217"/>
      <c r="O61" s="217"/>
      <c r="P61" s="217"/>
      <c r="Q61" s="214"/>
      <c r="R61" s="211"/>
      <c r="S61" s="211"/>
      <c r="T61" s="205"/>
      <c r="U61" s="211"/>
      <c r="V61" s="211"/>
      <c r="W61" s="205"/>
      <c r="X61" s="211"/>
      <c r="Y61" s="211"/>
      <c r="Z61" s="205"/>
      <c r="AA61" s="211"/>
      <c r="AB61" s="211"/>
      <c r="AC61" s="214"/>
      <c r="AD61" s="211"/>
      <c r="AE61" s="214"/>
      <c r="AF61" s="217"/>
      <c r="AG61" s="211"/>
      <c r="AH61" s="211"/>
      <c r="AI61" s="217"/>
      <c r="AJ61" s="211"/>
      <c r="AK61" s="211"/>
      <c r="AL61" s="205"/>
      <c r="AM61" s="211"/>
      <c r="AN61" s="205"/>
      <c r="AO61" s="205"/>
      <c r="AP61" s="205"/>
      <c r="AQ61" s="205"/>
      <c r="AR61" s="214"/>
      <c r="AS61" s="211"/>
      <c r="AT61" s="253"/>
    </row>
    <row r="62" spans="1:46" x14ac:dyDescent="0.2">
      <c r="A62" s="282" t="s">
        <v>365</v>
      </c>
      <c r="B62" s="283">
        <f>(E58-B58*B61)/C58</f>
        <v>7.7189146643001587</v>
      </c>
      <c r="C62" s="284"/>
      <c r="D62" s="230"/>
      <c r="E62" s="230"/>
      <c r="F62" s="211"/>
      <c r="G62" s="217"/>
      <c r="H62" s="211"/>
      <c r="I62" s="256"/>
      <c r="J62" s="217"/>
      <c r="K62" s="211"/>
      <c r="L62" s="217"/>
      <c r="M62" s="217"/>
      <c r="N62" s="217"/>
      <c r="O62" s="217"/>
      <c r="P62" s="217"/>
      <c r="Q62" s="214"/>
      <c r="R62" s="211"/>
      <c r="S62" s="211"/>
      <c r="T62" s="205"/>
      <c r="U62" s="211"/>
      <c r="V62" s="211"/>
      <c r="W62" s="205"/>
      <c r="X62" s="211"/>
      <c r="Y62" s="211"/>
      <c r="Z62" s="205"/>
      <c r="AA62" s="211"/>
      <c r="AB62" s="211"/>
      <c r="AC62" s="214"/>
      <c r="AD62" s="211"/>
      <c r="AE62" s="214"/>
      <c r="AF62" s="217"/>
      <c r="AG62" s="211"/>
      <c r="AH62" s="211"/>
      <c r="AI62" s="217"/>
      <c r="AJ62" s="211"/>
      <c r="AK62" s="211"/>
      <c r="AL62" s="205"/>
      <c r="AM62" s="211"/>
      <c r="AN62" s="205"/>
      <c r="AO62" s="205"/>
      <c r="AP62" s="205"/>
      <c r="AQ62" s="205"/>
      <c r="AR62" s="214"/>
      <c r="AS62" s="211"/>
      <c r="AT62" s="253"/>
    </row>
    <row r="63" spans="1:46" x14ac:dyDescent="0.2">
      <c r="A63" s="210"/>
      <c r="B63" s="205"/>
      <c r="C63" s="205"/>
      <c r="D63" s="205"/>
      <c r="E63" s="211"/>
      <c r="F63" s="211"/>
      <c r="G63" s="205"/>
      <c r="H63" s="211"/>
      <c r="I63" s="211"/>
      <c r="J63" s="205"/>
      <c r="K63" s="211"/>
      <c r="L63" s="205"/>
      <c r="M63" s="205"/>
      <c r="N63" s="205"/>
      <c r="O63" s="205"/>
      <c r="P63" s="205"/>
      <c r="Q63" s="214"/>
      <c r="R63" s="211"/>
      <c r="S63" s="211"/>
      <c r="T63" s="205"/>
      <c r="U63" s="211"/>
      <c r="V63" s="211"/>
      <c r="W63" s="205"/>
      <c r="X63" s="211"/>
      <c r="Y63" s="211"/>
      <c r="Z63" s="205"/>
      <c r="AA63" s="211"/>
      <c r="AB63" s="211"/>
      <c r="AC63" s="214"/>
      <c r="AD63" s="211"/>
      <c r="AE63" s="214"/>
      <c r="AF63" s="205"/>
      <c r="AG63" s="211"/>
      <c r="AH63" s="211"/>
      <c r="AI63" s="205"/>
      <c r="AJ63" s="211"/>
      <c r="AK63" s="211"/>
      <c r="AL63" s="205"/>
      <c r="AM63" s="211"/>
      <c r="AN63" s="205"/>
      <c r="AO63" s="205"/>
      <c r="AP63" s="205"/>
      <c r="AQ63" s="205"/>
      <c r="AR63" s="214"/>
      <c r="AS63" s="211"/>
      <c r="AT63" s="253"/>
    </row>
    <row r="64" spans="1:46" ht="12.75" thickBot="1" x14ac:dyDescent="0.25">
      <c r="A64" s="244"/>
      <c r="B64" s="245"/>
      <c r="C64" s="246"/>
      <c r="D64" s="246"/>
      <c r="E64" s="228"/>
      <c r="F64" s="228"/>
      <c r="G64" s="246"/>
      <c r="H64" s="228"/>
      <c r="I64" s="228"/>
      <c r="J64" s="246"/>
      <c r="K64" s="228"/>
      <c r="L64" s="246"/>
      <c r="M64" s="246"/>
      <c r="N64" s="246"/>
      <c r="O64" s="246"/>
      <c r="P64" s="246"/>
      <c r="Q64" s="247"/>
      <c r="R64" s="228"/>
      <c r="S64" s="228"/>
      <c r="T64" s="246"/>
      <c r="U64" s="228"/>
      <c r="V64" s="228"/>
      <c r="W64" s="247"/>
      <c r="X64" s="228"/>
      <c r="Y64" s="228"/>
      <c r="Z64" s="246"/>
      <c r="AA64" s="228"/>
      <c r="AB64" s="228"/>
      <c r="AC64" s="247"/>
      <c r="AD64" s="228"/>
      <c r="AE64" s="214"/>
      <c r="AF64" s="246"/>
      <c r="AG64" s="228"/>
      <c r="AH64" s="211"/>
      <c r="AI64" s="246"/>
      <c r="AJ64" s="228"/>
      <c r="AK64" s="211"/>
      <c r="AL64" s="246"/>
      <c r="AM64" s="211"/>
      <c r="AN64" s="205"/>
      <c r="AO64" s="246"/>
      <c r="AP64" s="205"/>
      <c r="AQ64" s="205"/>
      <c r="AR64" s="247"/>
      <c r="AS64" s="228"/>
      <c r="AT64" s="253"/>
    </row>
    <row r="65" spans="1:46" s="230" customFormat="1" ht="15.75" x14ac:dyDescent="0.25">
      <c r="F65" s="285" t="s">
        <v>366</v>
      </c>
      <c r="AM65" s="211"/>
      <c r="AP65" s="205"/>
      <c r="AQ65" s="205"/>
      <c r="AT65" s="284"/>
    </row>
    <row r="66" spans="1:46" s="230" customFormat="1" ht="12.75" x14ac:dyDescent="0.2">
      <c r="A66" s="280" t="s">
        <v>367</v>
      </c>
      <c r="B66" s="280" t="s">
        <v>368</v>
      </c>
      <c r="C66" s="286" t="s">
        <v>369</v>
      </c>
      <c r="D66" s="286"/>
      <c r="E66" s="286"/>
      <c r="F66" s="286"/>
      <c r="G66" s="286"/>
      <c r="H66" s="286"/>
      <c r="I66" s="286"/>
      <c r="J66" s="286"/>
      <c r="K66" s="286"/>
      <c r="L66" s="286"/>
      <c r="M66" s="286"/>
      <c r="N66" s="286"/>
      <c r="O66" s="286"/>
      <c r="P66" s="286"/>
      <c r="Q66" s="286"/>
      <c r="R66" s="286"/>
      <c r="S66" s="286"/>
      <c r="T66" s="286"/>
      <c r="U66" s="286"/>
      <c r="V66" s="286"/>
      <c r="W66" s="286"/>
      <c r="X66" s="286"/>
      <c r="Y66" s="286"/>
      <c r="Z66" s="286"/>
      <c r="AA66" s="286"/>
      <c r="AB66" s="286"/>
      <c r="AC66" s="286"/>
      <c r="AD66" s="286"/>
      <c r="AE66" s="286"/>
      <c r="AF66" s="286"/>
      <c r="AG66" s="286"/>
      <c r="AT66" s="284"/>
    </row>
    <row r="67" spans="1:46" s="230" customFormat="1" ht="12.75" x14ac:dyDescent="0.2">
      <c r="C67" s="286" t="s">
        <v>3</v>
      </c>
      <c r="D67" s="286"/>
      <c r="E67" s="286" t="s">
        <v>370</v>
      </c>
      <c r="F67" s="286"/>
      <c r="G67" s="286" t="s">
        <v>371</v>
      </c>
      <c r="H67" s="286"/>
      <c r="I67" s="286" t="s">
        <v>372</v>
      </c>
      <c r="J67" s="286"/>
      <c r="K67" s="286" t="s">
        <v>373</v>
      </c>
      <c r="L67" s="286"/>
      <c r="M67" s="286"/>
      <c r="N67" s="286" t="s">
        <v>374</v>
      </c>
      <c r="O67" s="286"/>
      <c r="P67" s="286" t="s">
        <v>375</v>
      </c>
      <c r="Q67" s="286"/>
      <c r="R67" s="286" t="s">
        <v>376</v>
      </c>
      <c r="S67" s="286"/>
      <c r="T67" s="286" t="s">
        <v>377</v>
      </c>
      <c r="U67" s="286"/>
      <c r="V67" s="286" t="s">
        <v>378</v>
      </c>
      <c r="W67" s="286"/>
      <c r="X67" s="286" t="s">
        <v>379</v>
      </c>
      <c r="Y67" s="286"/>
      <c r="Z67" s="286" t="s">
        <v>13</v>
      </c>
      <c r="AA67" s="286"/>
      <c r="AB67" s="286" t="s">
        <v>380</v>
      </c>
      <c r="AC67" s="286"/>
    </row>
    <row r="68" spans="1:46" s="230" customFormat="1" ht="12.75" x14ac:dyDescent="0.2">
      <c r="A68" s="280"/>
      <c r="B68" s="280"/>
      <c r="C68" s="287" t="s">
        <v>136</v>
      </c>
      <c r="D68" s="287" t="s">
        <v>381</v>
      </c>
      <c r="E68" s="287" t="s">
        <v>382</v>
      </c>
      <c r="F68" s="287" t="s">
        <v>383</v>
      </c>
      <c r="G68" s="287" t="s">
        <v>382</v>
      </c>
      <c r="H68" s="287" t="s">
        <v>383</v>
      </c>
      <c r="I68" s="287" t="s">
        <v>382</v>
      </c>
      <c r="J68" s="287" t="s">
        <v>381</v>
      </c>
      <c r="K68" s="287" t="s">
        <v>384</v>
      </c>
      <c r="L68" s="287" t="s">
        <v>381</v>
      </c>
      <c r="M68" s="287" t="s">
        <v>383</v>
      </c>
      <c r="N68" s="287" t="s">
        <v>382</v>
      </c>
      <c r="O68" s="287" t="s">
        <v>381</v>
      </c>
      <c r="P68" s="287" t="s">
        <v>382</v>
      </c>
      <c r="Q68" s="287" t="s">
        <v>381</v>
      </c>
      <c r="R68" s="287" t="s">
        <v>382</v>
      </c>
      <c r="S68" s="287" t="s">
        <v>381</v>
      </c>
      <c r="T68" s="287" t="s">
        <v>382</v>
      </c>
      <c r="U68" s="287" t="s">
        <v>381</v>
      </c>
      <c r="V68" s="287" t="s">
        <v>382</v>
      </c>
      <c r="W68" s="287" t="s">
        <v>381</v>
      </c>
      <c r="X68" s="287" t="s">
        <v>382</v>
      </c>
      <c r="Y68" s="287" t="s">
        <v>383</v>
      </c>
      <c r="Z68" s="287" t="s">
        <v>385</v>
      </c>
      <c r="AA68" s="287" t="s">
        <v>383</v>
      </c>
      <c r="AB68" s="287" t="s">
        <v>382</v>
      </c>
      <c r="AC68" s="287" t="s">
        <v>381</v>
      </c>
    </row>
    <row r="69" spans="1:46" s="230" customFormat="1" ht="12.75" x14ac:dyDescent="0.2">
      <c r="A69" s="230" t="s">
        <v>386</v>
      </c>
      <c r="B69" s="230">
        <f>B61</f>
        <v>102.67553546541089</v>
      </c>
      <c r="C69" s="261">
        <f>M29</f>
        <v>56.592034899877547</v>
      </c>
      <c r="D69" s="261">
        <f>B69*C69/100</f>
        <v>58.106174864221472</v>
      </c>
      <c r="E69" s="288">
        <f>AG29</f>
        <v>0.47428419675091021</v>
      </c>
      <c r="F69" s="289">
        <f>E69*B69/100</f>
        <v>0.48697383864181992</v>
      </c>
      <c r="G69" s="290">
        <f>AJ29</f>
        <v>2.9255705107253057E-2</v>
      </c>
      <c r="H69" s="290">
        <f>G69*B69/100</f>
        <v>3.0038451873053637E-2</v>
      </c>
      <c r="I69" s="261"/>
      <c r="J69" s="261"/>
      <c r="K69" s="261">
        <f>O29</f>
        <v>21.748270268129502</v>
      </c>
      <c r="L69" s="261"/>
      <c r="M69" s="261">
        <f>K69*B69/100</f>
        <v>22.330152952266715</v>
      </c>
      <c r="N69" s="261">
        <f>R29</f>
        <v>4.3458505607391009</v>
      </c>
      <c r="O69" s="261">
        <f>N69*B69/100</f>
        <v>4.4621253337654334</v>
      </c>
      <c r="P69" s="261">
        <f>U29</f>
        <v>5.8389941118241167</v>
      </c>
      <c r="Q69" s="261">
        <f>P69*B69/100</f>
        <v>5.9952184701092248</v>
      </c>
      <c r="R69" s="261">
        <f>AA29</f>
        <v>1.6545475504597293</v>
      </c>
      <c r="S69" s="261">
        <f>R69*B69/100</f>
        <v>1.6988155569643666</v>
      </c>
      <c r="T69" s="261">
        <f>X29</f>
        <v>1.5395033112144512</v>
      </c>
      <c r="U69" s="261">
        <f>T69*B69/100</f>
        <v>1.5806932682971688</v>
      </c>
      <c r="V69" s="261">
        <f>AS29</f>
        <v>0.10489657274130695</v>
      </c>
      <c r="W69" s="261">
        <f>V69*B69/100</f>
        <v>0.10770311774700116</v>
      </c>
      <c r="X69" s="261">
        <f>AD29</f>
        <v>0.2185572372663365</v>
      </c>
      <c r="Y69" s="261">
        <f>X69*B69/100</f>
        <v>0.22440481366161955</v>
      </c>
      <c r="Z69" s="290">
        <f>AP29</f>
        <v>3.1324464093706123E-2</v>
      </c>
      <c r="AA69" s="290">
        <f>Z69*B69/100</f>
        <v>3.2162561239883126E-2</v>
      </c>
      <c r="AB69" s="261">
        <f>G29</f>
        <v>7.4457231078958994</v>
      </c>
      <c r="AC69" s="261">
        <f>AB69*B69/100</f>
        <v>7.6449360703039488</v>
      </c>
    </row>
    <row r="70" spans="1:46" s="230" customFormat="1" ht="12.75" x14ac:dyDescent="0.2">
      <c r="A70" s="280" t="s">
        <v>196</v>
      </c>
      <c r="B70" s="271">
        <f>B62</f>
        <v>7.7189146643001587</v>
      </c>
      <c r="C70" s="261">
        <f>J32*B70/100</f>
        <v>0</v>
      </c>
      <c r="D70" s="261">
        <f>B70*C70/100</f>
        <v>0</v>
      </c>
      <c r="E70" s="261">
        <f>AE32</f>
        <v>0</v>
      </c>
      <c r="F70" s="289">
        <f>E70*B70/100</f>
        <v>0</v>
      </c>
      <c r="G70" s="261">
        <f>AH32</f>
        <v>0</v>
      </c>
      <c r="H70" s="290">
        <f>G70*B70/100</f>
        <v>0</v>
      </c>
      <c r="I70" s="261"/>
      <c r="J70" s="261"/>
      <c r="K70" s="261">
        <f>N32</f>
        <v>0</v>
      </c>
      <c r="L70" s="261"/>
      <c r="M70" s="261">
        <f>K70*B70/100</f>
        <v>0</v>
      </c>
      <c r="N70" s="261">
        <f>P32</f>
        <v>51</v>
      </c>
      <c r="O70" s="261">
        <f>N70*B70/100</f>
        <v>3.9366464787930813</v>
      </c>
      <c r="P70" s="261">
        <f>S32</f>
        <v>0.2</v>
      </c>
      <c r="Q70" s="261">
        <f>P70*B70/100</f>
        <v>1.5437829328600319E-2</v>
      </c>
      <c r="R70" s="261">
        <f>Y32</f>
        <v>0.01</v>
      </c>
      <c r="S70" s="261">
        <f>R70*B70/100</f>
        <v>7.7189146643001584E-4</v>
      </c>
      <c r="T70" s="261">
        <f>V32</f>
        <v>4.3</v>
      </c>
      <c r="U70" s="261">
        <f>T70*B70/100</f>
        <v>0.33191333056490685</v>
      </c>
      <c r="V70" s="261">
        <f>AQ31</f>
        <v>0</v>
      </c>
      <c r="W70" s="261">
        <f>V70*B70/100</f>
        <v>0</v>
      </c>
      <c r="X70" s="261">
        <f>AB31</f>
        <v>0</v>
      </c>
      <c r="Y70" s="261">
        <f>X70*B70/100</f>
        <v>0</v>
      </c>
      <c r="Z70" s="261">
        <f>AN32</f>
        <v>0</v>
      </c>
      <c r="AA70" s="290">
        <f>Z70*B70/100</f>
        <v>0</v>
      </c>
      <c r="AB70" s="261">
        <f>G32</f>
        <v>44</v>
      </c>
      <c r="AC70" s="261">
        <f>AB70*B70/100</f>
        <v>3.3963224522920701</v>
      </c>
    </row>
    <row r="71" spans="1:46" s="230" customFormat="1" ht="12.75" x14ac:dyDescent="0.2">
      <c r="A71" s="230" t="s">
        <v>98</v>
      </c>
      <c r="B71" s="230">
        <f>C36</f>
        <v>4.7718560950520246E-2</v>
      </c>
      <c r="C71" s="261">
        <f>J31</f>
        <v>0</v>
      </c>
      <c r="D71" s="261">
        <f>B71*C71/100</f>
        <v>0</v>
      </c>
      <c r="E71" s="261">
        <f>AE31</f>
        <v>0</v>
      </c>
      <c r="F71" s="289">
        <f>E71*B71/100</f>
        <v>0</v>
      </c>
      <c r="G71" s="261">
        <f>AH31</f>
        <v>0</v>
      </c>
      <c r="H71" s="290">
        <f>G71*B71/100</f>
        <v>0</v>
      </c>
      <c r="I71" s="261"/>
      <c r="J71" s="261"/>
      <c r="K71" s="261">
        <f>N31</f>
        <v>0</v>
      </c>
      <c r="L71" s="261"/>
      <c r="M71" s="261">
        <f>K71*B71/100</f>
        <v>0</v>
      </c>
      <c r="N71" s="261">
        <f>P31</f>
        <v>34.299999999999997</v>
      </c>
      <c r="O71" s="261">
        <f>N71*B71/100</f>
        <v>1.6367466406028444E-2</v>
      </c>
      <c r="P71" s="261">
        <f>S31</f>
        <v>0.33</v>
      </c>
      <c r="Q71" s="261">
        <f>P71*B71/100</f>
        <v>1.5747125113671679E-4</v>
      </c>
      <c r="R71" s="261">
        <f>Y31</f>
        <v>0.04</v>
      </c>
      <c r="S71" s="261">
        <f>R71*B71/100</f>
        <v>1.9087424380208098E-5</v>
      </c>
      <c r="T71" s="261">
        <f>V31</f>
        <v>18.5</v>
      </c>
      <c r="U71" s="261">
        <f>T71*B71/100</f>
        <v>8.8279337758462445E-3</v>
      </c>
      <c r="V71" s="261">
        <f>AQ32</f>
        <v>0</v>
      </c>
      <c r="W71" s="261">
        <f>V71*B71/100</f>
        <v>0</v>
      </c>
      <c r="X71" s="261">
        <f>AC31</f>
        <v>0</v>
      </c>
      <c r="Y71" s="261">
        <f>X71*B71/100</f>
        <v>0</v>
      </c>
      <c r="Z71" s="261">
        <f>AN31</f>
        <v>0</v>
      </c>
      <c r="AA71" s="290">
        <f>Z71*B71/100</f>
        <v>0</v>
      </c>
      <c r="AB71" s="261">
        <f>G31</f>
        <v>46</v>
      </c>
      <c r="AC71" s="261">
        <f>AB71*B71/100</f>
        <v>2.1950538037239311E-2</v>
      </c>
    </row>
    <row r="72" spans="1:46" s="230" customFormat="1" ht="12.75" x14ac:dyDescent="0.2">
      <c r="A72" s="280"/>
      <c r="B72" s="280"/>
      <c r="C72" s="261"/>
      <c r="D72" s="261"/>
      <c r="E72" s="261"/>
      <c r="F72" s="291"/>
      <c r="G72" s="261"/>
      <c r="H72" s="292"/>
      <c r="I72" s="261"/>
      <c r="J72" s="261"/>
      <c r="K72" s="261"/>
      <c r="L72" s="261"/>
      <c r="M72" s="261"/>
      <c r="N72" s="261"/>
      <c r="O72" s="261"/>
      <c r="P72" s="261"/>
      <c r="Q72" s="261"/>
      <c r="R72" s="261"/>
      <c r="S72" s="261"/>
      <c r="T72" s="261"/>
      <c r="U72" s="261"/>
      <c r="V72" s="261"/>
      <c r="W72" s="261"/>
      <c r="X72" s="261"/>
      <c r="Y72" s="261"/>
      <c r="Z72" s="261"/>
      <c r="AA72" s="290"/>
      <c r="AB72" s="261"/>
      <c r="AC72" s="261"/>
    </row>
    <row r="73" spans="1:46" s="230" customFormat="1" ht="12.75" x14ac:dyDescent="0.2">
      <c r="C73" s="261"/>
      <c r="D73" s="261"/>
      <c r="E73" s="293"/>
      <c r="F73" s="294"/>
      <c r="G73" s="261"/>
      <c r="H73" s="290"/>
      <c r="I73" s="295"/>
      <c r="J73" s="261"/>
      <c r="K73" s="261"/>
      <c r="L73" s="261"/>
      <c r="M73" s="261"/>
      <c r="N73" s="261"/>
      <c r="O73" s="261"/>
      <c r="P73" s="261"/>
      <c r="Q73" s="261"/>
      <c r="R73" s="261"/>
      <c r="S73" s="261"/>
      <c r="T73" s="261"/>
      <c r="U73" s="261"/>
      <c r="V73" s="261"/>
      <c r="W73" s="290"/>
      <c r="X73" s="261"/>
      <c r="Y73" s="261"/>
      <c r="Z73" s="261"/>
      <c r="AA73" s="290"/>
      <c r="AB73" s="261"/>
      <c r="AC73" s="261"/>
    </row>
    <row r="74" spans="1:46" s="230" customFormat="1" ht="12.75" x14ac:dyDescent="0.2">
      <c r="A74" s="280" t="s">
        <v>387</v>
      </c>
      <c r="B74" s="280">
        <f>SUM(B69:B73)</f>
        <v>110.44216869066156</v>
      </c>
      <c r="C74" s="261"/>
      <c r="D74" s="261">
        <f>SUM(D69:D73)</f>
        <v>58.106174864221472</v>
      </c>
      <c r="E74" s="296"/>
      <c r="F74" s="297">
        <f>SUM(F69:F73)</f>
        <v>0.48697383864181992</v>
      </c>
      <c r="G74" s="296"/>
      <c r="H74" s="292">
        <f>SUM(H69:H73)</f>
        <v>3.0038451873053637E-2</v>
      </c>
      <c r="I74" s="296"/>
      <c r="J74" s="296"/>
      <c r="K74" s="296"/>
      <c r="L74" s="296"/>
      <c r="M74" s="261">
        <f>SUM(M69:M73)</f>
        <v>22.330152952266715</v>
      </c>
      <c r="N74" s="296"/>
      <c r="O74" s="261">
        <f>SUM(O69:O73)</f>
        <v>8.4151392789645438</v>
      </c>
      <c r="P74" s="296"/>
      <c r="Q74" s="261">
        <f>SUM(Q69:Q73)</f>
        <v>6.0108137706889613</v>
      </c>
      <c r="R74" s="296"/>
      <c r="S74" s="261">
        <f>SUM(S69:S73)</f>
        <v>1.6996065358551768</v>
      </c>
      <c r="T74" s="296"/>
      <c r="U74" s="261">
        <f>SUM(U69:U73)</f>
        <v>1.9214345326379221</v>
      </c>
      <c r="V74" s="296"/>
      <c r="W74" s="290">
        <f>SUM(W69:W73)</f>
        <v>0.10770311774700116</v>
      </c>
      <c r="X74" s="296"/>
      <c r="Y74" s="290">
        <f>SUM(Y69:Y73)</f>
        <v>0.22440481366161955</v>
      </c>
      <c r="Z74" s="296"/>
      <c r="AA74" s="290">
        <f>SUM(AA69:AA73)</f>
        <v>3.2162561239883126E-2</v>
      </c>
      <c r="AB74" s="296"/>
      <c r="AC74" s="261">
        <f>SUM(AC69:AC73)</f>
        <v>11.063209060633259</v>
      </c>
    </row>
    <row r="75" spans="1:46" s="230" customFormat="1" ht="12.75" x14ac:dyDescent="0.2">
      <c r="A75" s="230" t="s">
        <v>388</v>
      </c>
      <c r="C75" s="261">
        <f>D74</f>
        <v>58.106174864221472</v>
      </c>
      <c r="D75" s="261"/>
      <c r="E75" s="298">
        <f>0.1*F74</f>
        <v>4.8697383864181994E-2</v>
      </c>
      <c r="F75" s="291"/>
      <c r="G75" s="298">
        <f>H74</f>
        <v>3.0038451873053637E-2</v>
      </c>
      <c r="H75" s="261"/>
      <c r="I75" s="261"/>
      <c r="J75" s="261"/>
      <c r="K75" s="261">
        <f>C35</f>
        <v>12.7</v>
      </c>
      <c r="L75" s="261"/>
      <c r="M75" s="261"/>
      <c r="N75" s="261">
        <f>O74</f>
        <v>8.4151392789645438</v>
      </c>
      <c r="O75" s="261"/>
      <c r="P75" s="261">
        <f>Q74</f>
        <v>6.0108137706889613</v>
      </c>
      <c r="Q75" s="261"/>
      <c r="R75" s="261">
        <f>S74</f>
        <v>1.6996065358551768</v>
      </c>
      <c r="S75" s="261"/>
      <c r="T75" s="261">
        <f>U74</f>
        <v>1.9214345326379221</v>
      </c>
      <c r="U75" s="261"/>
      <c r="V75" s="261">
        <f>W74</f>
        <v>0.10770311774700116</v>
      </c>
      <c r="W75" s="261"/>
      <c r="X75" s="261">
        <f>Y74</f>
        <v>0.22440481366161955</v>
      </c>
      <c r="Y75" s="261"/>
      <c r="Z75" s="261">
        <f>AA74</f>
        <v>3.2162561239883126E-2</v>
      </c>
      <c r="AA75" s="299" t="s">
        <v>389</v>
      </c>
      <c r="AB75" s="300"/>
      <c r="AC75" s="261" t="s">
        <v>75</v>
      </c>
    </row>
    <row r="76" spans="1:46" s="230" customFormat="1" ht="12.75" x14ac:dyDescent="0.2">
      <c r="A76" s="280" t="s">
        <v>390</v>
      </c>
      <c r="B76" s="280"/>
      <c r="C76" s="301">
        <f>C75</f>
        <v>58.106174864221472</v>
      </c>
      <c r="D76" s="261"/>
      <c r="E76" s="302">
        <f>E75</f>
        <v>4.8697383864181994E-2</v>
      </c>
      <c r="F76" s="261"/>
      <c r="G76" s="302">
        <f>G75</f>
        <v>3.0038451873053637E-2</v>
      </c>
      <c r="H76" s="261"/>
      <c r="I76" s="301">
        <f>(C76-56/72*C35)*160/112</f>
        <v>68.897710123490995</v>
      </c>
      <c r="J76" s="261"/>
      <c r="K76" s="301">
        <f>K75</f>
        <v>12.7</v>
      </c>
      <c r="L76" s="261"/>
      <c r="M76" s="261"/>
      <c r="N76" s="301">
        <f>N75</f>
        <v>8.4151392789645438</v>
      </c>
      <c r="O76" s="261"/>
      <c r="P76" s="301">
        <f>P75</f>
        <v>6.0108137706889613</v>
      </c>
      <c r="Q76" s="261"/>
      <c r="R76" s="301">
        <f>R75</f>
        <v>1.6996065358551768</v>
      </c>
      <c r="S76" s="261"/>
      <c r="T76" s="301">
        <f>T75</f>
        <v>1.9214345326379221</v>
      </c>
      <c r="U76" s="261"/>
      <c r="V76" s="301">
        <f>V75</f>
        <v>0.10770311774700116</v>
      </c>
      <c r="W76" s="261"/>
      <c r="X76" s="301">
        <f>X75</f>
        <v>0.22440481366161955</v>
      </c>
      <c r="Y76" s="261"/>
      <c r="Z76" s="303">
        <f>Z75</f>
        <v>3.2162561239883126E-2</v>
      </c>
      <c r="AA76" s="261">
        <f>SUM(E76:Z76)</f>
        <v>100.08771057002335</v>
      </c>
      <c r="AB76" s="261"/>
      <c r="AC76" s="290">
        <f>N76/P76</f>
        <v>1.3999999999999997</v>
      </c>
    </row>
    <row r="77" spans="1:46" s="230" customFormat="1" ht="12.75" x14ac:dyDescent="0.2">
      <c r="A77" s="304" t="s">
        <v>391</v>
      </c>
      <c r="B77" s="305"/>
      <c r="C77" s="306">
        <v>0.995</v>
      </c>
      <c r="D77" s="307"/>
      <c r="E77" s="306">
        <v>0.06</v>
      </c>
      <c r="F77" s="307"/>
      <c r="G77" s="306">
        <v>1.1000000000000001</v>
      </c>
      <c r="H77" s="307"/>
      <c r="I77" s="299"/>
      <c r="J77" s="304"/>
      <c r="K77" s="299"/>
      <c r="L77" s="304"/>
      <c r="M77" s="304"/>
      <c r="N77" s="300">
        <v>1.01</v>
      </c>
      <c r="O77" s="304"/>
      <c r="P77" s="300">
        <v>1.02</v>
      </c>
      <c r="Q77" s="304"/>
      <c r="R77" s="300">
        <v>1.01</v>
      </c>
      <c r="S77" s="307"/>
      <c r="T77" s="300">
        <v>0.92</v>
      </c>
      <c r="U77" s="307"/>
      <c r="V77" s="300">
        <v>1</v>
      </c>
      <c r="W77" s="307"/>
      <c r="X77" s="300">
        <v>1</v>
      </c>
      <c r="Y77" s="307"/>
      <c r="Z77" s="308">
        <v>0.7</v>
      </c>
      <c r="AA77" s="261"/>
      <c r="AB77" s="300"/>
      <c r="AC77" s="290"/>
    </row>
    <row r="78" spans="1:46" s="230" customFormat="1" ht="12.75" x14ac:dyDescent="0.2">
      <c r="A78" s="309" t="s">
        <v>346</v>
      </c>
      <c r="B78" s="309"/>
      <c r="C78" s="230">
        <f>C76*C77</f>
        <v>57.815643989900366</v>
      </c>
      <c r="E78" s="240">
        <f>F74*E77</f>
        <v>2.9218430318509195E-2</v>
      </c>
      <c r="G78" s="240">
        <f>G76*G77</f>
        <v>3.3042297060359001E-2</v>
      </c>
      <c r="I78" s="230">
        <f>(C78-56/72*C35)*160/112</f>
        <v>68.482666017317982</v>
      </c>
      <c r="K78" s="230">
        <f>K76</f>
        <v>12.7</v>
      </c>
      <c r="N78" s="230">
        <f>N76*N77</f>
        <v>8.4992906717541885</v>
      </c>
      <c r="P78" s="230">
        <f>P76*P77</f>
        <v>6.1310300461027403</v>
      </c>
      <c r="R78" s="230">
        <f>R76*R77</f>
        <v>1.7166026012137285</v>
      </c>
      <c r="T78" s="230">
        <f>T76*T77</f>
        <v>1.7677197700268883</v>
      </c>
      <c r="V78" s="230">
        <f>V77*V76</f>
        <v>0.10770311774700116</v>
      </c>
      <c r="X78" s="230">
        <f>X76*X77</f>
        <v>0.22440481366161955</v>
      </c>
      <c r="Z78" s="230">
        <f>Z76*Z77</f>
        <v>2.2513792867918186E-2</v>
      </c>
      <c r="AA78" s="230">
        <f>SUM(E78:Z78)</f>
        <v>99.714191558070937</v>
      </c>
      <c r="AC78" s="230">
        <f>N78/P78</f>
        <v>1.3862745098039211</v>
      </c>
    </row>
    <row r="79" spans="1:46" s="230" customFormat="1" x14ac:dyDescent="0.2">
      <c r="A79" s="230" t="s">
        <v>348</v>
      </c>
      <c r="C79" s="230">
        <v>57.5</v>
      </c>
      <c r="E79" s="240">
        <v>2.9000000000000001E-2</v>
      </c>
      <c r="G79" s="240">
        <v>3.3000000000000002E-2</v>
      </c>
      <c r="I79" s="230" t="s">
        <v>392</v>
      </c>
      <c r="K79" s="230" t="s">
        <v>59</v>
      </c>
      <c r="N79" s="230">
        <v>9.74</v>
      </c>
      <c r="P79" s="230">
        <v>6.09</v>
      </c>
      <c r="R79" s="230">
        <v>1.7</v>
      </c>
      <c r="T79" s="230">
        <v>1.86</v>
      </c>
      <c r="V79" s="230">
        <v>0.23</v>
      </c>
      <c r="X79" s="230">
        <v>0.22</v>
      </c>
      <c r="Z79" s="275">
        <v>2.1999999999999999E-2</v>
      </c>
      <c r="AA79" s="261"/>
      <c r="AC79" s="290">
        <f>N79/P79</f>
        <v>1.5993431855500821</v>
      </c>
    </row>
    <row r="80" spans="1:46" s="230" customFormat="1" x14ac:dyDescent="0.2"/>
    <row r="81" spans="1:111" s="230" customFormat="1" x14ac:dyDescent="0.2"/>
    <row r="82" spans="1:111" s="230" customFormat="1" ht="18" x14ac:dyDescent="0.25">
      <c r="A82" s="310"/>
    </row>
    <row r="83" spans="1:111" s="230" customFormat="1" ht="12.75" x14ac:dyDescent="0.2">
      <c r="A83" s="280"/>
      <c r="B83" s="311"/>
      <c r="C83" s="311"/>
      <c r="D83" s="280"/>
      <c r="E83" s="280"/>
      <c r="F83" s="280"/>
      <c r="G83" s="280"/>
      <c r="H83" s="311"/>
      <c r="I83" s="311"/>
      <c r="J83" s="280"/>
      <c r="K83" s="280"/>
      <c r="L83" s="280"/>
      <c r="M83" s="280"/>
      <c r="N83" s="311"/>
      <c r="O83" s="311"/>
      <c r="P83" s="280"/>
      <c r="Q83" s="280"/>
      <c r="R83" s="280"/>
      <c r="S83" s="280"/>
      <c r="T83" s="311"/>
      <c r="U83" s="311"/>
      <c r="V83" s="280"/>
      <c r="W83" s="280"/>
      <c r="X83" s="280"/>
      <c r="Y83" s="280"/>
      <c r="Z83" s="311"/>
      <c r="AA83" s="311"/>
      <c r="AB83" s="280"/>
      <c r="AC83" s="280"/>
      <c r="AD83" s="280"/>
      <c r="AE83" s="280"/>
      <c r="AF83" s="311"/>
      <c r="AG83" s="311"/>
      <c r="AH83" s="280"/>
      <c r="AI83" s="280"/>
      <c r="AJ83" s="280"/>
      <c r="AK83" s="280"/>
      <c r="AL83" s="311"/>
      <c r="AM83" s="311"/>
      <c r="AN83" s="280"/>
      <c r="AO83" s="280"/>
      <c r="AP83" s="280"/>
      <c r="AQ83" s="280"/>
      <c r="AR83" s="311"/>
      <c r="AS83" s="311"/>
      <c r="AT83" s="280"/>
      <c r="AU83" s="280"/>
      <c r="AV83" s="280"/>
      <c r="AW83" s="280"/>
      <c r="AX83" s="311"/>
      <c r="AY83" s="311"/>
      <c r="AZ83" s="280"/>
      <c r="BA83" s="280"/>
      <c r="BB83" s="280"/>
      <c r="BC83" s="280"/>
      <c r="BD83" s="311"/>
      <c r="BE83" s="311"/>
      <c r="BF83" s="280"/>
      <c r="BG83" s="312"/>
      <c r="BH83" s="312"/>
      <c r="BI83" s="312"/>
      <c r="BJ83" s="312"/>
      <c r="BK83" s="312"/>
      <c r="BL83" s="312"/>
      <c r="BM83" s="312"/>
      <c r="BN83" s="312"/>
      <c r="BO83" s="312"/>
      <c r="BP83" s="312"/>
      <c r="BQ83" s="312"/>
      <c r="BR83" s="312"/>
      <c r="BS83" s="312"/>
      <c r="BT83" s="312"/>
      <c r="BU83" s="312"/>
      <c r="BV83" s="312"/>
      <c r="BW83" s="312"/>
      <c r="BX83" s="312"/>
      <c r="BY83" s="312"/>
      <c r="BZ83" s="312"/>
      <c r="CA83" s="312"/>
      <c r="CB83" s="312"/>
      <c r="CC83" s="312"/>
      <c r="CD83" s="312"/>
      <c r="CE83" s="312"/>
      <c r="CF83" s="312"/>
      <c r="CG83" s="312"/>
      <c r="CH83" s="312"/>
      <c r="CI83" s="312"/>
      <c r="CJ83" s="312"/>
      <c r="CK83" s="312"/>
      <c r="CL83" s="312"/>
      <c r="CM83" s="312"/>
      <c r="CN83" s="312"/>
      <c r="CO83" s="312"/>
      <c r="CP83" s="312"/>
      <c r="CQ83" s="312"/>
      <c r="CR83" s="312"/>
      <c r="CS83" s="312"/>
      <c r="CT83" s="312"/>
      <c r="CU83" s="312"/>
      <c r="CV83" s="312"/>
      <c r="CW83" s="312"/>
      <c r="CX83" s="312"/>
      <c r="CY83" s="312"/>
      <c r="CZ83" s="312"/>
      <c r="DA83" s="312"/>
      <c r="DB83" s="312"/>
      <c r="DC83" s="312"/>
      <c r="DD83" s="312"/>
      <c r="DE83" s="312"/>
      <c r="DF83" s="312"/>
      <c r="DG83" s="312"/>
    </row>
    <row r="84" spans="1:111" ht="12.75" x14ac:dyDescent="0.2">
      <c r="A84" s="280"/>
      <c r="B84" s="311"/>
      <c r="C84" s="311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  <c r="P84" s="280"/>
      <c r="Q84" s="280"/>
      <c r="R84" s="280"/>
      <c r="S84" s="280"/>
      <c r="T84" s="280"/>
      <c r="U84" s="280"/>
      <c r="V84" s="280"/>
      <c r="W84" s="280"/>
      <c r="X84" s="280"/>
      <c r="Y84" s="313"/>
      <c r="Z84" s="280"/>
      <c r="AA84" s="280"/>
      <c r="AB84" s="280"/>
      <c r="AC84" s="280"/>
      <c r="AD84" s="280"/>
      <c r="AE84" s="280"/>
      <c r="AF84" s="280"/>
      <c r="AG84" s="280"/>
      <c r="AH84" s="280"/>
      <c r="AI84" s="280"/>
      <c r="AJ84" s="280"/>
      <c r="AK84" s="280"/>
      <c r="AL84" s="280"/>
      <c r="AM84" s="280"/>
      <c r="AN84" s="280"/>
      <c r="AO84" s="280"/>
    </row>
    <row r="85" spans="1:111" ht="12.75" x14ac:dyDescent="0.2">
      <c r="A85" s="280"/>
      <c r="B85" s="311"/>
      <c r="C85" s="311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313"/>
      <c r="Z85" s="280"/>
      <c r="AA85" s="280"/>
      <c r="AB85" s="280"/>
      <c r="AC85" s="280"/>
      <c r="AD85" s="280"/>
      <c r="AE85" s="280"/>
      <c r="AF85" s="280"/>
      <c r="AG85" s="280"/>
      <c r="AH85" s="280"/>
      <c r="AI85" s="280"/>
      <c r="AJ85" s="280"/>
      <c r="AK85" s="280"/>
      <c r="AL85" s="280"/>
      <c r="AM85" s="280"/>
      <c r="AN85" s="280"/>
      <c r="AO85" s="280"/>
    </row>
    <row r="86" spans="1:111" ht="12.75" x14ac:dyDescent="0.2">
      <c r="A86" s="280"/>
      <c r="B86" s="311"/>
      <c r="C86" s="311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  <c r="P86" s="280"/>
      <c r="Q86" s="280"/>
      <c r="R86" s="280"/>
      <c r="S86" s="280"/>
      <c r="T86" s="280"/>
      <c r="U86" s="280"/>
      <c r="V86" s="280"/>
      <c r="W86" s="280"/>
      <c r="X86" s="280"/>
      <c r="Y86" s="313"/>
      <c r="Z86" s="280"/>
      <c r="AA86" s="280"/>
      <c r="AB86" s="280"/>
      <c r="AC86" s="280"/>
      <c r="AD86" s="280"/>
      <c r="AE86" s="280"/>
      <c r="AF86" s="280"/>
      <c r="AG86" s="280"/>
      <c r="AH86" s="280"/>
      <c r="AI86" s="280"/>
      <c r="AJ86" s="280"/>
      <c r="AK86" s="280"/>
      <c r="AL86" s="280"/>
      <c r="AM86" s="280"/>
      <c r="AN86" s="280"/>
      <c r="AO86" s="280"/>
    </row>
    <row r="87" spans="1:111" ht="12.75" x14ac:dyDescent="0.2">
      <c r="A87" s="280"/>
      <c r="B87" s="211"/>
      <c r="C87" s="211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  <c r="P87" s="280"/>
      <c r="Q87" s="280"/>
      <c r="R87" s="280"/>
      <c r="S87" s="280"/>
      <c r="T87" s="280"/>
      <c r="U87" s="280"/>
      <c r="V87" s="280"/>
      <c r="W87" s="280"/>
      <c r="X87" s="280"/>
      <c r="Y87" s="313"/>
      <c r="Z87" s="280"/>
      <c r="AA87" s="280"/>
      <c r="AB87" s="280"/>
      <c r="AC87" s="280"/>
      <c r="AD87" s="280"/>
      <c r="AE87" s="280"/>
      <c r="AF87" s="280"/>
      <c r="AG87" s="280"/>
      <c r="AH87" s="280"/>
      <c r="AI87" s="280"/>
      <c r="AJ87" s="280"/>
      <c r="AK87" s="280"/>
      <c r="AL87" s="280"/>
      <c r="AM87" s="280"/>
      <c r="AN87" s="280"/>
      <c r="AO87" s="280"/>
    </row>
    <row r="88" spans="1:111" ht="12.75" x14ac:dyDescent="0.2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0"/>
      <c r="AH88" s="280"/>
      <c r="AI88" s="280"/>
      <c r="AJ88" s="280"/>
      <c r="AK88" s="280"/>
      <c r="AL88" s="280"/>
      <c r="AM88" s="280"/>
      <c r="AN88" s="280"/>
      <c r="AO88" s="280"/>
      <c r="AP88" s="280"/>
      <c r="AQ88" s="280"/>
      <c r="AR88" s="280"/>
      <c r="AS88" s="280"/>
      <c r="AT88" s="280"/>
      <c r="AU88" s="280"/>
      <c r="AV88" s="280"/>
      <c r="AW88" s="280"/>
      <c r="AX88" s="280"/>
      <c r="AY88" s="280"/>
      <c r="AZ88" s="280"/>
    </row>
    <row r="89" spans="1:111" ht="12.75" x14ac:dyDescent="0.2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  <c r="P89" s="280"/>
      <c r="Q89" s="280"/>
      <c r="R89" s="280"/>
      <c r="S89" s="280"/>
      <c r="T89" s="280"/>
      <c r="U89" s="280"/>
      <c r="V89" s="280"/>
      <c r="W89" s="280"/>
      <c r="X89" s="280"/>
      <c r="Y89" s="280"/>
      <c r="Z89" s="280"/>
      <c r="AA89" s="280"/>
      <c r="AB89" s="280"/>
      <c r="AC89" s="280"/>
      <c r="AD89" s="280"/>
      <c r="AE89" s="280"/>
      <c r="AF89" s="280"/>
      <c r="AG89" s="280"/>
      <c r="AH89" s="280"/>
      <c r="AI89" s="280"/>
      <c r="AJ89" s="280"/>
      <c r="AK89" s="280"/>
      <c r="AL89" s="280"/>
      <c r="AM89" s="280"/>
      <c r="AN89" s="280"/>
      <c r="AO89" s="280"/>
      <c r="AP89" s="280"/>
      <c r="AQ89" s="280"/>
      <c r="AR89" s="280"/>
      <c r="AS89" s="280"/>
      <c r="AT89" s="280"/>
      <c r="AU89" s="280"/>
      <c r="AV89" s="280"/>
      <c r="AW89" s="280"/>
      <c r="AX89" s="280"/>
      <c r="AY89" s="280"/>
      <c r="AZ89" s="280"/>
    </row>
    <row r="90" spans="1:111" ht="12.75" x14ac:dyDescent="0.2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  <c r="P90" s="280"/>
      <c r="Q90" s="280"/>
      <c r="R90" s="280"/>
      <c r="S90" s="280"/>
      <c r="T90" s="280"/>
      <c r="U90" s="280"/>
      <c r="V90" s="280"/>
      <c r="W90" s="280"/>
      <c r="X90" s="280"/>
      <c r="Y90" s="280"/>
      <c r="Z90" s="280"/>
      <c r="AA90" s="280"/>
      <c r="AB90" s="280"/>
      <c r="AC90" s="280"/>
      <c r="AD90" s="280"/>
      <c r="AE90" s="280"/>
      <c r="AF90" s="280"/>
      <c r="AG90" s="280"/>
      <c r="AH90" s="280"/>
      <c r="AI90" s="280"/>
      <c r="AJ90" s="280"/>
      <c r="AK90" s="280"/>
      <c r="AL90" s="280"/>
      <c r="AM90" s="280"/>
      <c r="AN90" s="280"/>
      <c r="AO90" s="280"/>
      <c r="AP90" s="280"/>
      <c r="AQ90" s="280"/>
      <c r="AR90" s="280"/>
      <c r="AS90" s="280"/>
      <c r="AT90" s="280"/>
      <c r="AU90" s="280"/>
      <c r="AV90" s="280"/>
      <c r="AW90" s="280"/>
      <c r="AX90" s="280"/>
      <c r="AY90" s="280"/>
      <c r="AZ90" s="280"/>
    </row>
    <row r="91" spans="1:111" ht="12.75" x14ac:dyDescent="0.2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  <c r="P91" s="280"/>
      <c r="Q91" s="280"/>
      <c r="R91" s="280"/>
      <c r="S91" s="280"/>
      <c r="T91" s="280"/>
      <c r="U91" s="280"/>
      <c r="V91" s="280"/>
      <c r="W91" s="280"/>
      <c r="X91" s="280"/>
      <c r="Y91" s="280"/>
      <c r="Z91" s="280"/>
      <c r="AA91" s="280"/>
      <c r="AB91" s="280"/>
      <c r="AC91" s="280"/>
      <c r="AD91" s="280"/>
      <c r="AE91" s="280"/>
      <c r="AF91" s="280"/>
      <c r="AG91" s="280"/>
      <c r="AH91" s="280"/>
      <c r="AI91" s="280"/>
      <c r="AJ91" s="280"/>
      <c r="AK91" s="280"/>
      <c r="AL91" s="280"/>
      <c r="AM91" s="280"/>
      <c r="AN91" s="280"/>
      <c r="AO91" s="280"/>
      <c r="AP91" s="280"/>
      <c r="AQ91" s="280"/>
      <c r="AR91" s="280"/>
      <c r="AS91" s="280"/>
      <c r="AT91" s="280"/>
      <c r="AU91" s="280"/>
      <c r="AV91" s="280"/>
      <c r="AW91" s="280"/>
      <c r="AX91" s="280"/>
      <c r="AY91" s="280"/>
      <c r="AZ91" s="280"/>
    </row>
    <row r="92" spans="1:111" ht="12.75" x14ac:dyDescent="0.2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  <c r="P92" s="280"/>
      <c r="Q92" s="280"/>
      <c r="R92" s="280"/>
      <c r="S92" s="280"/>
      <c r="T92" s="280"/>
      <c r="U92" s="280"/>
      <c r="V92" s="280"/>
      <c r="W92" s="280"/>
      <c r="X92" s="280"/>
      <c r="Y92" s="280"/>
      <c r="Z92" s="280"/>
      <c r="AA92" s="280"/>
      <c r="AB92" s="280"/>
      <c r="AC92" s="280"/>
      <c r="AD92" s="280"/>
      <c r="AE92" s="280"/>
      <c r="AF92" s="280"/>
      <c r="AG92" s="280"/>
      <c r="AH92" s="280"/>
      <c r="AI92" s="280"/>
      <c r="AJ92" s="280"/>
      <c r="AK92" s="280"/>
      <c r="AL92" s="280"/>
      <c r="AM92" s="280"/>
      <c r="AN92" s="280"/>
      <c r="AO92" s="280"/>
      <c r="AP92" s="280"/>
      <c r="AQ92" s="280"/>
      <c r="AR92" s="280"/>
      <c r="AS92" s="280"/>
      <c r="AT92" s="280"/>
      <c r="AU92" s="280"/>
      <c r="AV92" s="280"/>
      <c r="AW92" s="280"/>
      <c r="AX92" s="280"/>
      <c r="AY92" s="280"/>
      <c r="AZ92" s="280"/>
    </row>
    <row r="93" spans="1:111" ht="12.75" x14ac:dyDescent="0.2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0"/>
      <c r="AH93" s="280"/>
      <c r="AI93" s="280"/>
      <c r="AJ93" s="280"/>
      <c r="AK93" s="280"/>
      <c r="AL93" s="280"/>
      <c r="AM93" s="280"/>
      <c r="AN93" s="280"/>
      <c r="AO93" s="280"/>
      <c r="AP93" s="280"/>
      <c r="AQ93" s="280"/>
      <c r="AR93" s="280"/>
      <c r="AS93" s="280"/>
      <c r="AT93" s="280"/>
      <c r="AU93" s="280"/>
      <c r="AV93" s="280"/>
      <c r="AW93" s="280"/>
      <c r="AX93" s="280"/>
      <c r="AY93" s="280"/>
      <c r="AZ93" s="280"/>
    </row>
    <row r="94" spans="1:111" ht="12.75" x14ac:dyDescent="0.2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  <c r="P94" s="280"/>
      <c r="Q94" s="280"/>
      <c r="R94" s="280"/>
      <c r="S94" s="280"/>
      <c r="T94" s="280"/>
      <c r="U94" s="280"/>
      <c r="V94" s="280"/>
      <c r="W94" s="280"/>
      <c r="X94" s="280"/>
      <c r="Y94" s="280"/>
      <c r="Z94" s="280"/>
      <c r="AA94" s="280"/>
      <c r="AB94" s="280"/>
      <c r="AC94" s="280"/>
      <c r="AD94" s="280"/>
      <c r="AE94" s="280"/>
      <c r="AF94" s="280"/>
      <c r="AG94" s="280"/>
      <c r="AH94" s="280"/>
      <c r="AI94" s="280"/>
      <c r="AJ94" s="280"/>
      <c r="AK94" s="280"/>
      <c r="AL94" s="280"/>
      <c r="AM94" s="280"/>
      <c r="AN94" s="280"/>
      <c r="AO94" s="280"/>
      <c r="AP94" s="280"/>
      <c r="AQ94" s="280"/>
      <c r="AR94" s="280"/>
      <c r="AS94" s="280"/>
      <c r="AT94" s="280"/>
      <c r="AU94" s="280"/>
      <c r="AV94" s="280"/>
      <c r="AW94" s="280"/>
      <c r="AX94" s="280"/>
      <c r="AY94" s="280"/>
      <c r="AZ94" s="280"/>
    </row>
    <row r="95" spans="1:111" ht="12.75" x14ac:dyDescent="0.2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0"/>
      <c r="AN95" s="280"/>
      <c r="AO95" s="280"/>
      <c r="AP95" s="280"/>
      <c r="AQ95" s="280"/>
      <c r="AR95" s="280"/>
      <c r="AS95" s="280"/>
      <c r="AT95" s="280"/>
      <c r="AU95" s="280"/>
      <c r="AV95" s="280"/>
      <c r="AW95" s="280"/>
      <c r="AX95" s="280"/>
      <c r="AY95" s="280"/>
      <c r="AZ95" s="280"/>
    </row>
    <row r="96" spans="1:111" ht="12.75" x14ac:dyDescent="0.2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  <c r="P96" s="280"/>
      <c r="Q96" s="280"/>
      <c r="R96" s="280"/>
      <c r="S96" s="280"/>
      <c r="T96" s="280"/>
      <c r="U96" s="280"/>
      <c r="V96" s="280"/>
      <c r="W96" s="280"/>
      <c r="X96" s="280"/>
      <c r="Y96" s="280"/>
      <c r="Z96" s="280"/>
      <c r="AA96" s="280"/>
      <c r="AB96" s="280"/>
      <c r="AC96" s="280"/>
      <c r="AD96" s="280"/>
      <c r="AE96" s="280"/>
      <c r="AF96" s="280"/>
      <c r="AG96" s="280"/>
      <c r="AH96" s="280"/>
      <c r="AI96" s="280"/>
      <c r="AJ96" s="280"/>
      <c r="AK96" s="280"/>
      <c r="AL96" s="280"/>
      <c r="AM96" s="280"/>
      <c r="AN96" s="280"/>
      <c r="AO96" s="280"/>
      <c r="AP96" s="280"/>
      <c r="AQ96" s="280"/>
      <c r="AR96" s="280"/>
      <c r="AS96" s="280"/>
      <c r="AT96" s="280"/>
      <c r="AU96" s="280"/>
      <c r="AV96" s="280"/>
      <c r="AW96" s="280"/>
      <c r="AX96" s="280"/>
      <c r="AY96" s="280"/>
      <c r="AZ96" s="280"/>
    </row>
    <row r="97" spans="1:52" ht="12.75" x14ac:dyDescent="0.2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  <c r="P97" s="280"/>
      <c r="Q97" s="280"/>
      <c r="R97" s="280"/>
      <c r="S97" s="280"/>
      <c r="T97" s="280"/>
      <c r="U97" s="280"/>
      <c r="V97" s="280"/>
      <c r="W97" s="280"/>
      <c r="X97" s="280"/>
      <c r="Y97" s="280"/>
      <c r="Z97" s="280"/>
      <c r="AA97" s="280"/>
      <c r="AB97" s="280"/>
      <c r="AC97" s="280"/>
      <c r="AD97" s="280"/>
      <c r="AE97" s="280"/>
      <c r="AF97" s="280"/>
      <c r="AG97" s="280"/>
      <c r="AH97" s="280"/>
      <c r="AI97" s="280"/>
      <c r="AJ97" s="280"/>
      <c r="AK97" s="280"/>
      <c r="AL97" s="280"/>
      <c r="AM97" s="280"/>
      <c r="AN97" s="280"/>
      <c r="AO97" s="280"/>
      <c r="AP97" s="280"/>
      <c r="AQ97" s="280"/>
      <c r="AR97" s="280"/>
      <c r="AS97" s="280"/>
      <c r="AT97" s="280"/>
      <c r="AU97" s="280"/>
      <c r="AV97" s="280"/>
      <c r="AW97" s="280"/>
      <c r="AX97" s="280"/>
      <c r="AY97" s="280"/>
      <c r="AZ97" s="280"/>
    </row>
    <row r="98" spans="1:52" ht="12.75" x14ac:dyDescent="0.2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0"/>
      <c r="AH98" s="280"/>
      <c r="AI98" s="280"/>
      <c r="AJ98" s="280"/>
      <c r="AK98" s="280"/>
      <c r="AL98" s="280"/>
      <c r="AM98" s="280"/>
      <c r="AN98" s="280"/>
      <c r="AO98" s="280"/>
      <c r="AP98" s="280"/>
      <c r="AQ98" s="280"/>
      <c r="AR98" s="280"/>
      <c r="AS98" s="280"/>
      <c r="AT98" s="280"/>
      <c r="AU98" s="280"/>
      <c r="AV98" s="280"/>
      <c r="AW98" s="280"/>
      <c r="AX98" s="280"/>
      <c r="AY98" s="280"/>
      <c r="AZ98" s="280"/>
    </row>
    <row r="99" spans="1:52" ht="12.75" x14ac:dyDescent="0.2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  <c r="P99" s="280"/>
      <c r="Q99" s="280"/>
      <c r="R99" s="280"/>
      <c r="S99" s="280"/>
      <c r="T99" s="280"/>
      <c r="U99" s="280"/>
      <c r="V99" s="280"/>
      <c r="W99" s="280"/>
      <c r="X99" s="280"/>
      <c r="Y99" s="280"/>
      <c r="Z99" s="280"/>
      <c r="AA99" s="280"/>
      <c r="AB99" s="280"/>
      <c r="AC99" s="280"/>
      <c r="AD99" s="280"/>
      <c r="AE99" s="280"/>
      <c r="AF99" s="280"/>
      <c r="AG99" s="280"/>
      <c r="AH99" s="280"/>
      <c r="AI99" s="280"/>
      <c r="AJ99" s="280"/>
      <c r="AK99" s="280"/>
      <c r="AL99" s="280"/>
      <c r="AM99" s="280"/>
      <c r="AN99" s="280"/>
      <c r="AO99" s="280"/>
      <c r="AP99" s="280"/>
      <c r="AQ99" s="280"/>
      <c r="AR99" s="280"/>
      <c r="AS99" s="280"/>
      <c r="AT99" s="280"/>
      <c r="AU99" s="280"/>
      <c r="AV99" s="280"/>
      <c r="AW99" s="280"/>
      <c r="AX99" s="280"/>
      <c r="AY99" s="280"/>
      <c r="AZ99" s="280"/>
    </row>
    <row r="100" spans="1:52" ht="12.75" x14ac:dyDescent="0.2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  <c r="P100" s="280"/>
      <c r="Q100" s="280"/>
      <c r="R100" s="280"/>
      <c r="S100" s="280"/>
      <c r="T100" s="280"/>
      <c r="U100" s="280"/>
      <c r="V100" s="280"/>
      <c r="W100" s="280"/>
      <c r="X100" s="280"/>
      <c r="Y100" s="280"/>
      <c r="Z100" s="280"/>
      <c r="AA100" s="280"/>
      <c r="AB100" s="280"/>
      <c r="AC100" s="280"/>
      <c r="AD100" s="280"/>
      <c r="AE100" s="280"/>
      <c r="AF100" s="280"/>
      <c r="AG100" s="280"/>
      <c r="AH100" s="280"/>
      <c r="AI100" s="280"/>
      <c r="AJ100" s="280"/>
      <c r="AK100" s="280"/>
      <c r="AL100" s="280"/>
      <c r="AM100" s="280"/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280"/>
      <c r="AX100" s="280"/>
      <c r="AY100" s="280"/>
      <c r="AZ100" s="280"/>
    </row>
    <row r="101" spans="1:52" ht="12.75" x14ac:dyDescent="0.2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  <c r="Z101" s="280"/>
      <c r="AA101" s="280"/>
      <c r="AB101" s="280"/>
      <c r="AC101" s="280"/>
      <c r="AD101" s="280"/>
      <c r="AE101" s="280"/>
      <c r="AF101" s="280"/>
      <c r="AG101" s="280"/>
      <c r="AH101" s="280"/>
      <c r="AI101" s="280"/>
      <c r="AJ101" s="280"/>
      <c r="AK101" s="280"/>
      <c r="AL101" s="280"/>
      <c r="AM101" s="280"/>
      <c r="AN101" s="280"/>
      <c r="AO101" s="280"/>
      <c r="AP101" s="280"/>
      <c r="AQ101" s="280"/>
      <c r="AR101" s="280"/>
      <c r="AS101" s="280"/>
      <c r="AT101" s="280"/>
      <c r="AU101" s="280"/>
      <c r="AV101" s="280"/>
      <c r="AW101" s="280"/>
      <c r="AX101" s="280"/>
      <c r="AY101" s="280"/>
      <c r="AZ101" s="280"/>
    </row>
    <row r="102" spans="1:52" ht="12.75" x14ac:dyDescent="0.2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  <c r="P102" s="280"/>
      <c r="Q102" s="280"/>
      <c r="R102" s="280"/>
      <c r="S102" s="280"/>
      <c r="T102" s="280"/>
      <c r="U102" s="280"/>
      <c r="V102" s="280"/>
      <c r="W102" s="280"/>
      <c r="X102" s="280"/>
      <c r="Y102" s="280"/>
      <c r="Z102" s="280"/>
      <c r="AA102" s="280"/>
      <c r="AB102" s="280"/>
      <c r="AC102" s="280"/>
      <c r="AD102" s="280"/>
      <c r="AE102" s="280"/>
      <c r="AF102" s="280"/>
      <c r="AG102" s="280"/>
      <c r="AH102" s="280"/>
      <c r="AI102" s="280"/>
      <c r="AJ102" s="280"/>
      <c r="AK102" s="280"/>
      <c r="AL102" s="280"/>
      <c r="AM102" s="280"/>
      <c r="AN102" s="280"/>
      <c r="AO102" s="280"/>
      <c r="AP102" s="280"/>
      <c r="AQ102" s="280"/>
      <c r="AR102" s="280"/>
      <c r="AS102" s="280"/>
      <c r="AT102" s="280"/>
      <c r="AU102" s="280"/>
      <c r="AV102" s="280"/>
      <c r="AW102" s="280"/>
      <c r="AX102" s="280"/>
      <c r="AY102" s="280"/>
      <c r="AZ102" s="280"/>
    </row>
    <row r="103" spans="1:52" ht="12.75" x14ac:dyDescent="0.2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0"/>
      <c r="AH103" s="280"/>
      <c r="AI103" s="280"/>
      <c r="AJ103" s="280"/>
      <c r="AK103" s="280"/>
      <c r="AL103" s="280"/>
      <c r="AM103" s="280"/>
      <c r="AN103" s="280"/>
      <c r="AO103" s="280"/>
      <c r="AP103" s="280"/>
      <c r="AQ103" s="280"/>
      <c r="AR103" s="280"/>
      <c r="AS103" s="280"/>
      <c r="AT103" s="280"/>
      <c r="AU103" s="280"/>
      <c r="AV103" s="280"/>
      <c r="AW103" s="280"/>
      <c r="AX103" s="280"/>
      <c r="AY103" s="280"/>
      <c r="AZ103" s="280"/>
    </row>
    <row r="104" spans="1:52" ht="12.75" x14ac:dyDescent="0.2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  <c r="P104" s="280"/>
      <c r="Q104" s="280"/>
      <c r="R104" s="280"/>
      <c r="S104" s="280"/>
      <c r="T104" s="280"/>
      <c r="U104" s="280"/>
      <c r="V104" s="280"/>
      <c r="W104" s="280"/>
      <c r="X104" s="280"/>
      <c r="Y104" s="280"/>
      <c r="Z104" s="280"/>
      <c r="AA104" s="280"/>
      <c r="AB104" s="280"/>
      <c r="AC104" s="280"/>
      <c r="AD104" s="280"/>
      <c r="AE104" s="280"/>
      <c r="AF104" s="280"/>
      <c r="AG104" s="280"/>
      <c r="AH104" s="280"/>
      <c r="AI104" s="280"/>
      <c r="AJ104" s="280"/>
      <c r="AK104" s="280"/>
      <c r="AL104" s="280"/>
      <c r="AM104" s="280"/>
      <c r="AN104" s="280"/>
      <c r="AO104" s="280"/>
      <c r="AP104" s="280"/>
      <c r="AQ104" s="280"/>
      <c r="AR104" s="280"/>
      <c r="AS104" s="280"/>
      <c r="AT104" s="280"/>
      <c r="AU104" s="280"/>
      <c r="AV104" s="280"/>
      <c r="AW104" s="280"/>
      <c r="AX104" s="280"/>
      <c r="AY104" s="280"/>
      <c r="AZ104" s="280"/>
    </row>
    <row r="105" spans="1:52" ht="12.75" x14ac:dyDescent="0.2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  <c r="P105" s="280"/>
      <c r="Q105" s="280"/>
      <c r="R105" s="280"/>
      <c r="S105" s="280"/>
      <c r="T105" s="280"/>
      <c r="U105" s="280"/>
      <c r="V105" s="280"/>
      <c r="W105" s="280"/>
      <c r="X105" s="280"/>
      <c r="Y105" s="280"/>
      <c r="Z105" s="280"/>
      <c r="AA105" s="280"/>
      <c r="AB105" s="280"/>
      <c r="AC105" s="280"/>
      <c r="AD105" s="280"/>
      <c r="AE105" s="280"/>
      <c r="AF105" s="280"/>
      <c r="AG105" s="280"/>
      <c r="AH105" s="280"/>
      <c r="AI105" s="280"/>
      <c r="AJ105" s="280"/>
      <c r="AK105" s="280"/>
      <c r="AL105" s="280"/>
      <c r="AM105" s="280"/>
      <c r="AN105" s="280"/>
      <c r="AO105" s="280"/>
      <c r="AP105" s="280"/>
      <c r="AQ105" s="280"/>
      <c r="AR105" s="280"/>
      <c r="AS105" s="280"/>
      <c r="AT105" s="280"/>
      <c r="AU105" s="280"/>
      <c r="AV105" s="280"/>
      <c r="AW105" s="280"/>
      <c r="AX105" s="280"/>
      <c r="AY105" s="280"/>
      <c r="AZ105" s="280"/>
    </row>
    <row r="106" spans="1:52" ht="12.75" x14ac:dyDescent="0.2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  <c r="P106" s="280"/>
      <c r="Q106" s="280"/>
      <c r="R106" s="280"/>
      <c r="S106" s="280"/>
      <c r="T106" s="280"/>
      <c r="U106" s="280"/>
      <c r="V106" s="280"/>
      <c r="W106" s="280"/>
      <c r="X106" s="280"/>
      <c r="Y106" s="280"/>
      <c r="Z106" s="280"/>
      <c r="AA106" s="280"/>
      <c r="AB106" s="280"/>
      <c r="AC106" s="280"/>
      <c r="AD106" s="280"/>
      <c r="AE106" s="280"/>
      <c r="AF106" s="280"/>
      <c r="AG106" s="280"/>
      <c r="AH106" s="280"/>
      <c r="AI106" s="280"/>
      <c r="AJ106" s="280"/>
      <c r="AK106" s="280"/>
      <c r="AL106" s="280"/>
      <c r="AM106" s="280"/>
      <c r="AN106" s="280"/>
      <c r="AO106" s="280"/>
      <c r="AP106" s="280"/>
      <c r="AQ106" s="280"/>
      <c r="AR106" s="280"/>
      <c r="AS106" s="280"/>
      <c r="AT106" s="280"/>
      <c r="AU106" s="280"/>
      <c r="AV106" s="280"/>
      <c r="AW106" s="280"/>
      <c r="AX106" s="280"/>
      <c r="AY106" s="280"/>
      <c r="AZ106" s="280"/>
    </row>
    <row r="107" spans="1:52" ht="12.75" x14ac:dyDescent="0.2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  <c r="P107" s="280"/>
      <c r="Q107" s="280"/>
      <c r="R107" s="280"/>
      <c r="S107" s="280"/>
      <c r="T107" s="280"/>
      <c r="U107" s="280"/>
      <c r="V107" s="280"/>
      <c r="W107" s="280"/>
      <c r="X107" s="280"/>
      <c r="Y107" s="280"/>
      <c r="Z107" s="280"/>
      <c r="AA107" s="280"/>
      <c r="AB107" s="280"/>
      <c r="AC107" s="280"/>
      <c r="AD107" s="280"/>
      <c r="AE107" s="280"/>
      <c r="AF107" s="280"/>
      <c r="AG107" s="280"/>
      <c r="AH107" s="280"/>
      <c r="AI107" s="280"/>
      <c r="AJ107" s="280"/>
      <c r="AK107" s="280"/>
      <c r="AL107" s="280"/>
      <c r="AM107" s="280"/>
      <c r="AN107" s="280"/>
      <c r="AO107" s="280"/>
      <c r="AP107" s="280"/>
      <c r="AQ107" s="280"/>
      <c r="AR107" s="280"/>
      <c r="AS107" s="280"/>
      <c r="AT107" s="280"/>
      <c r="AU107" s="280"/>
      <c r="AV107" s="280"/>
      <c r="AW107" s="280"/>
      <c r="AX107" s="280"/>
      <c r="AY107" s="280"/>
      <c r="AZ107" s="280"/>
    </row>
    <row r="108" spans="1:52" ht="12.75" x14ac:dyDescent="0.2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</row>
    <row r="109" spans="1:52" ht="12.75" x14ac:dyDescent="0.2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280"/>
    </row>
    <row r="110" spans="1:52" ht="12.75" x14ac:dyDescent="0.2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0"/>
      <c r="AN110" s="280"/>
      <c r="AO110" s="280"/>
      <c r="AP110" s="280"/>
      <c r="AQ110" s="280"/>
      <c r="AR110" s="280"/>
      <c r="AS110" s="280"/>
      <c r="AT110" s="280"/>
      <c r="AU110" s="280"/>
      <c r="AV110" s="280"/>
      <c r="AW110" s="280"/>
      <c r="AX110" s="280"/>
      <c r="AY110" s="280"/>
      <c r="AZ110" s="280"/>
    </row>
    <row r="111" spans="1:52" ht="12.75" x14ac:dyDescent="0.2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  <c r="P111" s="280"/>
      <c r="Q111" s="280"/>
      <c r="R111" s="280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0"/>
      <c r="AN111" s="280"/>
      <c r="AO111" s="280"/>
      <c r="AP111" s="280"/>
      <c r="AQ111" s="280"/>
      <c r="AR111" s="280"/>
      <c r="AS111" s="280"/>
      <c r="AT111" s="280"/>
      <c r="AU111" s="280"/>
      <c r="AV111" s="280"/>
      <c r="AW111" s="280"/>
      <c r="AX111" s="280"/>
      <c r="AY111" s="280"/>
      <c r="AZ111" s="280"/>
    </row>
    <row r="112" spans="1:52" ht="12.75" x14ac:dyDescent="0.2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  <c r="P112" s="280"/>
      <c r="Q112" s="280"/>
      <c r="R112" s="280"/>
      <c r="S112" s="280"/>
      <c r="T112" s="280"/>
      <c r="U112" s="280"/>
      <c r="V112" s="280"/>
      <c r="W112" s="280"/>
      <c r="X112" s="280"/>
      <c r="Y112" s="280"/>
      <c r="Z112" s="280"/>
      <c r="AA112" s="280"/>
      <c r="AB112" s="280"/>
      <c r="AC112" s="280"/>
      <c r="AD112" s="280"/>
      <c r="AE112" s="280"/>
      <c r="AF112" s="280"/>
      <c r="AG112" s="280"/>
      <c r="AH112" s="280"/>
      <c r="AI112" s="280"/>
      <c r="AJ112" s="280"/>
      <c r="AK112" s="280"/>
      <c r="AL112" s="280"/>
      <c r="AM112" s="280"/>
      <c r="AN112" s="280"/>
      <c r="AO112" s="280"/>
      <c r="AP112" s="280"/>
      <c r="AQ112" s="280"/>
      <c r="AR112" s="280"/>
      <c r="AS112" s="280"/>
      <c r="AT112" s="280"/>
      <c r="AU112" s="280"/>
      <c r="AV112" s="280"/>
      <c r="AW112" s="280"/>
      <c r="AX112" s="280"/>
      <c r="AY112" s="280"/>
      <c r="AZ112" s="280"/>
    </row>
    <row r="113" spans="1:52" ht="12.75" x14ac:dyDescent="0.2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0"/>
      <c r="AH113" s="280"/>
      <c r="AI113" s="280"/>
      <c r="AJ113" s="280"/>
      <c r="AK113" s="280"/>
      <c r="AL113" s="280"/>
      <c r="AM113" s="280"/>
      <c r="AN113" s="280"/>
      <c r="AO113" s="280"/>
      <c r="AP113" s="280"/>
      <c r="AQ113" s="280"/>
      <c r="AR113" s="280"/>
      <c r="AS113" s="280"/>
      <c r="AT113" s="280"/>
      <c r="AU113" s="280"/>
      <c r="AV113" s="280"/>
      <c r="AW113" s="280"/>
      <c r="AX113" s="280"/>
      <c r="AY113" s="280"/>
      <c r="AZ113" s="280"/>
    </row>
    <row r="114" spans="1:52" ht="12.75" x14ac:dyDescent="0.2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  <c r="P114" s="280"/>
      <c r="Q114" s="280"/>
      <c r="R114" s="280"/>
      <c r="S114" s="280"/>
      <c r="T114" s="280"/>
      <c r="U114" s="280"/>
      <c r="V114" s="280"/>
      <c r="W114" s="280"/>
      <c r="X114" s="280"/>
      <c r="Y114" s="280"/>
      <c r="Z114" s="280"/>
      <c r="AA114" s="280"/>
      <c r="AB114" s="280"/>
      <c r="AC114" s="280"/>
      <c r="AD114" s="280"/>
      <c r="AE114" s="280"/>
      <c r="AF114" s="280"/>
      <c r="AG114" s="280"/>
      <c r="AH114" s="280"/>
      <c r="AI114" s="280"/>
      <c r="AJ114" s="280"/>
      <c r="AK114" s="280"/>
      <c r="AL114" s="280"/>
      <c r="AM114" s="280"/>
      <c r="AN114" s="280"/>
      <c r="AO114" s="280"/>
      <c r="AP114" s="280"/>
      <c r="AQ114" s="280"/>
      <c r="AR114" s="280"/>
      <c r="AS114" s="280"/>
      <c r="AT114" s="280"/>
      <c r="AU114" s="280"/>
      <c r="AV114" s="280"/>
      <c r="AW114" s="280"/>
      <c r="AX114" s="280"/>
      <c r="AY114" s="280"/>
      <c r="AZ114" s="280"/>
    </row>
    <row r="115" spans="1:52" ht="12.75" x14ac:dyDescent="0.2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  <c r="P115" s="280"/>
      <c r="Q115" s="280"/>
      <c r="R115" s="280"/>
      <c r="S115" s="280"/>
      <c r="T115" s="280"/>
      <c r="U115" s="280"/>
      <c r="V115" s="280"/>
      <c r="W115" s="280"/>
      <c r="X115" s="280"/>
      <c r="Y115" s="280"/>
      <c r="Z115" s="280"/>
      <c r="AA115" s="280"/>
      <c r="AB115" s="280"/>
      <c r="AC115" s="280"/>
      <c r="AD115" s="280"/>
      <c r="AE115" s="280"/>
      <c r="AF115" s="280"/>
      <c r="AG115" s="280"/>
      <c r="AH115" s="280"/>
      <c r="AI115" s="280"/>
      <c r="AJ115" s="280"/>
      <c r="AK115" s="280"/>
      <c r="AL115" s="280"/>
      <c r="AM115" s="280"/>
      <c r="AN115" s="280"/>
      <c r="AO115" s="280"/>
      <c r="AP115" s="280"/>
      <c r="AQ115" s="280"/>
      <c r="AR115" s="280"/>
      <c r="AS115" s="280"/>
      <c r="AT115" s="280"/>
      <c r="AU115" s="280"/>
      <c r="AV115" s="280"/>
      <c r="AW115" s="280"/>
      <c r="AX115" s="280"/>
      <c r="AY115" s="280"/>
      <c r="AZ115" s="280"/>
    </row>
    <row r="116" spans="1:52" ht="12.75" x14ac:dyDescent="0.2">
      <c r="A116" s="280"/>
      <c r="B116" s="280"/>
      <c r="C116" s="280"/>
      <c r="D116" s="280"/>
      <c r="E116" s="280"/>
      <c r="F116" s="280"/>
      <c r="G116" s="280"/>
      <c r="H116" s="280"/>
      <c r="I116" s="280"/>
      <c r="J116" s="280"/>
      <c r="K116" s="280"/>
      <c r="L116" s="280"/>
      <c r="M116" s="280"/>
      <c r="N116" s="280"/>
      <c r="O116" s="280"/>
      <c r="P116" s="280"/>
      <c r="Q116" s="280"/>
      <c r="R116" s="280"/>
      <c r="S116" s="280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280"/>
    </row>
    <row r="117" spans="1:52" ht="12.75" x14ac:dyDescent="0.2">
      <c r="A117" s="280"/>
      <c r="B117" s="280"/>
      <c r="C117" s="280"/>
      <c r="D117" s="280"/>
      <c r="E117" s="280"/>
      <c r="F117" s="280"/>
      <c r="G117" s="280"/>
      <c r="H117" s="280"/>
      <c r="I117" s="280"/>
      <c r="J117" s="280"/>
      <c r="K117" s="280"/>
      <c r="L117" s="280"/>
      <c r="M117" s="280"/>
      <c r="N117" s="280"/>
      <c r="O117" s="280"/>
      <c r="P117" s="280"/>
      <c r="Q117" s="280"/>
      <c r="R117" s="280"/>
      <c r="S117" s="280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</row>
    <row r="118" spans="1:52" ht="12.75" x14ac:dyDescent="0.2">
      <c r="A118" s="280"/>
      <c r="B118" s="280"/>
      <c r="C118" s="280"/>
      <c r="D118" s="280"/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0"/>
      <c r="AH118" s="280"/>
      <c r="AI118" s="280"/>
      <c r="AJ118" s="280"/>
      <c r="AK118" s="280"/>
      <c r="AL118" s="280"/>
      <c r="AM118" s="280"/>
      <c r="AN118" s="280"/>
      <c r="AO118" s="280"/>
      <c r="AP118" s="280"/>
      <c r="AQ118" s="280"/>
      <c r="AR118" s="280"/>
      <c r="AS118" s="280"/>
      <c r="AT118" s="280"/>
      <c r="AU118" s="280"/>
      <c r="AV118" s="280"/>
      <c r="AW118" s="280"/>
      <c r="AX118" s="280"/>
      <c r="AY118" s="280"/>
      <c r="AZ118" s="280"/>
    </row>
    <row r="119" spans="1:52" ht="12.75" x14ac:dyDescent="0.2">
      <c r="A119" s="280"/>
      <c r="B119" s="280"/>
      <c r="C119" s="280"/>
      <c r="D119" s="280"/>
      <c r="E119" s="280"/>
      <c r="F119" s="280"/>
      <c r="G119" s="280"/>
      <c r="H119" s="280"/>
      <c r="I119" s="280"/>
      <c r="J119" s="280"/>
      <c r="K119" s="280"/>
      <c r="L119" s="280"/>
      <c r="M119" s="280"/>
      <c r="N119" s="280"/>
      <c r="O119" s="280"/>
      <c r="P119" s="280"/>
      <c r="Q119" s="280"/>
      <c r="R119" s="280"/>
      <c r="S119" s="280"/>
      <c r="T119" s="280"/>
      <c r="U119" s="280"/>
      <c r="V119" s="280"/>
      <c r="W119" s="280"/>
      <c r="X119" s="280"/>
      <c r="Y119" s="280"/>
      <c r="Z119" s="280"/>
      <c r="AA119" s="280"/>
      <c r="AB119" s="280"/>
      <c r="AC119" s="280"/>
      <c r="AD119" s="280"/>
      <c r="AE119" s="280"/>
      <c r="AF119" s="280"/>
      <c r="AG119" s="280"/>
      <c r="AH119" s="280"/>
      <c r="AI119" s="280"/>
      <c r="AJ119" s="280"/>
      <c r="AK119" s="280"/>
      <c r="AL119" s="280"/>
      <c r="AM119" s="280"/>
      <c r="AN119" s="280"/>
      <c r="AO119" s="280"/>
      <c r="AP119" s="280"/>
      <c r="AQ119" s="280"/>
      <c r="AR119" s="280"/>
      <c r="AS119" s="280"/>
      <c r="AT119" s="280"/>
      <c r="AU119" s="280"/>
      <c r="AV119" s="280"/>
      <c r="AW119" s="280"/>
      <c r="AX119" s="280"/>
      <c r="AY119" s="280"/>
      <c r="AZ119" s="280"/>
    </row>
    <row r="120" spans="1:52" ht="12.75" x14ac:dyDescent="0.2">
      <c r="A120" s="280"/>
      <c r="B120" s="280"/>
      <c r="C120" s="280"/>
      <c r="D120" s="280"/>
      <c r="E120" s="280"/>
      <c r="F120" s="280"/>
      <c r="G120" s="280"/>
      <c r="H120" s="280"/>
      <c r="I120" s="280"/>
      <c r="J120" s="280"/>
      <c r="K120" s="280"/>
      <c r="L120" s="280"/>
      <c r="M120" s="280"/>
      <c r="N120" s="280"/>
      <c r="O120" s="280"/>
      <c r="P120" s="280"/>
      <c r="Q120" s="280"/>
      <c r="R120" s="280"/>
      <c r="S120" s="280"/>
      <c r="T120" s="280"/>
      <c r="U120" s="280"/>
      <c r="V120" s="280"/>
      <c r="W120" s="280"/>
      <c r="X120" s="280"/>
      <c r="Y120" s="280"/>
      <c r="Z120" s="280"/>
      <c r="AA120" s="280"/>
      <c r="AB120" s="280"/>
      <c r="AC120" s="280"/>
      <c r="AD120" s="280"/>
      <c r="AE120" s="280"/>
      <c r="AF120" s="280"/>
      <c r="AG120" s="280"/>
      <c r="AH120" s="280"/>
      <c r="AI120" s="280"/>
      <c r="AJ120" s="280"/>
      <c r="AK120" s="280"/>
      <c r="AL120" s="280"/>
      <c r="AM120" s="280"/>
      <c r="AN120" s="280"/>
      <c r="AO120" s="280"/>
      <c r="AP120" s="280"/>
      <c r="AQ120" s="280"/>
      <c r="AR120" s="280"/>
      <c r="AS120" s="280"/>
      <c r="AT120" s="280"/>
      <c r="AU120" s="280"/>
      <c r="AV120" s="280"/>
      <c r="AW120" s="280"/>
      <c r="AX120" s="280"/>
      <c r="AY120" s="280"/>
      <c r="AZ120" s="280"/>
    </row>
    <row r="121" spans="1:52" ht="12.75" x14ac:dyDescent="0.2">
      <c r="A121" s="280"/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0"/>
      <c r="P121" s="280"/>
      <c r="Q121" s="280"/>
      <c r="R121" s="280"/>
      <c r="S121" s="280"/>
      <c r="T121" s="280"/>
      <c r="U121" s="280"/>
      <c r="V121" s="280"/>
      <c r="W121" s="280"/>
      <c r="X121" s="280"/>
      <c r="Y121" s="280"/>
      <c r="Z121" s="280"/>
      <c r="AA121" s="280"/>
      <c r="AB121" s="280"/>
      <c r="AC121" s="280"/>
      <c r="AD121" s="280"/>
      <c r="AE121" s="280"/>
      <c r="AF121" s="280"/>
      <c r="AG121" s="280"/>
      <c r="AH121" s="280"/>
      <c r="AI121" s="280"/>
      <c r="AJ121" s="280"/>
      <c r="AK121" s="280"/>
      <c r="AL121" s="280"/>
      <c r="AM121" s="280"/>
      <c r="AN121" s="280"/>
      <c r="AO121" s="280"/>
      <c r="AP121" s="280"/>
      <c r="AQ121" s="280"/>
      <c r="AR121" s="280"/>
      <c r="AS121" s="280"/>
      <c r="AT121" s="280"/>
      <c r="AU121" s="280"/>
      <c r="AV121" s="280"/>
      <c r="AW121" s="280"/>
      <c r="AX121" s="280"/>
      <c r="AY121" s="280"/>
      <c r="AZ121" s="280"/>
    </row>
    <row r="122" spans="1:52" ht="12.75" x14ac:dyDescent="0.2">
      <c r="A122" s="280"/>
      <c r="B122" s="280"/>
      <c r="C122" s="280"/>
      <c r="D122" s="280"/>
      <c r="E122" s="280"/>
      <c r="F122" s="280"/>
      <c r="G122" s="280"/>
      <c r="H122" s="280"/>
      <c r="I122" s="280"/>
      <c r="J122" s="280"/>
      <c r="K122" s="280"/>
      <c r="L122" s="280"/>
      <c r="M122" s="280"/>
      <c r="N122" s="280"/>
      <c r="O122" s="280"/>
      <c r="P122" s="280"/>
      <c r="Q122" s="280"/>
      <c r="R122" s="280"/>
      <c r="S122" s="280"/>
      <c r="T122" s="280"/>
      <c r="U122" s="280"/>
      <c r="V122" s="280"/>
      <c r="W122" s="280"/>
      <c r="X122" s="280"/>
      <c r="Y122" s="280"/>
      <c r="Z122" s="280"/>
      <c r="AA122" s="280"/>
      <c r="AB122" s="280"/>
      <c r="AC122" s="280"/>
      <c r="AD122" s="280"/>
      <c r="AE122" s="280"/>
      <c r="AF122" s="280"/>
      <c r="AG122" s="280"/>
      <c r="AH122" s="280"/>
      <c r="AI122" s="280"/>
      <c r="AJ122" s="280"/>
      <c r="AK122" s="280"/>
      <c r="AL122" s="280"/>
      <c r="AM122" s="280"/>
      <c r="AN122" s="280"/>
      <c r="AO122" s="280"/>
      <c r="AP122" s="280"/>
      <c r="AQ122" s="280"/>
      <c r="AR122" s="280"/>
      <c r="AS122" s="280"/>
      <c r="AT122" s="280"/>
      <c r="AU122" s="280"/>
      <c r="AV122" s="280"/>
      <c r="AW122" s="280"/>
      <c r="AX122" s="280"/>
      <c r="AY122" s="280"/>
      <c r="AZ122" s="280"/>
    </row>
    <row r="123" spans="1:52" ht="12.75" x14ac:dyDescent="0.2">
      <c r="A123" s="280"/>
      <c r="B123" s="280"/>
      <c r="C123" s="280"/>
      <c r="D123" s="280"/>
      <c r="E123" s="280"/>
      <c r="F123" s="280"/>
      <c r="G123" s="280"/>
      <c r="H123" s="280"/>
      <c r="I123" s="280"/>
      <c r="J123" s="280"/>
      <c r="K123" s="280"/>
      <c r="L123" s="280"/>
      <c r="M123" s="280"/>
      <c r="N123" s="280"/>
      <c r="O123" s="280"/>
      <c r="P123" s="280"/>
      <c r="Q123" s="280"/>
      <c r="R123" s="280"/>
      <c r="S123" s="280"/>
      <c r="T123" s="280"/>
      <c r="U123" s="280"/>
      <c r="V123" s="280"/>
      <c r="W123" s="280"/>
      <c r="X123" s="280"/>
      <c r="Y123" s="280"/>
      <c r="Z123" s="280"/>
      <c r="AA123" s="280"/>
      <c r="AB123" s="280"/>
      <c r="AC123" s="280"/>
      <c r="AD123" s="280"/>
      <c r="AE123" s="280"/>
      <c r="AF123" s="280"/>
      <c r="AG123" s="280"/>
      <c r="AH123" s="280"/>
      <c r="AI123" s="280"/>
      <c r="AJ123" s="280"/>
      <c r="AK123" s="280"/>
      <c r="AL123" s="280"/>
      <c r="AM123" s="280"/>
      <c r="AN123" s="280"/>
      <c r="AO123" s="280"/>
      <c r="AP123" s="280"/>
      <c r="AQ123" s="280"/>
      <c r="AR123" s="280"/>
      <c r="AS123" s="280"/>
      <c r="AT123" s="280"/>
      <c r="AU123" s="280"/>
      <c r="AV123" s="280"/>
      <c r="AW123" s="280"/>
      <c r="AX123" s="280"/>
      <c r="AY123" s="280"/>
      <c r="AZ123" s="280"/>
    </row>
    <row r="124" spans="1:52" ht="12.75" x14ac:dyDescent="0.2">
      <c r="A124" s="280"/>
      <c r="B124" s="280"/>
      <c r="C124" s="280"/>
      <c r="D124" s="280"/>
      <c r="E124" s="280"/>
      <c r="F124" s="280"/>
      <c r="G124" s="280"/>
      <c r="H124" s="280"/>
      <c r="I124" s="280"/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  <c r="AC124" s="280"/>
      <c r="AD124" s="280"/>
      <c r="AE124" s="280"/>
      <c r="AF124" s="280"/>
      <c r="AG124" s="280"/>
      <c r="AH124" s="280"/>
      <c r="AI124" s="280"/>
      <c r="AJ124" s="280"/>
      <c r="AK124" s="280"/>
      <c r="AL124" s="280"/>
      <c r="AM124" s="280"/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280"/>
      <c r="AZ124" s="280"/>
    </row>
    <row r="125" spans="1:52" ht="12.75" x14ac:dyDescent="0.2">
      <c r="A125" s="280"/>
      <c r="B125" s="280"/>
      <c r="C125" s="280"/>
      <c r="D125" s="280"/>
      <c r="E125" s="280"/>
      <c r="F125" s="280"/>
      <c r="G125" s="280"/>
      <c r="H125" s="280"/>
      <c r="I125" s="280"/>
      <c r="J125" s="280"/>
      <c r="K125" s="280"/>
      <c r="L125" s="280"/>
      <c r="M125" s="280"/>
      <c r="N125" s="280"/>
      <c r="O125" s="280"/>
      <c r="P125" s="280"/>
      <c r="Q125" s="280"/>
      <c r="R125" s="280"/>
      <c r="S125" s="280"/>
      <c r="T125" s="280"/>
      <c r="U125" s="280"/>
      <c r="V125" s="280"/>
      <c r="W125" s="280"/>
      <c r="X125" s="280"/>
      <c r="Y125" s="280"/>
      <c r="Z125" s="280"/>
      <c r="AA125" s="280"/>
      <c r="AB125" s="280"/>
      <c r="AC125" s="280"/>
      <c r="AD125" s="280"/>
      <c r="AE125" s="280"/>
      <c r="AF125" s="280"/>
      <c r="AG125" s="280"/>
      <c r="AH125" s="280"/>
      <c r="AI125" s="280"/>
      <c r="AJ125" s="280"/>
      <c r="AK125" s="280"/>
      <c r="AL125" s="280"/>
      <c r="AM125" s="280"/>
      <c r="AN125" s="280"/>
      <c r="AO125" s="280"/>
      <c r="AP125" s="280"/>
      <c r="AQ125" s="280"/>
      <c r="AR125" s="280"/>
      <c r="AS125" s="280"/>
      <c r="AT125" s="280"/>
      <c r="AU125" s="280"/>
      <c r="AV125" s="280"/>
      <c r="AW125" s="280"/>
      <c r="AX125" s="280"/>
      <c r="AY125" s="280"/>
      <c r="AZ125" s="280"/>
    </row>
    <row r="126" spans="1:52" ht="12.75" x14ac:dyDescent="0.2">
      <c r="A126" s="280"/>
      <c r="B126" s="280"/>
      <c r="C126" s="280"/>
      <c r="D126" s="280"/>
      <c r="E126" s="280"/>
      <c r="F126" s="280"/>
      <c r="G126" s="280"/>
      <c r="H126" s="280"/>
      <c r="I126" s="280"/>
      <c r="J126" s="280"/>
      <c r="K126" s="280"/>
      <c r="L126" s="280"/>
      <c r="M126" s="280"/>
      <c r="N126" s="280"/>
      <c r="O126" s="280"/>
      <c r="P126" s="280"/>
      <c r="Q126" s="280"/>
      <c r="R126" s="280"/>
      <c r="S126" s="280"/>
      <c r="T126" s="280"/>
      <c r="U126" s="280"/>
      <c r="V126" s="280"/>
      <c r="W126" s="280"/>
      <c r="X126" s="280"/>
      <c r="Y126" s="280"/>
      <c r="Z126" s="280"/>
      <c r="AA126" s="280"/>
      <c r="AB126" s="280"/>
      <c r="AC126" s="280"/>
      <c r="AD126" s="280"/>
      <c r="AE126" s="280"/>
      <c r="AF126" s="280"/>
      <c r="AG126" s="280"/>
      <c r="AH126" s="280"/>
      <c r="AI126" s="280"/>
      <c r="AJ126" s="280"/>
      <c r="AK126" s="280"/>
      <c r="AL126" s="280"/>
      <c r="AM126" s="280"/>
      <c r="AN126" s="280"/>
      <c r="AO126" s="280"/>
      <c r="AP126" s="280"/>
      <c r="AQ126" s="280"/>
      <c r="AR126" s="280"/>
      <c r="AS126" s="280"/>
      <c r="AT126" s="280"/>
      <c r="AU126" s="280"/>
      <c r="AV126" s="280"/>
      <c r="AW126" s="280"/>
      <c r="AX126" s="280"/>
      <c r="AY126" s="280"/>
      <c r="AZ126" s="280"/>
    </row>
    <row r="127" spans="1:52" ht="12.75" x14ac:dyDescent="0.2">
      <c r="A127" s="280"/>
      <c r="B127" s="280"/>
      <c r="C127" s="280"/>
      <c r="D127" s="280"/>
      <c r="E127" s="280"/>
      <c r="F127" s="280"/>
      <c r="G127" s="280"/>
      <c r="H127" s="280"/>
      <c r="I127" s="280"/>
      <c r="J127" s="280"/>
      <c r="K127" s="280"/>
      <c r="L127" s="280"/>
      <c r="M127" s="280"/>
      <c r="N127" s="280"/>
      <c r="O127" s="280"/>
      <c r="P127" s="280"/>
      <c r="Q127" s="280"/>
      <c r="R127" s="280"/>
      <c r="S127" s="280"/>
      <c r="T127" s="280"/>
      <c r="U127" s="280"/>
      <c r="V127" s="280"/>
      <c r="W127" s="280"/>
      <c r="X127" s="280"/>
      <c r="Y127" s="280"/>
      <c r="Z127" s="280"/>
      <c r="AA127" s="280"/>
      <c r="AB127" s="280"/>
      <c r="AC127" s="280"/>
      <c r="AD127" s="280"/>
      <c r="AE127" s="280"/>
      <c r="AF127" s="280"/>
      <c r="AG127" s="280"/>
      <c r="AH127" s="280"/>
      <c r="AI127" s="280"/>
      <c r="AJ127" s="280"/>
      <c r="AK127" s="280"/>
      <c r="AL127" s="280"/>
      <c r="AM127" s="280"/>
      <c r="AN127" s="280"/>
      <c r="AO127" s="280"/>
      <c r="AP127" s="280"/>
      <c r="AQ127" s="280"/>
      <c r="AR127" s="280"/>
      <c r="AS127" s="280"/>
      <c r="AT127" s="280"/>
      <c r="AU127" s="280"/>
      <c r="AV127" s="280"/>
      <c r="AW127" s="280"/>
      <c r="AX127" s="280"/>
      <c r="AY127" s="280"/>
      <c r="AZ127" s="280"/>
    </row>
    <row r="128" spans="1:52" ht="12.75" x14ac:dyDescent="0.2">
      <c r="A128" s="280"/>
      <c r="B128" s="280"/>
      <c r="C128" s="280"/>
      <c r="D128" s="280"/>
      <c r="E128" s="280"/>
      <c r="F128" s="280"/>
      <c r="G128" s="280"/>
      <c r="H128" s="280"/>
      <c r="I128" s="280"/>
      <c r="J128" s="280"/>
      <c r="K128" s="280"/>
      <c r="L128" s="280"/>
      <c r="M128" s="280"/>
      <c r="N128" s="280"/>
      <c r="O128" s="280"/>
      <c r="P128" s="280"/>
      <c r="Q128" s="280"/>
      <c r="R128" s="280"/>
      <c r="S128" s="280"/>
      <c r="T128" s="280"/>
      <c r="U128" s="280"/>
      <c r="V128" s="280"/>
      <c r="W128" s="280"/>
      <c r="X128" s="280"/>
      <c r="Y128" s="280"/>
      <c r="Z128" s="280"/>
      <c r="AA128" s="280"/>
      <c r="AB128" s="280"/>
      <c r="AC128" s="280"/>
      <c r="AD128" s="280"/>
      <c r="AE128" s="280"/>
      <c r="AF128" s="280"/>
      <c r="AG128" s="280"/>
      <c r="AH128" s="280"/>
      <c r="AI128" s="280"/>
      <c r="AJ128" s="280"/>
      <c r="AK128" s="280"/>
      <c r="AL128" s="280"/>
      <c r="AM128" s="280"/>
      <c r="AN128" s="280"/>
      <c r="AO128" s="280"/>
      <c r="AP128" s="280"/>
      <c r="AQ128" s="280"/>
      <c r="AR128" s="280"/>
      <c r="AS128" s="280"/>
      <c r="AT128" s="280"/>
      <c r="AU128" s="280"/>
      <c r="AV128" s="280"/>
      <c r="AW128" s="280"/>
      <c r="AX128" s="280"/>
      <c r="AY128" s="280"/>
      <c r="AZ128" s="280"/>
    </row>
    <row r="129" spans="1:52" ht="12.75" x14ac:dyDescent="0.2">
      <c r="A129" s="280"/>
      <c r="B129" s="280"/>
      <c r="C129" s="280"/>
      <c r="D129" s="280"/>
      <c r="E129" s="280"/>
      <c r="F129" s="280"/>
      <c r="G129" s="280"/>
      <c r="H129" s="280"/>
      <c r="I129" s="280"/>
      <c r="J129" s="280"/>
      <c r="K129" s="280"/>
      <c r="L129" s="280"/>
      <c r="M129" s="280"/>
      <c r="N129" s="280"/>
      <c r="O129" s="280"/>
      <c r="P129" s="280"/>
      <c r="Q129" s="280"/>
      <c r="R129" s="280"/>
      <c r="S129" s="280"/>
      <c r="T129" s="280"/>
      <c r="U129" s="280"/>
      <c r="V129" s="280"/>
      <c r="W129" s="280"/>
      <c r="X129" s="280"/>
      <c r="Y129" s="280"/>
      <c r="Z129" s="280"/>
      <c r="AA129" s="280"/>
      <c r="AB129" s="280"/>
      <c r="AC129" s="280"/>
      <c r="AD129" s="280"/>
      <c r="AE129" s="280"/>
      <c r="AF129" s="280"/>
      <c r="AG129" s="280"/>
      <c r="AH129" s="280"/>
      <c r="AI129" s="280"/>
      <c r="AJ129" s="280"/>
      <c r="AK129" s="280"/>
      <c r="AL129" s="280"/>
      <c r="AM129" s="280"/>
      <c r="AN129" s="280"/>
      <c r="AO129" s="280"/>
      <c r="AP129" s="280"/>
      <c r="AQ129" s="280"/>
      <c r="AR129" s="280"/>
      <c r="AS129" s="280"/>
      <c r="AT129" s="280"/>
      <c r="AU129" s="280"/>
      <c r="AV129" s="280"/>
      <c r="AW129" s="280"/>
      <c r="AX129" s="280"/>
      <c r="AY129" s="280"/>
      <c r="AZ129" s="280"/>
    </row>
    <row r="130" spans="1:52" ht="12.75" x14ac:dyDescent="0.2">
      <c r="A130" s="280"/>
      <c r="B130" s="280"/>
      <c r="C130" s="280"/>
      <c r="D130" s="280"/>
      <c r="E130" s="280"/>
      <c r="F130" s="280"/>
      <c r="G130" s="280"/>
      <c r="H130" s="280"/>
      <c r="I130" s="280"/>
      <c r="J130" s="280"/>
      <c r="K130" s="280"/>
      <c r="L130" s="280"/>
      <c r="M130" s="280"/>
      <c r="N130" s="280"/>
      <c r="O130" s="280"/>
      <c r="P130" s="280"/>
      <c r="Q130" s="280"/>
      <c r="R130" s="280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280"/>
      <c r="AD130" s="280"/>
      <c r="AE130" s="280"/>
      <c r="AF130" s="280"/>
      <c r="AG130" s="280"/>
      <c r="AH130" s="280"/>
      <c r="AI130" s="280"/>
      <c r="AJ130" s="280"/>
      <c r="AK130" s="280"/>
      <c r="AL130" s="280"/>
      <c r="AM130" s="280"/>
      <c r="AN130" s="280"/>
      <c r="AO130" s="280"/>
      <c r="AP130" s="280"/>
      <c r="AQ130" s="280"/>
      <c r="AR130" s="280"/>
      <c r="AS130" s="280"/>
      <c r="AT130" s="280"/>
      <c r="AU130" s="280"/>
      <c r="AV130" s="280"/>
      <c r="AW130" s="280"/>
      <c r="AX130" s="280"/>
      <c r="AY130" s="280"/>
      <c r="AZ130" s="280"/>
    </row>
    <row r="131" spans="1:52" ht="12.75" x14ac:dyDescent="0.2">
      <c r="A131" s="280"/>
      <c r="B131" s="280"/>
      <c r="C131" s="280"/>
      <c r="D131" s="280"/>
      <c r="E131" s="280"/>
      <c r="F131" s="280"/>
      <c r="G131" s="280"/>
      <c r="H131" s="280"/>
      <c r="I131" s="280"/>
      <c r="J131" s="280"/>
      <c r="K131" s="280"/>
      <c r="L131" s="280"/>
      <c r="M131" s="280"/>
      <c r="N131" s="280"/>
      <c r="O131" s="280"/>
      <c r="P131" s="280"/>
      <c r="Q131" s="280"/>
      <c r="R131" s="280"/>
      <c r="S131" s="280"/>
      <c r="T131" s="280"/>
      <c r="U131" s="280"/>
      <c r="V131" s="280"/>
      <c r="W131" s="280"/>
      <c r="X131" s="280"/>
      <c r="Y131" s="280"/>
      <c r="Z131" s="280"/>
      <c r="AA131" s="280"/>
      <c r="AB131" s="280"/>
      <c r="AC131" s="280"/>
      <c r="AD131" s="280"/>
      <c r="AE131" s="280"/>
      <c r="AF131" s="280"/>
      <c r="AG131" s="280"/>
      <c r="AH131" s="280"/>
      <c r="AI131" s="280"/>
      <c r="AJ131" s="280"/>
      <c r="AK131" s="280"/>
      <c r="AL131" s="280"/>
      <c r="AM131" s="280"/>
      <c r="AN131" s="280"/>
      <c r="AO131" s="280"/>
      <c r="AP131" s="280"/>
      <c r="AQ131" s="280"/>
      <c r="AR131" s="280"/>
      <c r="AS131" s="280"/>
      <c r="AT131" s="280"/>
      <c r="AU131" s="280"/>
      <c r="AV131" s="280"/>
      <c r="AW131" s="280"/>
      <c r="AX131" s="280"/>
      <c r="AY131" s="280"/>
      <c r="AZ131" s="280"/>
    </row>
    <row r="132" spans="1:52" ht="12.75" x14ac:dyDescent="0.2">
      <c r="A132" s="280"/>
      <c r="B132" s="280"/>
      <c r="C132" s="280"/>
      <c r="D132" s="280"/>
      <c r="E132" s="280"/>
      <c r="F132" s="280"/>
      <c r="G132" s="280"/>
      <c r="H132" s="280"/>
      <c r="I132" s="280"/>
      <c r="J132" s="280"/>
      <c r="K132" s="280"/>
      <c r="L132" s="280"/>
      <c r="M132" s="280"/>
      <c r="N132" s="280"/>
      <c r="O132" s="280"/>
      <c r="P132" s="280"/>
      <c r="Q132" s="280"/>
      <c r="R132" s="280"/>
      <c r="S132" s="280"/>
      <c r="T132" s="280"/>
      <c r="U132" s="280"/>
      <c r="V132" s="280"/>
      <c r="W132" s="280"/>
      <c r="X132" s="280"/>
      <c r="Y132" s="280"/>
      <c r="Z132" s="280"/>
      <c r="AA132" s="280"/>
      <c r="AB132" s="280"/>
      <c r="AC132" s="280"/>
      <c r="AD132" s="280"/>
      <c r="AE132" s="280"/>
      <c r="AF132" s="280"/>
      <c r="AG132" s="280"/>
      <c r="AH132" s="280"/>
      <c r="AI132" s="280"/>
      <c r="AJ132" s="280"/>
      <c r="AK132" s="280"/>
      <c r="AL132" s="280"/>
      <c r="AM132" s="280"/>
      <c r="AN132" s="280"/>
      <c r="AO132" s="280"/>
      <c r="AP132" s="280"/>
      <c r="AQ132" s="280"/>
      <c r="AR132" s="280"/>
      <c r="AS132" s="280"/>
      <c r="AT132" s="280"/>
      <c r="AU132" s="280"/>
      <c r="AV132" s="280"/>
      <c r="AW132" s="280"/>
      <c r="AX132" s="280"/>
      <c r="AY132" s="280"/>
      <c r="AZ132" s="280"/>
    </row>
    <row r="133" spans="1:52" ht="12.75" x14ac:dyDescent="0.2">
      <c r="A133" s="280"/>
      <c r="B133" s="280"/>
      <c r="C133" s="280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  <c r="Z133" s="280"/>
      <c r="AA133" s="280"/>
      <c r="AB133" s="280"/>
      <c r="AC133" s="280"/>
      <c r="AD133" s="280"/>
      <c r="AE133" s="280"/>
      <c r="AF133" s="280"/>
      <c r="AG133" s="280"/>
      <c r="AH133" s="280"/>
      <c r="AI133" s="280"/>
      <c r="AJ133" s="280"/>
      <c r="AK133" s="280"/>
      <c r="AL133" s="280"/>
      <c r="AM133" s="280"/>
      <c r="AN133" s="280"/>
      <c r="AO133" s="280"/>
      <c r="AP133" s="280"/>
      <c r="AQ133" s="280"/>
      <c r="AR133" s="280"/>
      <c r="AS133" s="280"/>
      <c r="AT133" s="280"/>
      <c r="AU133" s="280"/>
      <c r="AV133" s="280"/>
      <c r="AW133" s="280"/>
      <c r="AX133" s="280"/>
      <c r="AY133" s="280"/>
      <c r="AZ133" s="280"/>
    </row>
    <row r="134" spans="1:52" ht="12.75" x14ac:dyDescent="0.2">
      <c r="A134" s="280"/>
      <c r="B134" s="280"/>
      <c r="C134" s="280"/>
      <c r="D134" s="280"/>
      <c r="E134" s="280"/>
      <c r="F134" s="280"/>
      <c r="G134" s="280"/>
      <c r="H134" s="280"/>
      <c r="I134" s="280"/>
      <c r="J134" s="280"/>
      <c r="K134" s="280"/>
      <c r="L134" s="280"/>
      <c r="M134" s="280"/>
      <c r="N134" s="280"/>
      <c r="O134" s="280"/>
      <c r="P134" s="280"/>
      <c r="Q134" s="280"/>
      <c r="R134" s="280"/>
      <c r="S134" s="280"/>
      <c r="T134" s="280"/>
      <c r="U134" s="280"/>
      <c r="V134" s="280"/>
      <c r="W134" s="280"/>
      <c r="X134" s="280"/>
      <c r="Y134" s="280"/>
      <c r="Z134" s="280"/>
      <c r="AA134" s="280"/>
      <c r="AB134" s="280"/>
      <c r="AC134" s="280"/>
      <c r="AD134" s="280"/>
      <c r="AE134" s="280"/>
      <c r="AF134" s="280"/>
      <c r="AG134" s="280"/>
      <c r="AH134" s="280"/>
      <c r="AI134" s="280"/>
      <c r="AJ134" s="280"/>
      <c r="AK134" s="280"/>
      <c r="AL134" s="280"/>
      <c r="AM134" s="280"/>
      <c r="AN134" s="280"/>
      <c r="AO134" s="280"/>
      <c r="AP134" s="280"/>
      <c r="AQ134" s="280"/>
      <c r="AR134" s="280"/>
      <c r="AS134" s="280"/>
      <c r="AT134" s="280"/>
      <c r="AU134" s="280"/>
      <c r="AV134" s="280"/>
      <c r="AW134" s="280"/>
      <c r="AX134" s="280"/>
      <c r="AY134" s="280"/>
      <c r="AZ134" s="280"/>
    </row>
    <row r="135" spans="1:52" ht="12.75" x14ac:dyDescent="0.2">
      <c r="A135" s="280"/>
      <c r="B135" s="280"/>
      <c r="C135" s="280"/>
      <c r="D135" s="280"/>
      <c r="E135" s="280"/>
      <c r="F135" s="280"/>
      <c r="G135" s="280"/>
      <c r="H135" s="280"/>
      <c r="I135" s="280"/>
      <c r="J135" s="280"/>
      <c r="K135" s="280"/>
      <c r="L135" s="280"/>
      <c r="M135" s="280"/>
      <c r="N135" s="280"/>
      <c r="O135" s="280"/>
      <c r="P135" s="280"/>
      <c r="Q135" s="280"/>
      <c r="R135" s="280"/>
      <c r="S135" s="280"/>
      <c r="T135" s="280"/>
      <c r="U135" s="280"/>
      <c r="V135" s="280"/>
      <c r="W135" s="280"/>
      <c r="X135" s="280"/>
      <c r="Y135" s="280"/>
      <c r="Z135" s="280"/>
      <c r="AA135" s="280"/>
      <c r="AB135" s="280"/>
      <c r="AC135" s="280"/>
      <c r="AD135" s="280"/>
      <c r="AE135" s="280"/>
      <c r="AF135" s="280"/>
      <c r="AG135" s="280"/>
      <c r="AH135" s="280"/>
      <c r="AI135" s="280"/>
      <c r="AJ135" s="280"/>
      <c r="AK135" s="280"/>
      <c r="AL135" s="280"/>
      <c r="AM135" s="280"/>
      <c r="AN135" s="280"/>
      <c r="AO135" s="280"/>
      <c r="AP135" s="280"/>
      <c r="AQ135" s="280"/>
      <c r="AR135" s="280"/>
      <c r="AS135" s="280"/>
      <c r="AT135" s="280"/>
      <c r="AU135" s="280"/>
      <c r="AV135" s="280"/>
      <c r="AW135" s="280"/>
      <c r="AX135" s="280"/>
      <c r="AY135" s="280"/>
      <c r="AZ135" s="280"/>
    </row>
    <row r="136" spans="1:52" ht="12.75" x14ac:dyDescent="0.2">
      <c r="A136" s="280"/>
      <c r="B136" s="280"/>
      <c r="C136" s="280"/>
      <c r="D136" s="280"/>
      <c r="E136" s="280"/>
      <c r="F136" s="280"/>
      <c r="G136" s="280"/>
      <c r="H136" s="280"/>
      <c r="I136" s="280"/>
      <c r="J136" s="280"/>
      <c r="K136" s="280"/>
      <c r="L136" s="280"/>
      <c r="M136" s="280"/>
      <c r="N136" s="280"/>
      <c r="O136" s="280"/>
      <c r="P136" s="280"/>
      <c r="Q136" s="280"/>
      <c r="R136" s="280"/>
      <c r="S136" s="280"/>
      <c r="T136" s="280"/>
      <c r="U136" s="280"/>
      <c r="V136" s="280"/>
      <c r="W136" s="280"/>
      <c r="X136" s="280"/>
      <c r="Y136" s="280"/>
      <c r="Z136" s="280"/>
      <c r="AA136" s="280"/>
      <c r="AB136" s="280"/>
      <c r="AC136" s="280"/>
      <c r="AD136" s="280"/>
      <c r="AE136" s="280"/>
      <c r="AF136" s="280"/>
      <c r="AG136" s="280"/>
      <c r="AH136" s="280"/>
      <c r="AI136" s="280"/>
      <c r="AJ136" s="280"/>
      <c r="AK136" s="280"/>
      <c r="AL136" s="280"/>
      <c r="AM136" s="280"/>
      <c r="AN136" s="280"/>
      <c r="AO136" s="280"/>
      <c r="AP136" s="280"/>
      <c r="AQ136" s="280"/>
      <c r="AR136" s="280"/>
      <c r="AS136" s="280"/>
      <c r="AT136" s="280"/>
      <c r="AU136" s="280"/>
      <c r="AV136" s="280"/>
      <c r="AW136" s="280"/>
      <c r="AX136" s="280"/>
      <c r="AY136" s="280"/>
      <c r="AZ136" s="280"/>
    </row>
    <row r="137" spans="1:52" ht="12.75" x14ac:dyDescent="0.2">
      <c r="A137" s="280"/>
      <c r="B137" s="280"/>
      <c r="C137" s="280"/>
      <c r="D137" s="280"/>
      <c r="E137" s="280"/>
      <c r="F137" s="280"/>
      <c r="G137" s="280"/>
      <c r="H137" s="280"/>
      <c r="I137" s="280"/>
      <c r="J137" s="280"/>
      <c r="K137" s="280"/>
      <c r="L137" s="280"/>
      <c r="M137" s="280"/>
      <c r="N137" s="280"/>
      <c r="O137" s="280"/>
      <c r="P137" s="280"/>
      <c r="Q137" s="280"/>
      <c r="R137" s="280"/>
      <c r="S137" s="280"/>
      <c r="T137" s="280"/>
      <c r="U137" s="280"/>
      <c r="V137" s="280"/>
      <c r="W137" s="280"/>
      <c r="X137" s="280"/>
      <c r="Y137" s="280"/>
      <c r="Z137" s="280"/>
      <c r="AA137" s="280"/>
      <c r="AB137" s="280"/>
      <c r="AC137" s="280"/>
      <c r="AD137" s="280"/>
      <c r="AE137" s="280"/>
      <c r="AF137" s="280"/>
      <c r="AG137" s="280"/>
      <c r="AH137" s="280"/>
      <c r="AI137" s="280"/>
      <c r="AJ137" s="280"/>
      <c r="AK137" s="280"/>
      <c r="AL137" s="280"/>
      <c r="AM137" s="280"/>
      <c r="AN137" s="280"/>
      <c r="AO137" s="280"/>
      <c r="AP137" s="280"/>
      <c r="AQ137" s="280"/>
      <c r="AR137" s="280"/>
      <c r="AS137" s="280"/>
      <c r="AT137" s="280"/>
      <c r="AU137" s="280"/>
      <c r="AV137" s="280"/>
      <c r="AW137" s="280"/>
      <c r="AX137" s="280"/>
      <c r="AY137" s="280"/>
      <c r="AZ137" s="280"/>
    </row>
    <row r="138" spans="1:52" ht="12.75" x14ac:dyDescent="0.2">
      <c r="A138" s="280"/>
      <c r="B138" s="280"/>
      <c r="C138" s="280"/>
      <c r="D138" s="280"/>
      <c r="E138" s="280"/>
      <c r="F138" s="280"/>
      <c r="G138" s="280"/>
      <c r="H138" s="280"/>
      <c r="I138" s="280"/>
      <c r="J138" s="280"/>
      <c r="K138" s="280"/>
      <c r="L138" s="280"/>
      <c r="M138" s="280"/>
      <c r="N138" s="280"/>
      <c r="O138" s="280"/>
      <c r="P138" s="280"/>
      <c r="Q138" s="280"/>
      <c r="R138" s="280"/>
      <c r="S138" s="280"/>
      <c r="T138" s="280"/>
      <c r="U138" s="280"/>
      <c r="V138" s="280"/>
      <c r="W138" s="280"/>
      <c r="X138" s="280"/>
      <c r="Y138" s="280"/>
      <c r="Z138" s="280"/>
      <c r="AA138" s="280"/>
      <c r="AB138" s="280"/>
      <c r="AC138" s="280"/>
      <c r="AD138" s="280"/>
      <c r="AE138" s="280"/>
      <c r="AF138" s="280"/>
      <c r="AG138" s="280"/>
      <c r="AH138" s="280"/>
      <c r="AI138" s="280"/>
      <c r="AJ138" s="280"/>
      <c r="AK138" s="280"/>
      <c r="AL138" s="280"/>
      <c r="AM138" s="280"/>
      <c r="AN138" s="280"/>
      <c r="AO138" s="280"/>
      <c r="AP138" s="280"/>
      <c r="AQ138" s="280"/>
      <c r="AR138" s="280"/>
      <c r="AS138" s="280"/>
      <c r="AT138" s="280"/>
      <c r="AU138" s="280"/>
      <c r="AV138" s="280"/>
      <c r="AW138" s="280"/>
      <c r="AX138" s="280"/>
      <c r="AY138" s="280"/>
      <c r="AZ138" s="280"/>
    </row>
    <row r="139" spans="1:52" ht="12.75" x14ac:dyDescent="0.2">
      <c r="A139" s="280"/>
      <c r="B139" s="280"/>
      <c r="C139" s="280"/>
      <c r="D139" s="280"/>
      <c r="E139" s="280"/>
      <c r="F139" s="280"/>
      <c r="G139" s="280"/>
      <c r="H139" s="280"/>
      <c r="I139" s="280"/>
      <c r="J139" s="280"/>
      <c r="K139" s="280"/>
      <c r="L139" s="280"/>
      <c r="M139" s="280"/>
      <c r="N139" s="280"/>
      <c r="O139" s="280"/>
      <c r="P139" s="280"/>
      <c r="Q139" s="280"/>
      <c r="R139" s="280"/>
      <c r="S139" s="280"/>
      <c r="T139" s="280"/>
      <c r="U139" s="280"/>
      <c r="V139" s="280"/>
      <c r="W139" s="280"/>
      <c r="X139" s="280"/>
      <c r="Y139" s="280"/>
      <c r="Z139" s="280"/>
      <c r="AA139" s="280"/>
      <c r="AB139" s="280"/>
      <c r="AC139" s="280"/>
      <c r="AD139" s="280"/>
      <c r="AE139" s="280"/>
      <c r="AF139" s="280"/>
      <c r="AG139" s="280"/>
      <c r="AH139" s="280"/>
      <c r="AI139" s="280"/>
      <c r="AJ139" s="280"/>
      <c r="AK139" s="280"/>
      <c r="AL139" s="280"/>
      <c r="AM139" s="280"/>
      <c r="AN139" s="280"/>
      <c r="AO139" s="280"/>
      <c r="AP139" s="280"/>
      <c r="AQ139" s="280"/>
      <c r="AR139" s="280"/>
      <c r="AS139" s="280"/>
      <c r="AT139" s="280"/>
      <c r="AU139" s="280"/>
      <c r="AV139" s="280"/>
      <c r="AW139" s="280"/>
      <c r="AX139" s="280"/>
      <c r="AY139" s="280"/>
      <c r="AZ139" s="280"/>
    </row>
    <row r="140" spans="1:52" ht="12.75" x14ac:dyDescent="0.2">
      <c r="A140" s="280"/>
      <c r="B140" s="280"/>
      <c r="C140" s="280"/>
      <c r="D140" s="280"/>
      <c r="E140" s="280"/>
      <c r="F140" s="280"/>
      <c r="G140" s="280"/>
      <c r="H140" s="280"/>
      <c r="I140" s="280"/>
      <c r="J140" s="280"/>
      <c r="K140" s="280"/>
      <c r="L140" s="280"/>
      <c r="M140" s="280"/>
      <c r="N140" s="280"/>
      <c r="O140" s="280"/>
      <c r="P140" s="280"/>
      <c r="Q140" s="280"/>
      <c r="R140" s="280"/>
      <c r="S140" s="280"/>
      <c r="T140" s="280"/>
      <c r="U140" s="280"/>
      <c r="V140" s="280"/>
      <c r="W140" s="280"/>
      <c r="X140" s="280"/>
      <c r="Y140" s="280"/>
      <c r="Z140" s="280"/>
      <c r="AA140" s="280"/>
      <c r="AB140" s="280"/>
      <c r="AC140" s="280"/>
      <c r="AD140" s="280"/>
      <c r="AE140" s="280"/>
      <c r="AF140" s="280"/>
      <c r="AG140" s="280"/>
      <c r="AH140" s="280"/>
      <c r="AI140" s="280"/>
      <c r="AJ140" s="280"/>
      <c r="AK140" s="280"/>
      <c r="AL140" s="280"/>
      <c r="AM140" s="280"/>
      <c r="AN140" s="280"/>
      <c r="AO140" s="280"/>
      <c r="AP140" s="280"/>
      <c r="AQ140" s="280"/>
      <c r="AR140" s="280"/>
      <c r="AS140" s="280"/>
      <c r="AT140" s="280"/>
      <c r="AU140" s="280"/>
      <c r="AV140" s="280"/>
      <c r="AW140" s="280"/>
      <c r="AX140" s="280"/>
      <c r="AY140" s="280"/>
      <c r="AZ140" s="280"/>
    </row>
    <row r="141" spans="1:52" ht="12.75" x14ac:dyDescent="0.2">
      <c r="A141" s="280"/>
      <c r="B141" s="280"/>
      <c r="C141" s="280"/>
      <c r="D141" s="280"/>
      <c r="E141" s="280"/>
      <c r="F141" s="280"/>
      <c r="G141" s="280"/>
      <c r="H141" s="280"/>
      <c r="I141" s="280"/>
      <c r="J141" s="280"/>
      <c r="K141" s="280"/>
      <c r="L141" s="280"/>
      <c r="M141" s="280"/>
      <c r="N141" s="280"/>
      <c r="O141" s="280"/>
      <c r="P141" s="280"/>
      <c r="Q141" s="280"/>
      <c r="R141" s="280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280"/>
      <c r="AD141" s="280"/>
      <c r="AE141" s="280"/>
      <c r="AF141" s="280"/>
      <c r="AG141" s="280"/>
      <c r="AH141" s="280"/>
      <c r="AI141" s="280"/>
      <c r="AJ141" s="280"/>
      <c r="AK141" s="280"/>
      <c r="AL141" s="280"/>
      <c r="AM141" s="280"/>
      <c r="AN141" s="280"/>
      <c r="AO141" s="280"/>
      <c r="AP141" s="280"/>
      <c r="AQ141" s="280"/>
      <c r="AR141" s="280"/>
      <c r="AS141" s="280"/>
      <c r="AT141" s="280"/>
      <c r="AU141" s="280"/>
      <c r="AV141" s="280"/>
      <c r="AW141" s="280"/>
      <c r="AX141" s="280"/>
      <c r="AY141" s="280"/>
      <c r="AZ141" s="280"/>
    </row>
    <row r="142" spans="1:52" ht="12.75" x14ac:dyDescent="0.2">
      <c r="A142" s="280"/>
      <c r="B142" s="280"/>
      <c r="C142" s="280"/>
      <c r="D142" s="280"/>
      <c r="E142" s="280"/>
      <c r="F142" s="280"/>
      <c r="G142" s="280"/>
      <c r="H142" s="280"/>
      <c r="I142" s="280"/>
      <c r="J142" s="280"/>
      <c r="K142" s="280"/>
      <c r="L142" s="280"/>
      <c r="M142" s="280"/>
      <c r="N142" s="280"/>
      <c r="O142" s="280"/>
      <c r="P142" s="280"/>
      <c r="Q142" s="280"/>
      <c r="R142" s="280"/>
      <c r="S142" s="280"/>
      <c r="T142" s="280"/>
      <c r="U142" s="280"/>
      <c r="V142" s="280"/>
      <c r="W142" s="280"/>
      <c r="X142" s="280"/>
      <c r="Y142" s="280"/>
      <c r="Z142" s="280"/>
      <c r="AA142" s="280"/>
      <c r="AB142" s="280"/>
      <c r="AC142" s="280"/>
      <c r="AD142" s="280"/>
      <c r="AE142" s="280"/>
      <c r="AF142" s="280"/>
      <c r="AG142" s="280"/>
      <c r="AH142" s="280"/>
      <c r="AI142" s="280"/>
      <c r="AJ142" s="280"/>
      <c r="AK142" s="280"/>
      <c r="AL142" s="280"/>
      <c r="AM142" s="280"/>
      <c r="AN142" s="280"/>
      <c r="AO142" s="280"/>
      <c r="AP142" s="280"/>
      <c r="AQ142" s="280"/>
      <c r="AR142" s="280"/>
      <c r="AS142" s="280"/>
      <c r="AT142" s="280"/>
      <c r="AU142" s="280"/>
      <c r="AV142" s="280"/>
      <c r="AW142" s="280"/>
      <c r="AX142" s="280"/>
      <c r="AY142" s="280"/>
      <c r="AZ142" s="280"/>
    </row>
    <row r="143" spans="1:52" ht="12.75" x14ac:dyDescent="0.2">
      <c r="A143" s="280"/>
      <c r="B143" s="280"/>
      <c r="C143" s="280"/>
      <c r="D143" s="280"/>
      <c r="E143" s="280"/>
      <c r="F143" s="280"/>
      <c r="G143" s="280"/>
      <c r="H143" s="280"/>
      <c r="I143" s="280"/>
      <c r="J143" s="280"/>
      <c r="K143" s="280"/>
      <c r="L143" s="280"/>
      <c r="M143" s="280"/>
      <c r="N143" s="280"/>
      <c r="O143" s="280"/>
      <c r="P143" s="280"/>
      <c r="Q143" s="280"/>
      <c r="R143" s="280"/>
      <c r="S143" s="280"/>
      <c r="T143" s="280"/>
      <c r="U143" s="280"/>
      <c r="V143" s="280"/>
      <c r="W143" s="280"/>
      <c r="X143" s="280"/>
      <c r="Y143" s="280"/>
      <c r="Z143" s="280"/>
      <c r="AA143" s="280"/>
      <c r="AB143" s="280"/>
      <c r="AC143" s="280"/>
      <c r="AD143" s="280"/>
      <c r="AE143" s="280"/>
      <c r="AF143" s="280"/>
      <c r="AG143" s="280"/>
      <c r="AH143" s="280"/>
      <c r="AI143" s="280"/>
      <c r="AJ143" s="280"/>
      <c r="AK143" s="280"/>
      <c r="AL143" s="280"/>
      <c r="AM143" s="280"/>
      <c r="AN143" s="280"/>
      <c r="AO143" s="280"/>
      <c r="AP143" s="280"/>
      <c r="AQ143" s="280"/>
      <c r="AR143" s="280"/>
      <c r="AS143" s="280"/>
      <c r="AT143" s="280"/>
      <c r="AU143" s="280"/>
      <c r="AV143" s="280"/>
      <c r="AW143" s="280"/>
      <c r="AX143" s="280"/>
      <c r="AY143" s="280"/>
      <c r="AZ143" s="280"/>
    </row>
    <row r="144" spans="1:52" ht="12.75" x14ac:dyDescent="0.2">
      <c r="A144" s="280"/>
      <c r="B144" s="280"/>
      <c r="C144" s="280"/>
      <c r="D144" s="280"/>
      <c r="E144" s="280"/>
      <c r="F144" s="280"/>
      <c r="G144" s="280"/>
      <c r="H144" s="280"/>
      <c r="I144" s="280"/>
      <c r="J144" s="280"/>
      <c r="K144" s="280"/>
      <c r="L144" s="280"/>
      <c r="M144" s="280"/>
      <c r="N144" s="280"/>
      <c r="O144" s="280"/>
      <c r="P144" s="280"/>
      <c r="Q144" s="280"/>
      <c r="R144" s="280"/>
      <c r="S144" s="280"/>
      <c r="T144" s="280"/>
      <c r="U144" s="280"/>
      <c r="V144" s="280"/>
      <c r="W144" s="280"/>
      <c r="X144" s="280"/>
      <c r="Y144" s="280"/>
      <c r="Z144" s="280"/>
      <c r="AA144" s="280"/>
      <c r="AB144" s="280"/>
      <c r="AC144" s="280"/>
      <c r="AD144" s="280"/>
      <c r="AE144" s="280"/>
      <c r="AF144" s="280"/>
      <c r="AG144" s="280"/>
      <c r="AH144" s="280"/>
      <c r="AI144" s="280"/>
      <c r="AJ144" s="280"/>
      <c r="AK144" s="280"/>
      <c r="AL144" s="280"/>
      <c r="AM144" s="280"/>
      <c r="AN144" s="280"/>
      <c r="AO144" s="280"/>
      <c r="AP144" s="280"/>
      <c r="AQ144" s="280"/>
      <c r="AR144" s="280"/>
      <c r="AS144" s="280"/>
      <c r="AT144" s="280"/>
      <c r="AU144" s="280"/>
      <c r="AV144" s="280"/>
      <c r="AW144" s="280"/>
      <c r="AX144" s="280"/>
      <c r="AY144" s="280"/>
      <c r="AZ144" s="280"/>
    </row>
    <row r="145" spans="1:52" ht="12.75" x14ac:dyDescent="0.2">
      <c r="A145" s="280"/>
      <c r="B145" s="280"/>
      <c r="C145" s="280"/>
      <c r="D145" s="280"/>
      <c r="E145" s="280"/>
      <c r="F145" s="280"/>
      <c r="G145" s="280"/>
      <c r="H145" s="280"/>
      <c r="I145" s="280"/>
      <c r="J145" s="280"/>
      <c r="K145" s="280"/>
      <c r="L145" s="280"/>
      <c r="M145" s="280"/>
      <c r="N145" s="280"/>
      <c r="O145" s="280"/>
      <c r="P145" s="280"/>
      <c r="Q145" s="280"/>
      <c r="R145" s="280"/>
      <c r="S145" s="280"/>
      <c r="T145" s="280"/>
      <c r="U145" s="280"/>
      <c r="V145" s="280"/>
      <c r="W145" s="280"/>
      <c r="X145" s="280"/>
      <c r="Y145" s="280"/>
      <c r="Z145" s="280"/>
      <c r="AA145" s="280"/>
      <c r="AB145" s="280"/>
      <c r="AC145" s="280"/>
      <c r="AD145" s="280"/>
      <c r="AE145" s="280"/>
      <c r="AF145" s="280"/>
      <c r="AG145" s="280"/>
      <c r="AH145" s="280"/>
      <c r="AI145" s="280"/>
      <c r="AJ145" s="280"/>
      <c r="AK145" s="280"/>
      <c r="AL145" s="280"/>
      <c r="AM145" s="280"/>
      <c r="AN145" s="280"/>
      <c r="AO145" s="280"/>
      <c r="AP145" s="280"/>
      <c r="AQ145" s="280"/>
      <c r="AR145" s="280"/>
      <c r="AS145" s="280"/>
      <c r="AT145" s="280"/>
      <c r="AU145" s="280"/>
      <c r="AV145" s="280"/>
      <c r="AW145" s="280"/>
      <c r="AX145" s="280"/>
      <c r="AY145" s="280"/>
      <c r="AZ145" s="280"/>
    </row>
    <row r="146" spans="1:52" ht="12.75" x14ac:dyDescent="0.2">
      <c r="A146" s="280"/>
      <c r="B146" s="280"/>
      <c r="C146" s="280"/>
      <c r="D146" s="280"/>
      <c r="E146" s="280"/>
      <c r="F146" s="280"/>
      <c r="G146" s="280"/>
      <c r="H146" s="280"/>
      <c r="I146" s="280"/>
      <c r="J146" s="280"/>
      <c r="K146" s="280"/>
      <c r="L146" s="280"/>
      <c r="M146" s="280"/>
      <c r="N146" s="280"/>
      <c r="O146" s="280"/>
      <c r="P146" s="280"/>
      <c r="Q146" s="280"/>
      <c r="R146" s="280"/>
      <c r="S146" s="280"/>
      <c r="T146" s="280"/>
      <c r="U146" s="280"/>
      <c r="V146" s="280"/>
      <c r="W146" s="280"/>
      <c r="X146" s="280"/>
      <c r="Y146" s="280"/>
      <c r="Z146" s="280"/>
      <c r="AA146" s="280"/>
      <c r="AB146" s="280"/>
      <c r="AC146" s="280"/>
      <c r="AD146" s="280"/>
      <c r="AE146" s="280"/>
      <c r="AF146" s="280"/>
      <c r="AG146" s="280"/>
      <c r="AH146" s="280"/>
      <c r="AI146" s="280"/>
      <c r="AJ146" s="280"/>
      <c r="AK146" s="280"/>
      <c r="AL146" s="280"/>
      <c r="AM146" s="280"/>
      <c r="AN146" s="280"/>
      <c r="AO146" s="280"/>
      <c r="AP146" s="280"/>
      <c r="AQ146" s="280"/>
      <c r="AR146" s="280"/>
      <c r="AS146" s="280"/>
      <c r="AT146" s="280"/>
      <c r="AU146" s="280"/>
      <c r="AV146" s="280"/>
      <c r="AW146" s="280"/>
      <c r="AX146" s="280"/>
      <c r="AY146" s="280"/>
      <c r="AZ146" s="280"/>
    </row>
    <row r="147" spans="1:52" ht="12.75" x14ac:dyDescent="0.2">
      <c r="A147" s="280"/>
      <c r="B147" s="280"/>
      <c r="C147" s="280"/>
      <c r="D147" s="280"/>
      <c r="E147" s="280"/>
      <c r="F147" s="280"/>
      <c r="G147" s="280"/>
      <c r="H147" s="280"/>
      <c r="I147" s="280"/>
      <c r="J147" s="280"/>
      <c r="K147" s="280"/>
      <c r="L147" s="280"/>
      <c r="M147" s="280"/>
      <c r="N147" s="280"/>
      <c r="O147" s="280"/>
      <c r="P147" s="280"/>
      <c r="Q147" s="280"/>
      <c r="R147" s="280"/>
      <c r="S147" s="280"/>
      <c r="T147" s="280"/>
      <c r="U147" s="280"/>
      <c r="V147" s="280"/>
      <c r="W147" s="280"/>
      <c r="X147" s="280"/>
      <c r="Y147" s="280"/>
      <c r="Z147" s="280"/>
      <c r="AA147" s="280"/>
      <c r="AB147" s="280"/>
      <c r="AC147" s="280"/>
      <c r="AD147" s="280"/>
      <c r="AE147" s="280"/>
      <c r="AF147" s="280"/>
      <c r="AG147" s="280"/>
      <c r="AH147" s="280"/>
      <c r="AI147" s="280"/>
      <c r="AJ147" s="280"/>
      <c r="AK147" s="280"/>
      <c r="AL147" s="280"/>
      <c r="AM147" s="280"/>
      <c r="AN147" s="280"/>
      <c r="AO147" s="280"/>
      <c r="AP147" s="280"/>
      <c r="AQ147" s="280"/>
      <c r="AR147" s="280"/>
      <c r="AS147" s="280"/>
      <c r="AT147" s="280"/>
      <c r="AU147" s="280"/>
      <c r="AV147" s="280"/>
      <c r="AW147" s="280"/>
      <c r="AX147" s="280"/>
      <c r="AY147" s="280"/>
      <c r="AZ147" s="280"/>
    </row>
    <row r="148" spans="1:52" ht="12.75" x14ac:dyDescent="0.2">
      <c r="A148" s="280"/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0"/>
      <c r="P148" s="280"/>
      <c r="Q148" s="280"/>
      <c r="R148" s="280"/>
      <c r="S148" s="280"/>
      <c r="T148" s="280"/>
      <c r="U148" s="280"/>
      <c r="V148" s="280"/>
      <c r="W148" s="280"/>
      <c r="X148" s="280"/>
      <c r="Y148" s="280"/>
      <c r="Z148" s="280"/>
      <c r="AA148" s="280"/>
      <c r="AB148" s="280"/>
      <c r="AC148" s="280"/>
      <c r="AD148" s="280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80"/>
      <c r="AY148" s="280"/>
      <c r="AZ148" s="280"/>
    </row>
    <row r="149" spans="1:52" ht="12.75" x14ac:dyDescent="0.2">
      <c r="A149" s="280"/>
      <c r="B149" s="280"/>
      <c r="C149" s="280"/>
      <c r="D149" s="280"/>
      <c r="E149" s="280"/>
      <c r="F149" s="280"/>
      <c r="G149" s="280"/>
      <c r="H149" s="280"/>
      <c r="I149" s="280"/>
      <c r="J149" s="280"/>
      <c r="K149" s="280"/>
      <c r="L149" s="280"/>
      <c r="M149" s="280"/>
      <c r="N149" s="280"/>
      <c r="O149" s="280"/>
      <c r="P149" s="280"/>
      <c r="Q149" s="280"/>
      <c r="R149" s="280"/>
      <c r="S149" s="280"/>
      <c r="T149" s="280"/>
      <c r="U149" s="280"/>
      <c r="V149" s="280"/>
      <c r="W149" s="280"/>
      <c r="X149" s="280"/>
      <c r="Y149" s="280"/>
      <c r="Z149" s="280"/>
      <c r="AA149" s="280"/>
      <c r="AB149" s="280"/>
      <c r="AC149" s="280"/>
      <c r="AD149" s="280"/>
      <c r="AE149" s="280"/>
      <c r="AF149" s="280"/>
      <c r="AG149" s="280"/>
      <c r="AH149" s="280"/>
      <c r="AI149" s="280"/>
      <c r="AJ149" s="280"/>
      <c r="AK149" s="280"/>
      <c r="AL149" s="280"/>
      <c r="AM149" s="280"/>
      <c r="AN149" s="280"/>
      <c r="AO149" s="280"/>
      <c r="AP149" s="280"/>
      <c r="AQ149" s="280"/>
      <c r="AR149" s="280"/>
      <c r="AS149" s="280"/>
      <c r="AT149" s="280"/>
      <c r="AU149" s="280"/>
      <c r="AV149" s="280"/>
      <c r="AW149" s="280"/>
      <c r="AX149" s="280"/>
      <c r="AY149" s="280"/>
      <c r="AZ149" s="280"/>
    </row>
    <row r="150" spans="1:52" ht="12.75" x14ac:dyDescent="0.2">
      <c r="A150" s="280"/>
      <c r="B150" s="280"/>
      <c r="C150" s="280"/>
      <c r="D150" s="280"/>
      <c r="E150" s="280"/>
      <c r="F150" s="280"/>
      <c r="G150" s="280"/>
      <c r="H150" s="280"/>
      <c r="I150" s="280"/>
      <c r="J150" s="280"/>
      <c r="K150" s="280"/>
      <c r="L150" s="280"/>
      <c r="M150" s="280"/>
      <c r="N150" s="280"/>
      <c r="O150" s="280"/>
      <c r="P150" s="280"/>
      <c r="Q150" s="280"/>
      <c r="R150" s="280"/>
      <c r="S150" s="280"/>
      <c r="T150" s="280"/>
      <c r="U150" s="280"/>
      <c r="V150" s="280"/>
      <c r="W150" s="280"/>
      <c r="X150" s="280"/>
      <c r="Y150" s="280"/>
      <c r="Z150" s="280"/>
      <c r="AA150" s="280"/>
      <c r="AB150" s="280"/>
      <c r="AC150" s="280"/>
      <c r="AD150" s="280"/>
      <c r="AE150" s="280"/>
      <c r="AF150" s="280"/>
      <c r="AG150" s="280"/>
      <c r="AH150" s="280"/>
      <c r="AI150" s="280"/>
      <c r="AJ150" s="280"/>
      <c r="AK150" s="280"/>
      <c r="AL150" s="280"/>
      <c r="AM150" s="280"/>
      <c r="AN150" s="280"/>
      <c r="AO150" s="280"/>
      <c r="AP150" s="280"/>
      <c r="AQ150" s="280"/>
      <c r="AR150" s="280"/>
      <c r="AS150" s="280"/>
      <c r="AT150" s="280"/>
      <c r="AU150" s="280"/>
      <c r="AV150" s="280"/>
      <c r="AW150" s="280"/>
      <c r="AX150" s="280"/>
      <c r="AY150" s="280"/>
      <c r="AZ150" s="280"/>
    </row>
    <row r="151" spans="1:52" ht="12.75" x14ac:dyDescent="0.2">
      <c r="A151" s="280"/>
      <c r="B151" s="280"/>
      <c r="C151" s="280"/>
      <c r="D151" s="280"/>
      <c r="E151" s="280"/>
      <c r="F151" s="280"/>
      <c r="G151" s="280"/>
      <c r="H151" s="280"/>
      <c r="I151" s="280"/>
      <c r="J151" s="280"/>
      <c r="K151" s="280"/>
      <c r="L151" s="280"/>
      <c r="M151" s="280"/>
      <c r="N151" s="280"/>
      <c r="O151" s="280"/>
      <c r="P151" s="280"/>
      <c r="Q151" s="280"/>
      <c r="R151" s="280"/>
      <c r="S151" s="280"/>
      <c r="T151" s="280"/>
      <c r="U151" s="280"/>
      <c r="V151" s="280"/>
      <c r="W151" s="280"/>
      <c r="X151" s="280"/>
      <c r="Y151" s="280"/>
      <c r="Z151" s="280"/>
      <c r="AA151" s="280"/>
      <c r="AB151" s="280"/>
      <c r="AC151" s="280"/>
      <c r="AD151" s="280"/>
      <c r="AE151" s="280"/>
      <c r="AF151" s="280"/>
      <c r="AG151" s="280"/>
      <c r="AH151" s="280"/>
      <c r="AI151" s="280"/>
      <c r="AJ151" s="280"/>
      <c r="AK151" s="280"/>
      <c r="AL151" s="280"/>
      <c r="AM151" s="280"/>
      <c r="AN151" s="280"/>
      <c r="AO151" s="280"/>
      <c r="AP151" s="280"/>
      <c r="AQ151" s="280"/>
      <c r="AR151" s="280"/>
      <c r="AS151" s="280"/>
      <c r="AT151" s="280"/>
      <c r="AU151" s="280"/>
      <c r="AV151" s="280"/>
      <c r="AW151" s="280"/>
      <c r="AX151" s="280"/>
      <c r="AY151" s="280"/>
      <c r="AZ151" s="280"/>
    </row>
    <row r="152" spans="1:52" ht="12.75" x14ac:dyDescent="0.2">
      <c r="A152" s="280"/>
      <c r="B152" s="280"/>
      <c r="C152" s="280"/>
      <c r="D152" s="280"/>
      <c r="E152" s="280"/>
      <c r="F152" s="280"/>
      <c r="G152" s="280"/>
      <c r="H152" s="280"/>
      <c r="I152" s="280"/>
      <c r="J152" s="280"/>
      <c r="K152" s="280"/>
      <c r="L152" s="280"/>
      <c r="M152" s="280"/>
      <c r="N152" s="280"/>
      <c r="O152" s="280"/>
      <c r="P152" s="280"/>
      <c r="Q152" s="280"/>
      <c r="R152" s="280"/>
      <c r="S152" s="280"/>
      <c r="T152" s="280"/>
      <c r="U152" s="280"/>
      <c r="V152" s="280"/>
      <c r="W152" s="280"/>
      <c r="X152" s="280"/>
      <c r="Y152" s="280"/>
      <c r="Z152" s="280"/>
      <c r="AA152" s="280"/>
      <c r="AB152" s="280"/>
      <c r="AC152" s="280"/>
      <c r="AD152" s="280"/>
      <c r="AE152" s="280"/>
      <c r="AF152" s="280"/>
      <c r="AG152" s="280"/>
      <c r="AH152" s="280"/>
      <c r="AI152" s="280"/>
      <c r="AJ152" s="280"/>
      <c r="AK152" s="280"/>
      <c r="AL152" s="280"/>
      <c r="AM152" s="280"/>
      <c r="AN152" s="280"/>
      <c r="AO152" s="280"/>
      <c r="AP152" s="280"/>
      <c r="AQ152" s="280"/>
      <c r="AR152" s="280"/>
      <c r="AS152" s="280"/>
      <c r="AT152" s="280"/>
      <c r="AU152" s="280"/>
      <c r="AV152" s="280"/>
      <c r="AW152" s="280"/>
      <c r="AX152" s="280"/>
      <c r="AY152" s="280"/>
      <c r="AZ152" s="280"/>
    </row>
    <row r="153" spans="1:52" ht="12.75" x14ac:dyDescent="0.2">
      <c r="A153" s="280"/>
      <c r="B153" s="280"/>
      <c r="C153" s="280"/>
      <c r="D153" s="280"/>
      <c r="E153" s="280"/>
      <c r="F153" s="280"/>
      <c r="G153" s="280"/>
      <c r="H153" s="280"/>
      <c r="I153" s="280"/>
      <c r="J153" s="280"/>
      <c r="K153" s="280"/>
      <c r="L153" s="280"/>
      <c r="M153" s="280"/>
      <c r="N153" s="280"/>
      <c r="O153" s="280"/>
      <c r="P153" s="280"/>
      <c r="Q153" s="280"/>
      <c r="R153" s="280"/>
      <c r="S153" s="280"/>
      <c r="T153" s="280"/>
      <c r="U153" s="280"/>
      <c r="V153" s="280"/>
      <c r="W153" s="280"/>
      <c r="X153" s="280"/>
      <c r="Y153" s="280"/>
      <c r="Z153" s="280"/>
      <c r="AA153" s="280"/>
      <c r="AB153" s="280"/>
      <c r="AC153" s="280"/>
      <c r="AD153" s="280"/>
      <c r="AE153" s="280"/>
      <c r="AF153" s="280"/>
      <c r="AG153" s="280"/>
      <c r="AH153" s="280"/>
      <c r="AI153" s="280"/>
      <c r="AJ153" s="280"/>
      <c r="AK153" s="280"/>
      <c r="AL153" s="280"/>
      <c r="AM153" s="280"/>
      <c r="AN153" s="280"/>
      <c r="AO153" s="280"/>
      <c r="AP153" s="280"/>
      <c r="AQ153" s="280"/>
      <c r="AR153" s="280"/>
      <c r="AS153" s="280"/>
      <c r="AT153" s="280"/>
      <c r="AU153" s="280"/>
      <c r="AV153" s="280"/>
      <c r="AW153" s="280"/>
      <c r="AX153" s="280"/>
      <c r="AY153" s="280"/>
      <c r="AZ153" s="280"/>
    </row>
    <row r="154" spans="1:52" ht="12.75" x14ac:dyDescent="0.2">
      <c r="A154" s="280"/>
      <c r="B154" s="280"/>
      <c r="C154" s="280"/>
      <c r="D154" s="280"/>
      <c r="E154" s="280"/>
      <c r="F154" s="280"/>
      <c r="G154" s="280"/>
      <c r="H154" s="280"/>
      <c r="I154" s="280"/>
      <c r="J154" s="280"/>
      <c r="K154" s="280"/>
      <c r="L154" s="280"/>
      <c r="M154" s="280"/>
      <c r="N154" s="280"/>
      <c r="O154" s="280"/>
      <c r="P154" s="280"/>
      <c r="Q154" s="280"/>
      <c r="R154" s="280"/>
      <c r="S154" s="280"/>
      <c r="T154" s="280"/>
      <c r="U154" s="280"/>
      <c r="V154" s="280"/>
      <c r="W154" s="280"/>
      <c r="X154" s="280"/>
      <c r="Y154" s="280"/>
      <c r="Z154" s="280"/>
      <c r="AA154" s="280"/>
      <c r="AB154" s="280"/>
      <c r="AC154" s="280"/>
      <c r="AD154" s="280"/>
      <c r="AE154" s="280"/>
      <c r="AF154" s="280"/>
      <c r="AG154" s="280"/>
      <c r="AH154" s="280"/>
      <c r="AI154" s="280"/>
      <c r="AJ154" s="280"/>
      <c r="AK154" s="280"/>
      <c r="AL154" s="280"/>
      <c r="AM154" s="280"/>
      <c r="AN154" s="280"/>
      <c r="AO154" s="280"/>
      <c r="AP154" s="280"/>
      <c r="AQ154" s="280"/>
      <c r="AR154" s="280"/>
      <c r="AS154" s="280"/>
      <c r="AT154" s="280"/>
      <c r="AU154" s="280"/>
      <c r="AV154" s="280"/>
      <c r="AW154" s="280"/>
      <c r="AX154" s="280"/>
      <c r="AY154" s="280"/>
      <c r="AZ154" s="280"/>
    </row>
    <row r="155" spans="1:52" ht="12.75" x14ac:dyDescent="0.2">
      <c r="A155" s="280"/>
      <c r="B155" s="280"/>
      <c r="C155" s="280"/>
      <c r="D155" s="280"/>
      <c r="E155" s="280"/>
      <c r="F155" s="280"/>
      <c r="G155" s="280"/>
      <c r="H155" s="280"/>
      <c r="I155" s="280"/>
      <c r="J155" s="280"/>
      <c r="K155" s="280"/>
      <c r="L155" s="280"/>
      <c r="M155" s="280"/>
      <c r="N155" s="280"/>
      <c r="O155" s="280"/>
      <c r="P155" s="280"/>
      <c r="Q155" s="280"/>
      <c r="R155" s="280"/>
      <c r="S155" s="280"/>
      <c r="T155" s="280"/>
      <c r="U155" s="280"/>
      <c r="V155" s="280"/>
      <c r="W155" s="280"/>
      <c r="X155" s="280"/>
      <c r="Y155" s="280"/>
      <c r="Z155" s="280"/>
      <c r="AA155" s="280"/>
      <c r="AB155" s="280"/>
      <c r="AC155" s="280"/>
      <c r="AD155" s="280"/>
      <c r="AE155" s="280"/>
      <c r="AF155" s="280"/>
      <c r="AG155" s="280"/>
      <c r="AH155" s="280"/>
      <c r="AI155" s="280"/>
      <c r="AJ155" s="280"/>
      <c r="AK155" s="280"/>
      <c r="AL155" s="280"/>
      <c r="AM155" s="280"/>
      <c r="AN155" s="280"/>
      <c r="AO155" s="280"/>
      <c r="AP155" s="280"/>
      <c r="AQ155" s="280"/>
      <c r="AR155" s="280"/>
      <c r="AS155" s="280"/>
      <c r="AT155" s="280"/>
      <c r="AU155" s="280"/>
      <c r="AV155" s="280"/>
      <c r="AW155" s="280"/>
      <c r="AX155" s="280"/>
      <c r="AY155" s="280"/>
      <c r="AZ155" s="280"/>
    </row>
    <row r="156" spans="1:52" ht="12.75" x14ac:dyDescent="0.2">
      <c r="A156" s="280"/>
      <c r="B156" s="280"/>
      <c r="C156" s="280"/>
      <c r="D156" s="280"/>
      <c r="E156" s="280"/>
      <c r="F156" s="280"/>
      <c r="G156" s="280"/>
      <c r="H156" s="280"/>
      <c r="I156" s="280"/>
      <c r="J156" s="280"/>
      <c r="K156" s="280"/>
      <c r="L156" s="280"/>
      <c r="M156" s="280"/>
      <c r="N156" s="280"/>
      <c r="O156" s="280"/>
      <c r="P156" s="280"/>
      <c r="Q156" s="280"/>
      <c r="R156" s="280"/>
      <c r="S156" s="280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80"/>
      <c r="AY156" s="280"/>
      <c r="AZ156" s="280"/>
    </row>
    <row r="157" spans="1:52" ht="12.75" x14ac:dyDescent="0.2">
      <c r="A157" s="280"/>
      <c r="B157" s="280"/>
      <c r="C157" s="280"/>
      <c r="D157" s="280"/>
      <c r="E157" s="280"/>
      <c r="F157" s="280"/>
      <c r="G157" s="280"/>
      <c r="H157" s="280"/>
      <c r="I157" s="280"/>
      <c r="J157" s="280"/>
      <c r="K157" s="280"/>
      <c r="L157" s="280"/>
      <c r="M157" s="280"/>
      <c r="N157" s="280"/>
      <c r="O157" s="280"/>
      <c r="P157" s="280"/>
      <c r="Q157" s="280"/>
      <c r="R157" s="280"/>
      <c r="S157" s="280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0"/>
      <c r="AO157" s="280"/>
      <c r="AP157" s="280"/>
      <c r="AQ157" s="280"/>
      <c r="AR157" s="280"/>
      <c r="AS157" s="280"/>
      <c r="AT157" s="280"/>
      <c r="AU157" s="280"/>
      <c r="AV157" s="280"/>
      <c r="AW157" s="280"/>
      <c r="AX157" s="280"/>
      <c r="AY157" s="280"/>
      <c r="AZ157" s="280"/>
    </row>
    <row r="158" spans="1:52" ht="12.75" x14ac:dyDescent="0.2">
      <c r="A158" s="280"/>
      <c r="B158" s="280"/>
      <c r="C158" s="280"/>
      <c r="D158" s="280"/>
      <c r="E158" s="280"/>
      <c r="F158" s="280"/>
      <c r="G158" s="280"/>
      <c r="H158" s="280"/>
      <c r="I158" s="280"/>
      <c r="J158" s="280"/>
      <c r="K158" s="280"/>
      <c r="L158" s="280"/>
      <c r="M158" s="280"/>
      <c r="N158" s="280"/>
      <c r="O158" s="280"/>
      <c r="P158" s="280"/>
      <c r="Q158" s="280"/>
      <c r="R158" s="280"/>
      <c r="S158" s="280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0"/>
      <c r="AO158" s="280"/>
      <c r="AP158" s="280"/>
      <c r="AQ158" s="280"/>
      <c r="AR158" s="280"/>
      <c r="AS158" s="280"/>
      <c r="AT158" s="280"/>
      <c r="AU158" s="280"/>
      <c r="AV158" s="280"/>
      <c r="AW158" s="280"/>
      <c r="AX158" s="280"/>
      <c r="AY158" s="280"/>
      <c r="AZ158" s="280"/>
    </row>
    <row r="159" spans="1:52" ht="12.75" x14ac:dyDescent="0.2">
      <c r="A159" s="280"/>
      <c r="B159" s="280"/>
      <c r="C159" s="280"/>
      <c r="D159" s="280"/>
      <c r="E159" s="280"/>
      <c r="F159" s="280"/>
      <c r="G159" s="280"/>
      <c r="H159" s="280"/>
      <c r="I159" s="280"/>
      <c r="J159" s="280"/>
      <c r="K159" s="280"/>
      <c r="L159" s="280"/>
      <c r="M159" s="280"/>
      <c r="N159" s="280"/>
      <c r="O159" s="280"/>
      <c r="P159" s="280"/>
      <c r="Q159" s="280"/>
      <c r="R159" s="280"/>
      <c r="S159" s="280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0"/>
      <c r="AO159" s="280"/>
      <c r="AP159" s="280"/>
      <c r="AQ159" s="280"/>
      <c r="AR159" s="280"/>
      <c r="AS159" s="280"/>
      <c r="AT159" s="280"/>
      <c r="AU159" s="280"/>
      <c r="AV159" s="280"/>
      <c r="AW159" s="280"/>
      <c r="AX159" s="280"/>
      <c r="AY159" s="280"/>
      <c r="AZ159" s="280"/>
    </row>
    <row r="160" spans="1:52" ht="12.75" x14ac:dyDescent="0.2">
      <c r="A160" s="280"/>
      <c r="B160" s="280"/>
      <c r="C160" s="280"/>
      <c r="D160" s="280"/>
      <c r="E160" s="280"/>
      <c r="F160" s="280"/>
      <c r="G160" s="280"/>
      <c r="H160" s="280"/>
      <c r="I160" s="280"/>
      <c r="J160" s="280"/>
      <c r="K160" s="280"/>
      <c r="L160" s="280"/>
      <c r="M160" s="280"/>
      <c r="N160" s="280"/>
      <c r="O160" s="280"/>
      <c r="P160" s="280"/>
      <c r="Q160" s="280"/>
      <c r="R160" s="280"/>
      <c r="S160" s="280"/>
      <c r="T160" s="280"/>
      <c r="U160" s="280"/>
      <c r="V160" s="280"/>
      <c r="W160" s="280"/>
      <c r="X160" s="280"/>
      <c r="Y160" s="280"/>
      <c r="Z160" s="280"/>
      <c r="AA160" s="280"/>
      <c r="AB160" s="280"/>
      <c r="AC160" s="280"/>
      <c r="AD160" s="280"/>
      <c r="AE160" s="280"/>
      <c r="AF160" s="280"/>
      <c r="AG160" s="280"/>
      <c r="AH160" s="280"/>
      <c r="AI160" s="280"/>
      <c r="AJ160" s="280"/>
      <c r="AK160" s="280"/>
      <c r="AL160" s="280"/>
      <c r="AM160" s="280"/>
      <c r="AN160" s="280"/>
      <c r="AO160" s="280"/>
      <c r="AP160" s="280"/>
      <c r="AQ160" s="280"/>
      <c r="AR160" s="280"/>
      <c r="AS160" s="280"/>
      <c r="AT160" s="280"/>
      <c r="AU160" s="280"/>
      <c r="AV160" s="280"/>
      <c r="AW160" s="280"/>
      <c r="AX160" s="280"/>
      <c r="AY160" s="280"/>
      <c r="AZ160" s="280"/>
    </row>
    <row r="161" spans="1:52" ht="12.75" x14ac:dyDescent="0.2">
      <c r="A161" s="280"/>
      <c r="B161" s="280"/>
      <c r="C161" s="280"/>
      <c r="D161" s="280"/>
      <c r="E161" s="280"/>
      <c r="F161" s="280"/>
      <c r="G161" s="280"/>
      <c r="H161" s="280"/>
      <c r="I161" s="280"/>
      <c r="J161" s="280"/>
      <c r="K161" s="280"/>
      <c r="L161" s="280"/>
      <c r="M161" s="280"/>
      <c r="N161" s="280"/>
      <c r="O161" s="280"/>
      <c r="P161" s="280"/>
      <c r="Q161" s="280"/>
      <c r="R161" s="280"/>
      <c r="S161" s="280"/>
      <c r="T161" s="280"/>
      <c r="U161" s="280"/>
      <c r="V161" s="280"/>
      <c r="W161" s="280"/>
      <c r="X161" s="280"/>
      <c r="Y161" s="280"/>
      <c r="Z161" s="280"/>
      <c r="AA161" s="280"/>
      <c r="AB161" s="280"/>
      <c r="AC161" s="280"/>
      <c r="AD161" s="280"/>
      <c r="AE161" s="280"/>
      <c r="AF161" s="280"/>
      <c r="AG161" s="280"/>
      <c r="AH161" s="280"/>
      <c r="AI161" s="280"/>
      <c r="AJ161" s="280"/>
      <c r="AK161" s="280"/>
      <c r="AL161" s="280"/>
      <c r="AM161" s="280"/>
      <c r="AN161" s="280"/>
      <c r="AO161" s="280"/>
      <c r="AP161" s="280"/>
      <c r="AQ161" s="280"/>
      <c r="AR161" s="280"/>
      <c r="AS161" s="280"/>
      <c r="AT161" s="280"/>
      <c r="AU161" s="280"/>
      <c r="AV161" s="280"/>
      <c r="AW161" s="280"/>
      <c r="AX161" s="280"/>
      <c r="AY161" s="280"/>
      <c r="AZ161" s="280"/>
    </row>
    <row r="162" spans="1:52" ht="12.75" x14ac:dyDescent="0.2">
      <c r="A162" s="280"/>
      <c r="B162" s="280"/>
      <c r="C162" s="280"/>
      <c r="D162" s="280"/>
      <c r="E162" s="280"/>
      <c r="F162" s="280"/>
      <c r="G162" s="280"/>
      <c r="H162" s="280"/>
      <c r="I162" s="280"/>
      <c r="J162" s="280"/>
      <c r="K162" s="280"/>
      <c r="L162" s="280"/>
      <c r="M162" s="280"/>
      <c r="N162" s="280"/>
      <c r="O162" s="280"/>
      <c r="P162" s="280"/>
      <c r="Q162" s="280"/>
      <c r="R162" s="280"/>
      <c r="S162" s="280"/>
      <c r="T162" s="280"/>
      <c r="U162" s="280"/>
      <c r="V162" s="280"/>
      <c r="W162" s="280"/>
      <c r="X162" s="280"/>
      <c r="Y162" s="280"/>
      <c r="Z162" s="280"/>
      <c r="AA162" s="280"/>
      <c r="AB162" s="280"/>
      <c r="AC162" s="280"/>
      <c r="AD162" s="280"/>
      <c r="AE162" s="280"/>
      <c r="AF162" s="280"/>
      <c r="AG162" s="280"/>
      <c r="AH162" s="280"/>
      <c r="AI162" s="280"/>
      <c r="AJ162" s="280"/>
      <c r="AK162" s="280"/>
      <c r="AL162" s="280"/>
      <c r="AM162" s="280"/>
      <c r="AN162" s="280"/>
      <c r="AO162" s="280"/>
      <c r="AP162" s="280"/>
      <c r="AQ162" s="280"/>
      <c r="AR162" s="280"/>
      <c r="AS162" s="280"/>
      <c r="AT162" s="280"/>
      <c r="AU162" s="280"/>
      <c r="AV162" s="280"/>
      <c r="AW162" s="280"/>
      <c r="AX162" s="280"/>
      <c r="AY162" s="280"/>
      <c r="AZ162" s="280"/>
    </row>
    <row r="163" spans="1:52" ht="12.75" x14ac:dyDescent="0.2">
      <c r="A163" s="280"/>
      <c r="B163" s="280"/>
      <c r="C163" s="280"/>
      <c r="D163" s="280"/>
      <c r="E163" s="280"/>
      <c r="F163" s="280"/>
      <c r="G163" s="280"/>
      <c r="H163" s="280"/>
      <c r="I163" s="280"/>
      <c r="J163" s="280"/>
      <c r="K163" s="280"/>
      <c r="L163" s="280"/>
      <c r="M163" s="280"/>
      <c r="N163" s="280"/>
      <c r="O163" s="280"/>
      <c r="P163" s="280"/>
      <c r="Q163" s="280"/>
      <c r="R163" s="280"/>
      <c r="S163" s="280"/>
      <c r="T163" s="280"/>
      <c r="U163" s="280"/>
      <c r="V163" s="280"/>
      <c r="W163" s="280"/>
      <c r="X163" s="280"/>
      <c r="Y163" s="280"/>
      <c r="Z163" s="280"/>
      <c r="AA163" s="280"/>
      <c r="AB163" s="280"/>
      <c r="AC163" s="280"/>
      <c r="AD163" s="280"/>
      <c r="AE163" s="280"/>
      <c r="AF163" s="280"/>
      <c r="AG163" s="280"/>
      <c r="AH163" s="280"/>
      <c r="AI163" s="280"/>
      <c r="AJ163" s="280"/>
      <c r="AK163" s="280"/>
      <c r="AL163" s="280"/>
      <c r="AM163" s="280"/>
      <c r="AN163" s="280"/>
      <c r="AO163" s="280"/>
      <c r="AP163" s="280"/>
      <c r="AQ163" s="280"/>
      <c r="AR163" s="280"/>
      <c r="AS163" s="280"/>
      <c r="AT163" s="280"/>
      <c r="AU163" s="280"/>
      <c r="AV163" s="280"/>
      <c r="AW163" s="280"/>
      <c r="AX163" s="280"/>
      <c r="AY163" s="280"/>
      <c r="AZ163" s="280"/>
    </row>
    <row r="164" spans="1:52" ht="12.75" x14ac:dyDescent="0.2">
      <c r="A164" s="280"/>
      <c r="B164" s="280"/>
      <c r="C164" s="280"/>
      <c r="D164" s="280"/>
      <c r="E164" s="280"/>
      <c r="F164" s="280"/>
      <c r="G164" s="280"/>
      <c r="H164" s="280"/>
      <c r="I164" s="280"/>
      <c r="J164" s="280"/>
      <c r="K164" s="280"/>
      <c r="L164" s="280"/>
      <c r="M164" s="280"/>
      <c r="N164" s="280"/>
      <c r="O164" s="280"/>
      <c r="P164" s="280"/>
      <c r="Q164" s="280"/>
      <c r="R164" s="280"/>
      <c r="S164" s="280"/>
      <c r="T164" s="280"/>
      <c r="U164" s="280"/>
      <c r="V164" s="280"/>
      <c r="W164" s="280"/>
      <c r="X164" s="280"/>
      <c r="Y164" s="280"/>
      <c r="Z164" s="280"/>
      <c r="AA164" s="280"/>
      <c r="AB164" s="280"/>
      <c r="AC164" s="280"/>
      <c r="AD164" s="280"/>
      <c r="AE164" s="280"/>
      <c r="AF164" s="280"/>
      <c r="AG164" s="280"/>
      <c r="AH164" s="280"/>
      <c r="AI164" s="280"/>
      <c r="AJ164" s="280"/>
      <c r="AK164" s="280"/>
      <c r="AL164" s="280"/>
      <c r="AM164" s="280"/>
      <c r="AN164" s="280"/>
      <c r="AO164" s="280"/>
      <c r="AP164" s="280"/>
      <c r="AQ164" s="280"/>
      <c r="AR164" s="280"/>
      <c r="AS164" s="280"/>
      <c r="AT164" s="280"/>
      <c r="AU164" s="280"/>
      <c r="AV164" s="280"/>
      <c r="AW164" s="280"/>
      <c r="AX164" s="280"/>
      <c r="AY164" s="280"/>
      <c r="AZ164" s="280"/>
    </row>
    <row r="165" spans="1:52" ht="12.75" x14ac:dyDescent="0.2">
      <c r="A165" s="280"/>
      <c r="B165" s="280"/>
      <c r="C165" s="280"/>
      <c r="D165" s="280"/>
      <c r="E165" s="280"/>
      <c r="F165" s="280"/>
      <c r="G165" s="280"/>
      <c r="H165" s="280"/>
      <c r="I165" s="280"/>
      <c r="J165" s="280"/>
      <c r="K165" s="280"/>
      <c r="L165" s="280"/>
      <c r="M165" s="280"/>
      <c r="N165" s="280"/>
      <c r="O165" s="280"/>
      <c r="P165" s="280"/>
      <c r="Q165" s="280"/>
      <c r="R165" s="280"/>
      <c r="S165" s="280"/>
      <c r="T165" s="280"/>
      <c r="U165" s="280"/>
      <c r="V165" s="280"/>
      <c r="W165" s="280"/>
      <c r="X165" s="280"/>
      <c r="Y165" s="280"/>
      <c r="Z165" s="280"/>
      <c r="AA165" s="280"/>
      <c r="AB165" s="280"/>
      <c r="AC165" s="280"/>
      <c r="AD165" s="280"/>
      <c r="AE165" s="280"/>
      <c r="AF165" s="280"/>
      <c r="AG165" s="280"/>
      <c r="AH165" s="280"/>
      <c r="AI165" s="280"/>
      <c r="AJ165" s="280"/>
      <c r="AK165" s="280"/>
      <c r="AL165" s="280"/>
      <c r="AM165" s="280"/>
      <c r="AN165" s="280"/>
      <c r="AO165" s="280"/>
      <c r="AP165" s="280"/>
      <c r="AQ165" s="280"/>
      <c r="AR165" s="280"/>
      <c r="AS165" s="280"/>
      <c r="AT165" s="280"/>
      <c r="AU165" s="280"/>
      <c r="AV165" s="280"/>
      <c r="AW165" s="280"/>
      <c r="AX165" s="280"/>
      <c r="AY165" s="280"/>
      <c r="AZ165" s="280"/>
    </row>
    <row r="166" spans="1:52" ht="12.75" x14ac:dyDescent="0.2">
      <c r="A166" s="280"/>
      <c r="B166" s="280"/>
      <c r="C166" s="280"/>
      <c r="D166" s="280"/>
      <c r="E166" s="280"/>
      <c r="F166" s="280"/>
      <c r="G166" s="280"/>
      <c r="H166" s="280"/>
      <c r="I166" s="280"/>
      <c r="J166" s="280"/>
      <c r="K166" s="280"/>
      <c r="L166" s="280"/>
      <c r="M166" s="280"/>
      <c r="N166" s="280"/>
      <c r="O166" s="280"/>
      <c r="P166" s="280"/>
      <c r="Q166" s="280"/>
      <c r="R166" s="280"/>
      <c r="S166" s="280"/>
      <c r="T166" s="280"/>
      <c r="U166" s="280"/>
      <c r="V166" s="280"/>
      <c r="W166" s="280"/>
      <c r="X166" s="280"/>
      <c r="Y166" s="280"/>
      <c r="Z166" s="280"/>
      <c r="AA166" s="280"/>
      <c r="AB166" s="280"/>
      <c r="AC166" s="280"/>
      <c r="AD166" s="280"/>
      <c r="AE166" s="280"/>
      <c r="AF166" s="280"/>
      <c r="AG166" s="280"/>
      <c r="AH166" s="280"/>
      <c r="AI166" s="280"/>
      <c r="AJ166" s="280"/>
      <c r="AK166" s="280"/>
      <c r="AL166" s="280"/>
      <c r="AM166" s="280"/>
      <c r="AN166" s="280"/>
      <c r="AO166" s="280"/>
      <c r="AP166" s="280"/>
      <c r="AQ166" s="280"/>
      <c r="AR166" s="280"/>
      <c r="AS166" s="280"/>
      <c r="AT166" s="280"/>
      <c r="AU166" s="280"/>
      <c r="AV166" s="280"/>
      <c r="AW166" s="280"/>
      <c r="AX166" s="280"/>
      <c r="AY166" s="280"/>
      <c r="AZ166" s="280"/>
    </row>
    <row r="167" spans="1:52" ht="12.75" x14ac:dyDescent="0.2">
      <c r="A167" s="280"/>
      <c r="B167" s="280"/>
      <c r="C167" s="280"/>
      <c r="D167" s="280"/>
      <c r="E167" s="280"/>
      <c r="F167" s="280"/>
      <c r="G167" s="280"/>
      <c r="H167" s="280"/>
      <c r="I167" s="280"/>
      <c r="J167" s="280"/>
      <c r="K167" s="280"/>
      <c r="L167" s="280"/>
      <c r="M167" s="280"/>
      <c r="N167" s="280"/>
      <c r="O167" s="280"/>
      <c r="P167" s="280"/>
      <c r="Q167" s="280"/>
      <c r="R167" s="280"/>
      <c r="S167" s="280"/>
      <c r="T167" s="280"/>
      <c r="U167" s="280"/>
      <c r="V167" s="280"/>
      <c r="W167" s="280"/>
      <c r="X167" s="280"/>
      <c r="Y167" s="280"/>
      <c r="Z167" s="280"/>
      <c r="AA167" s="280"/>
      <c r="AB167" s="280"/>
      <c r="AC167" s="280"/>
      <c r="AD167" s="280"/>
      <c r="AE167" s="280"/>
      <c r="AF167" s="280"/>
      <c r="AG167" s="280"/>
      <c r="AH167" s="280"/>
      <c r="AI167" s="280"/>
      <c r="AJ167" s="280"/>
      <c r="AK167" s="280"/>
      <c r="AL167" s="280"/>
      <c r="AM167" s="280"/>
      <c r="AN167" s="280"/>
      <c r="AO167" s="280"/>
      <c r="AP167" s="280"/>
      <c r="AQ167" s="280"/>
      <c r="AR167" s="280"/>
      <c r="AS167" s="280"/>
      <c r="AT167" s="280"/>
      <c r="AU167" s="280"/>
      <c r="AV167" s="280"/>
      <c r="AW167" s="280"/>
      <c r="AX167" s="280"/>
      <c r="AY167" s="280"/>
      <c r="AZ167" s="280"/>
    </row>
    <row r="168" spans="1:52" ht="12.75" x14ac:dyDescent="0.2">
      <c r="A168" s="280"/>
      <c r="B168" s="280"/>
      <c r="C168" s="280"/>
      <c r="D168" s="280"/>
      <c r="E168" s="280"/>
      <c r="F168" s="280"/>
      <c r="G168" s="280"/>
      <c r="H168" s="280"/>
      <c r="I168" s="280"/>
      <c r="J168" s="280"/>
      <c r="K168" s="280"/>
      <c r="L168" s="280"/>
      <c r="M168" s="280"/>
      <c r="N168" s="280"/>
      <c r="O168" s="280"/>
      <c r="P168" s="280"/>
      <c r="Q168" s="280"/>
      <c r="R168" s="280"/>
      <c r="S168" s="280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0"/>
      <c r="AO168" s="280"/>
      <c r="AP168" s="280"/>
      <c r="AQ168" s="280"/>
      <c r="AR168" s="280"/>
      <c r="AS168" s="280"/>
      <c r="AT168" s="280"/>
      <c r="AU168" s="280"/>
      <c r="AV168" s="280"/>
      <c r="AW168" s="280"/>
      <c r="AX168" s="280"/>
      <c r="AY168" s="280"/>
      <c r="AZ168" s="280"/>
    </row>
    <row r="169" spans="1:52" ht="12.75" x14ac:dyDescent="0.2">
      <c r="A169" s="280"/>
      <c r="B169" s="280"/>
      <c r="C169" s="280"/>
      <c r="D169" s="280"/>
      <c r="E169" s="280"/>
      <c r="F169" s="280"/>
      <c r="G169" s="280"/>
      <c r="H169" s="280"/>
      <c r="I169" s="280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0"/>
      <c r="AO169" s="280"/>
      <c r="AP169" s="280"/>
      <c r="AQ169" s="280"/>
      <c r="AR169" s="280"/>
      <c r="AS169" s="280"/>
      <c r="AT169" s="280"/>
      <c r="AU169" s="280"/>
      <c r="AV169" s="280"/>
      <c r="AW169" s="280"/>
      <c r="AX169" s="280"/>
      <c r="AY169" s="280"/>
      <c r="AZ169" s="280"/>
    </row>
    <row r="170" spans="1:52" ht="12.75" x14ac:dyDescent="0.2">
      <c r="A170" s="280"/>
      <c r="B170" s="280"/>
      <c r="C170" s="280"/>
      <c r="D170" s="280"/>
      <c r="E170" s="280"/>
      <c r="F170" s="280"/>
      <c r="G170" s="280"/>
      <c r="H170" s="280"/>
      <c r="I170" s="280"/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0"/>
      <c r="AO170" s="280"/>
      <c r="AP170" s="280"/>
      <c r="AQ170" s="280"/>
      <c r="AR170" s="280"/>
      <c r="AS170" s="280"/>
      <c r="AT170" s="280"/>
      <c r="AU170" s="280"/>
      <c r="AV170" s="280"/>
      <c r="AW170" s="280"/>
      <c r="AX170" s="280"/>
      <c r="AY170" s="280"/>
      <c r="AZ170" s="280"/>
    </row>
    <row r="171" spans="1:52" ht="12.75" x14ac:dyDescent="0.2">
      <c r="A171" s="280"/>
      <c r="B171" s="280"/>
      <c r="C171" s="280"/>
      <c r="D171" s="280"/>
      <c r="E171" s="280"/>
      <c r="F171" s="280"/>
      <c r="G171" s="280"/>
      <c r="H171" s="280"/>
      <c r="I171" s="280"/>
      <c r="J171" s="280"/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  <c r="V171" s="280"/>
      <c r="W171" s="280"/>
      <c r="X171" s="280"/>
      <c r="Y171" s="280"/>
      <c r="Z171" s="280"/>
      <c r="AA171" s="280"/>
      <c r="AB171" s="280"/>
      <c r="AC171" s="280"/>
      <c r="AD171" s="280"/>
      <c r="AE171" s="280"/>
      <c r="AF171" s="280"/>
      <c r="AG171" s="280"/>
      <c r="AH171" s="280"/>
      <c r="AI171" s="280"/>
      <c r="AJ171" s="280"/>
      <c r="AK171" s="280"/>
      <c r="AL171" s="280"/>
      <c r="AM171" s="280"/>
      <c r="AN171" s="280"/>
      <c r="AO171" s="280"/>
      <c r="AP171" s="280"/>
      <c r="AQ171" s="280"/>
      <c r="AR171" s="280"/>
      <c r="AS171" s="280"/>
      <c r="AT171" s="280"/>
      <c r="AU171" s="280"/>
      <c r="AV171" s="280"/>
      <c r="AW171" s="280"/>
      <c r="AX171" s="280"/>
      <c r="AY171" s="280"/>
      <c r="AZ171" s="280"/>
    </row>
    <row r="172" spans="1:52" ht="12.75" x14ac:dyDescent="0.2">
      <c r="A172" s="280"/>
      <c r="B172" s="280"/>
      <c r="C172" s="280"/>
      <c r="D172" s="280"/>
      <c r="E172" s="280"/>
      <c r="F172" s="280"/>
      <c r="G172" s="280"/>
      <c r="H172" s="280"/>
      <c r="I172" s="280"/>
      <c r="J172" s="280"/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0"/>
      <c r="AO172" s="280"/>
      <c r="AP172" s="280"/>
      <c r="AQ172" s="280"/>
      <c r="AR172" s="280"/>
      <c r="AS172" s="280"/>
      <c r="AT172" s="280"/>
      <c r="AU172" s="280"/>
      <c r="AV172" s="280"/>
      <c r="AW172" s="280"/>
      <c r="AX172" s="280"/>
      <c r="AY172" s="280"/>
      <c r="AZ172" s="280"/>
    </row>
    <row r="173" spans="1:52" ht="12.75" x14ac:dyDescent="0.2">
      <c r="A173" s="280"/>
      <c r="B173" s="280"/>
      <c r="C173" s="280"/>
      <c r="D173" s="280"/>
      <c r="E173" s="280"/>
      <c r="F173" s="280"/>
      <c r="G173" s="280"/>
      <c r="H173" s="280"/>
      <c r="I173" s="280"/>
      <c r="J173" s="280"/>
      <c r="K173" s="280"/>
      <c r="L173" s="280"/>
      <c r="M173" s="280"/>
      <c r="N173" s="280"/>
      <c r="O173" s="280"/>
      <c r="P173" s="280"/>
      <c r="Q173" s="280"/>
      <c r="R173" s="280"/>
      <c r="S173" s="280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0"/>
      <c r="AO173" s="280"/>
      <c r="AP173" s="280"/>
      <c r="AQ173" s="280"/>
      <c r="AR173" s="280"/>
      <c r="AS173" s="280"/>
      <c r="AT173" s="280"/>
      <c r="AU173" s="280"/>
      <c r="AV173" s="280"/>
      <c r="AW173" s="280"/>
      <c r="AX173" s="280"/>
      <c r="AY173" s="280"/>
      <c r="AZ173" s="280"/>
    </row>
    <row r="174" spans="1:52" ht="12.75" x14ac:dyDescent="0.2">
      <c r="A174" s="280"/>
      <c r="B174" s="280"/>
      <c r="C174" s="280"/>
      <c r="D174" s="280"/>
      <c r="E174" s="280"/>
      <c r="F174" s="280"/>
      <c r="G174" s="280"/>
      <c r="H174" s="280"/>
      <c r="I174" s="280"/>
      <c r="J174" s="280"/>
      <c r="K174" s="280"/>
      <c r="L174" s="280"/>
      <c r="M174" s="280"/>
      <c r="N174" s="280"/>
      <c r="O174" s="280"/>
      <c r="P174" s="280"/>
      <c r="Q174" s="280"/>
      <c r="R174" s="280"/>
      <c r="S174" s="280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0"/>
      <c r="AO174" s="280"/>
      <c r="AP174" s="280"/>
      <c r="AQ174" s="280"/>
      <c r="AR174" s="280"/>
      <c r="AS174" s="280"/>
      <c r="AT174" s="280"/>
      <c r="AU174" s="280"/>
      <c r="AV174" s="280"/>
      <c r="AW174" s="280"/>
      <c r="AX174" s="280"/>
      <c r="AY174" s="280"/>
      <c r="AZ174" s="280"/>
    </row>
    <row r="175" spans="1:52" ht="12.75" x14ac:dyDescent="0.2">
      <c r="A175" s="280"/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0"/>
      <c r="P175" s="280"/>
      <c r="Q175" s="280"/>
      <c r="R175" s="280"/>
      <c r="S175" s="280"/>
      <c r="T175" s="280"/>
      <c r="U175" s="280"/>
      <c r="V175" s="280"/>
      <c r="W175" s="280"/>
      <c r="X175" s="280"/>
      <c r="Y175" s="280"/>
      <c r="Z175" s="280"/>
      <c r="AA175" s="280"/>
      <c r="AB175" s="280"/>
      <c r="AC175" s="280"/>
      <c r="AD175" s="280"/>
      <c r="AE175" s="280"/>
      <c r="AF175" s="280"/>
      <c r="AG175" s="280"/>
      <c r="AH175" s="280"/>
      <c r="AI175" s="280"/>
      <c r="AJ175" s="280"/>
      <c r="AK175" s="280"/>
      <c r="AL175" s="280"/>
      <c r="AM175" s="280"/>
      <c r="AN175" s="280"/>
      <c r="AO175" s="280"/>
      <c r="AP175" s="280"/>
      <c r="AQ175" s="280"/>
      <c r="AR175" s="280"/>
      <c r="AS175" s="280"/>
      <c r="AT175" s="280"/>
      <c r="AU175" s="280"/>
      <c r="AV175" s="280"/>
      <c r="AW175" s="280"/>
      <c r="AX175" s="280"/>
      <c r="AY175" s="280"/>
      <c r="AZ175" s="280"/>
    </row>
    <row r="176" spans="1:52" ht="12.75" x14ac:dyDescent="0.2">
      <c r="A176" s="280"/>
      <c r="B176" s="280"/>
      <c r="C176" s="280"/>
      <c r="D176" s="280"/>
      <c r="E176" s="280"/>
      <c r="F176" s="280"/>
      <c r="G176" s="280"/>
      <c r="H176" s="280"/>
      <c r="I176" s="280"/>
      <c r="J176" s="280"/>
      <c r="K176" s="280"/>
      <c r="L176" s="280"/>
      <c r="M176" s="280"/>
      <c r="N176" s="280"/>
      <c r="O176" s="280"/>
      <c r="P176" s="280"/>
      <c r="Q176" s="280"/>
      <c r="R176" s="280"/>
      <c r="S176" s="280"/>
      <c r="T176" s="280"/>
      <c r="U176" s="280"/>
      <c r="V176" s="280"/>
      <c r="W176" s="280"/>
      <c r="X176" s="280"/>
      <c r="Y176" s="280"/>
      <c r="Z176" s="280"/>
      <c r="AA176" s="280"/>
      <c r="AB176" s="280"/>
      <c r="AC176" s="280"/>
      <c r="AD176" s="280"/>
      <c r="AE176" s="280"/>
      <c r="AF176" s="280"/>
      <c r="AG176" s="280"/>
      <c r="AH176" s="280"/>
      <c r="AI176" s="280"/>
      <c r="AJ176" s="280"/>
      <c r="AK176" s="280"/>
      <c r="AL176" s="280"/>
      <c r="AM176" s="280"/>
      <c r="AN176" s="280"/>
      <c r="AO176" s="280"/>
      <c r="AP176" s="280"/>
      <c r="AQ176" s="280"/>
      <c r="AR176" s="280"/>
      <c r="AS176" s="280"/>
      <c r="AT176" s="280"/>
      <c r="AU176" s="280"/>
      <c r="AV176" s="280"/>
      <c r="AW176" s="280"/>
      <c r="AX176" s="280"/>
      <c r="AY176" s="280"/>
      <c r="AZ176" s="280"/>
    </row>
    <row r="177" spans="1:52" ht="12.75" x14ac:dyDescent="0.2">
      <c r="A177" s="280"/>
      <c r="B177" s="280"/>
      <c r="C177" s="280"/>
      <c r="D177" s="280"/>
      <c r="E177" s="280"/>
      <c r="F177" s="280"/>
      <c r="G177" s="280"/>
      <c r="H177" s="280"/>
      <c r="I177" s="280"/>
      <c r="J177" s="280"/>
      <c r="K177" s="280"/>
      <c r="L177" s="280"/>
      <c r="M177" s="280"/>
      <c r="N177" s="280"/>
      <c r="O177" s="280"/>
      <c r="P177" s="280"/>
      <c r="Q177" s="280"/>
      <c r="R177" s="280"/>
      <c r="S177" s="280"/>
      <c r="T177" s="280"/>
      <c r="U177" s="280"/>
      <c r="V177" s="280"/>
      <c r="W177" s="280"/>
      <c r="X177" s="280"/>
      <c r="Y177" s="280"/>
      <c r="Z177" s="280"/>
      <c r="AA177" s="280"/>
      <c r="AB177" s="280"/>
      <c r="AC177" s="280"/>
      <c r="AD177" s="280"/>
      <c r="AE177" s="280"/>
      <c r="AF177" s="280"/>
      <c r="AG177" s="280"/>
      <c r="AH177" s="280"/>
      <c r="AI177" s="280"/>
      <c r="AJ177" s="280"/>
      <c r="AK177" s="280"/>
      <c r="AL177" s="280"/>
      <c r="AM177" s="280"/>
      <c r="AN177" s="280"/>
      <c r="AO177" s="280"/>
      <c r="AP177" s="280"/>
      <c r="AQ177" s="280"/>
      <c r="AR177" s="280"/>
      <c r="AS177" s="280"/>
      <c r="AT177" s="280"/>
      <c r="AU177" s="280"/>
      <c r="AV177" s="280"/>
      <c r="AW177" s="280"/>
      <c r="AX177" s="280"/>
      <c r="AY177" s="280"/>
      <c r="AZ177" s="280"/>
    </row>
    <row r="178" spans="1:52" ht="12.75" x14ac:dyDescent="0.2">
      <c r="A178" s="280"/>
      <c r="B178" s="280"/>
      <c r="C178" s="280"/>
      <c r="D178" s="280"/>
      <c r="E178" s="280"/>
      <c r="F178" s="280"/>
      <c r="G178" s="280"/>
      <c r="H178" s="280"/>
      <c r="I178" s="280"/>
      <c r="J178" s="280"/>
      <c r="K178" s="280"/>
      <c r="L178" s="280"/>
      <c r="M178" s="280"/>
      <c r="N178" s="280"/>
      <c r="O178" s="280"/>
      <c r="P178" s="280"/>
      <c r="Q178" s="280"/>
      <c r="R178" s="280"/>
      <c r="S178" s="280"/>
      <c r="T178" s="280"/>
      <c r="U178" s="280"/>
      <c r="V178" s="280"/>
      <c r="W178" s="280"/>
      <c r="X178" s="280"/>
      <c r="Y178" s="280"/>
      <c r="Z178" s="280"/>
      <c r="AA178" s="280"/>
      <c r="AB178" s="280"/>
      <c r="AC178" s="280"/>
      <c r="AD178" s="280"/>
      <c r="AE178" s="280"/>
      <c r="AF178" s="280"/>
      <c r="AG178" s="280"/>
      <c r="AH178" s="280"/>
      <c r="AI178" s="280"/>
      <c r="AJ178" s="280"/>
      <c r="AK178" s="280"/>
      <c r="AL178" s="280"/>
      <c r="AM178" s="280"/>
      <c r="AN178" s="280"/>
      <c r="AO178" s="280"/>
      <c r="AP178" s="280"/>
      <c r="AQ178" s="280"/>
      <c r="AR178" s="280"/>
      <c r="AS178" s="280"/>
      <c r="AT178" s="280"/>
      <c r="AU178" s="280"/>
      <c r="AV178" s="280"/>
      <c r="AW178" s="280"/>
      <c r="AX178" s="280"/>
      <c r="AY178" s="280"/>
      <c r="AZ178" s="280"/>
    </row>
    <row r="179" spans="1:52" ht="12.75" x14ac:dyDescent="0.2">
      <c r="A179" s="280"/>
      <c r="B179" s="280"/>
      <c r="C179" s="280"/>
      <c r="D179" s="280"/>
      <c r="E179" s="280"/>
      <c r="F179" s="280"/>
      <c r="G179" s="280"/>
      <c r="H179" s="280"/>
      <c r="I179" s="280"/>
      <c r="J179" s="280"/>
      <c r="K179" s="280"/>
      <c r="L179" s="280"/>
      <c r="M179" s="280"/>
      <c r="N179" s="280"/>
      <c r="O179" s="280"/>
      <c r="P179" s="280"/>
      <c r="Q179" s="280"/>
      <c r="R179" s="280"/>
      <c r="S179" s="280"/>
      <c r="T179" s="280"/>
      <c r="U179" s="280"/>
      <c r="V179" s="280"/>
      <c r="W179" s="280"/>
      <c r="X179" s="280"/>
      <c r="Y179" s="280"/>
      <c r="Z179" s="280"/>
      <c r="AA179" s="280"/>
      <c r="AB179" s="280"/>
      <c r="AC179" s="280"/>
      <c r="AD179" s="280"/>
      <c r="AE179" s="280"/>
      <c r="AF179" s="280"/>
      <c r="AG179" s="280"/>
      <c r="AH179" s="280"/>
      <c r="AI179" s="280"/>
      <c r="AJ179" s="280"/>
      <c r="AK179" s="280"/>
      <c r="AL179" s="280"/>
      <c r="AM179" s="280"/>
      <c r="AN179" s="280"/>
      <c r="AO179" s="280"/>
      <c r="AP179" s="280"/>
      <c r="AQ179" s="280"/>
      <c r="AR179" s="280"/>
      <c r="AS179" s="280"/>
      <c r="AT179" s="280"/>
      <c r="AU179" s="280"/>
      <c r="AV179" s="280"/>
      <c r="AW179" s="280"/>
      <c r="AX179" s="280"/>
      <c r="AY179" s="280"/>
      <c r="AZ179" s="280"/>
    </row>
    <row r="180" spans="1:52" ht="12.75" x14ac:dyDescent="0.2">
      <c r="A180" s="280"/>
      <c r="B180" s="280"/>
      <c r="C180" s="280"/>
      <c r="D180" s="280"/>
      <c r="E180" s="280"/>
      <c r="F180" s="280"/>
      <c r="G180" s="280"/>
      <c r="H180" s="280"/>
      <c r="I180" s="280"/>
      <c r="J180" s="280"/>
      <c r="K180" s="280"/>
      <c r="L180" s="280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80"/>
      <c r="Y180" s="280"/>
      <c r="Z180" s="280"/>
      <c r="AA180" s="280"/>
      <c r="AB180" s="280"/>
      <c r="AC180" s="280"/>
      <c r="AD180" s="280"/>
      <c r="AE180" s="280"/>
      <c r="AF180" s="280"/>
      <c r="AG180" s="280"/>
      <c r="AH180" s="280"/>
      <c r="AI180" s="280"/>
      <c r="AJ180" s="280"/>
      <c r="AK180" s="280"/>
      <c r="AL180" s="280"/>
      <c r="AM180" s="280"/>
      <c r="AN180" s="280"/>
      <c r="AO180" s="280"/>
      <c r="AP180" s="280"/>
      <c r="AQ180" s="280"/>
      <c r="AR180" s="280"/>
      <c r="AS180" s="280"/>
      <c r="AT180" s="280"/>
      <c r="AU180" s="280"/>
      <c r="AV180" s="280"/>
      <c r="AW180" s="280"/>
      <c r="AX180" s="280"/>
      <c r="AY180" s="280"/>
      <c r="AZ180" s="280"/>
    </row>
    <row r="181" spans="1:52" ht="12.75" x14ac:dyDescent="0.2">
      <c r="A181" s="280"/>
      <c r="B181" s="280"/>
      <c r="C181" s="280"/>
      <c r="D181" s="280"/>
      <c r="E181" s="280"/>
      <c r="F181" s="280"/>
      <c r="G181" s="280"/>
      <c r="H181" s="280"/>
      <c r="I181" s="280"/>
      <c r="J181" s="280"/>
      <c r="K181" s="280"/>
      <c r="L181" s="280"/>
      <c r="M181" s="280"/>
      <c r="N181" s="280"/>
      <c r="O181" s="280"/>
      <c r="P181" s="280"/>
      <c r="Q181" s="280"/>
      <c r="R181" s="280"/>
      <c r="S181" s="280"/>
      <c r="T181" s="280"/>
      <c r="U181" s="280"/>
      <c r="V181" s="280"/>
      <c r="W181" s="280"/>
      <c r="X181" s="280"/>
      <c r="Y181" s="280"/>
      <c r="Z181" s="280"/>
      <c r="AA181" s="280"/>
      <c r="AB181" s="280"/>
      <c r="AC181" s="280"/>
      <c r="AD181" s="280"/>
      <c r="AE181" s="280"/>
      <c r="AF181" s="280"/>
      <c r="AG181" s="280"/>
      <c r="AH181" s="280"/>
      <c r="AI181" s="280"/>
      <c r="AJ181" s="280"/>
      <c r="AK181" s="280"/>
      <c r="AL181" s="280"/>
      <c r="AM181" s="280"/>
      <c r="AN181" s="280"/>
      <c r="AO181" s="280"/>
      <c r="AP181" s="280"/>
      <c r="AQ181" s="280"/>
      <c r="AR181" s="280"/>
      <c r="AS181" s="280"/>
      <c r="AT181" s="280"/>
      <c r="AU181" s="280"/>
      <c r="AV181" s="280"/>
      <c r="AW181" s="280"/>
      <c r="AX181" s="280"/>
      <c r="AY181" s="280"/>
      <c r="AZ181" s="280"/>
    </row>
    <row r="182" spans="1:52" ht="12.75" x14ac:dyDescent="0.2">
      <c r="A182" s="280"/>
      <c r="B182" s="280"/>
      <c r="C182" s="280"/>
      <c r="D182" s="280"/>
      <c r="E182" s="280"/>
      <c r="F182" s="280"/>
      <c r="G182" s="280"/>
      <c r="H182" s="280"/>
      <c r="I182" s="280"/>
      <c r="J182" s="280"/>
      <c r="K182" s="280"/>
      <c r="L182" s="280"/>
      <c r="M182" s="280"/>
      <c r="N182" s="280"/>
      <c r="O182" s="280"/>
      <c r="P182" s="280"/>
      <c r="Q182" s="280"/>
      <c r="R182" s="280"/>
      <c r="S182" s="280"/>
      <c r="T182" s="280"/>
      <c r="U182" s="280"/>
      <c r="V182" s="280"/>
      <c r="W182" s="280"/>
      <c r="X182" s="280"/>
      <c r="Y182" s="280"/>
      <c r="Z182" s="280"/>
      <c r="AA182" s="280"/>
      <c r="AB182" s="280"/>
      <c r="AC182" s="280"/>
      <c r="AD182" s="280"/>
      <c r="AE182" s="280"/>
      <c r="AF182" s="280"/>
      <c r="AG182" s="280"/>
      <c r="AH182" s="280"/>
      <c r="AI182" s="280"/>
      <c r="AJ182" s="280"/>
      <c r="AK182" s="280"/>
      <c r="AL182" s="280"/>
      <c r="AM182" s="280"/>
      <c r="AN182" s="280"/>
      <c r="AO182" s="280"/>
      <c r="AP182" s="280"/>
      <c r="AQ182" s="280"/>
      <c r="AR182" s="280"/>
      <c r="AS182" s="280"/>
      <c r="AT182" s="280"/>
      <c r="AU182" s="280"/>
      <c r="AV182" s="280"/>
      <c r="AW182" s="280"/>
      <c r="AX182" s="280"/>
      <c r="AY182" s="280"/>
      <c r="AZ182" s="280"/>
    </row>
    <row r="183" spans="1:52" ht="12.75" x14ac:dyDescent="0.2">
      <c r="A183" s="280"/>
      <c r="B183" s="280"/>
      <c r="C183" s="280"/>
      <c r="D183" s="280"/>
      <c r="E183" s="280"/>
      <c r="F183" s="280"/>
      <c r="G183" s="280"/>
      <c r="H183" s="280"/>
      <c r="I183" s="280"/>
      <c r="J183" s="280"/>
      <c r="K183" s="280"/>
      <c r="L183" s="280"/>
      <c r="M183" s="280"/>
      <c r="N183" s="280"/>
      <c r="O183" s="280"/>
      <c r="P183" s="280"/>
      <c r="Q183" s="280"/>
      <c r="R183" s="280"/>
      <c r="S183" s="280"/>
      <c r="T183" s="280"/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0"/>
      <c r="AE183" s="280"/>
      <c r="AF183" s="280"/>
      <c r="AG183" s="280"/>
      <c r="AH183" s="280"/>
      <c r="AI183" s="280"/>
      <c r="AJ183" s="280"/>
      <c r="AK183" s="280"/>
      <c r="AL183" s="280"/>
      <c r="AM183" s="280"/>
      <c r="AN183" s="280"/>
      <c r="AO183" s="280"/>
      <c r="AP183" s="280"/>
      <c r="AQ183" s="280"/>
      <c r="AR183" s="280"/>
      <c r="AS183" s="280"/>
      <c r="AT183" s="280"/>
      <c r="AU183" s="280"/>
      <c r="AV183" s="280"/>
      <c r="AW183" s="280"/>
      <c r="AX183" s="280"/>
      <c r="AY183" s="280"/>
      <c r="AZ183" s="280"/>
    </row>
    <row r="184" spans="1:52" ht="12.75" x14ac:dyDescent="0.2">
      <c r="A184" s="280"/>
      <c r="B184" s="280"/>
      <c r="C184" s="280"/>
      <c r="D184" s="280"/>
      <c r="E184" s="280"/>
      <c r="F184" s="280"/>
      <c r="G184" s="280"/>
      <c r="H184" s="280"/>
      <c r="I184" s="280"/>
      <c r="J184" s="280"/>
      <c r="K184" s="280"/>
      <c r="L184" s="280"/>
      <c r="M184" s="280"/>
      <c r="N184" s="280"/>
      <c r="O184" s="280"/>
      <c r="P184" s="280"/>
      <c r="Q184" s="280"/>
      <c r="R184" s="280"/>
      <c r="S184" s="280"/>
      <c r="T184" s="280"/>
      <c r="U184" s="280"/>
      <c r="V184" s="280"/>
      <c r="W184" s="280"/>
      <c r="X184" s="280"/>
      <c r="Y184" s="280"/>
      <c r="Z184" s="280"/>
      <c r="AA184" s="280"/>
      <c r="AB184" s="280"/>
      <c r="AC184" s="280"/>
      <c r="AD184" s="280"/>
      <c r="AE184" s="280"/>
      <c r="AF184" s="280"/>
      <c r="AG184" s="280"/>
      <c r="AH184" s="280"/>
      <c r="AI184" s="280"/>
      <c r="AJ184" s="280"/>
      <c r="AK184" s="280"/>
      <c r="AL184" s="280"/>
      <c r="AM184" s="280"/>
      <c r="AN184" s="280"/>
      <c r="AO184" s="280"/>
      <c r="AP184" s="280"/>
      <c r="AQ184" s="280"/>
      <c r="AR184" s="280"/>
      <c r="AS184" s="280"/>
      <c r="AT184" s="280"/>
      <c r="AU184" s="280"/>
      <c r="AV184" s="280"/>
      <c r="AW184" s="280"/>
      <c r="AX184" s="280"/>
      <c r="AY184" s="280"/>
      <c r="AZ184" s="280"/>
    </row>
    <row r="185" spans="1:52" ht="12.75" x14ac:dyDescent="0.2">
      <c r="A185" s="280"/>
      <c r="B185" s="280"/>
      <c r="C185" s="280"/>
      <c r="D185" s="280"/>
      <c r="E185" s="280"/>
      <c r="F185" s="280"/>
      <c r="G185" s="280"/>
      <c r="H185" s="280"/>
      <c r="I185" s="280"/>
      <c r="J185" s="280"/>
      <c r="K185" s="280"/>
      <c r="L185" s="280"/>
      <c r="M185" s="280"/>
      <c r="N185" s="280"/>
      <c r="O185" s="280"/>
      <c r="P185" s="280"/>
      <c r="Q185" s="280"/>
      <c r="R185" s="280"/>
      <c r="S185" s="280"/>
      <c r="T185" s="280"/>
      <c r="U185" s="280"/>
      <c r="V185" s="280"/>
      <c r="W185" s="280"/>
      <c r="X185" s="280"/>
      <c r="Y185" s="280"/>
      <c r="Z185" s="280"/>
      <c r="AA185" s="280"/>
      <c r="AB185" s="280"/>
      <c r="AC185" s="280"/>
      <c r="AD185" s="280"/>
      <c r="AE185" s="280"/>
      <c r="AF185" s="280"/>
      <c r="AG185" s="280"/>
      <c r="AH185" s="280"/>
      <c r="AI185" s="280"/>
      <c r="AJ185" s="280"/>
      <c r="AK185" s="280"/>
      <c r="AL185" s="280"/>
      <c r="AM185" s="280"/>
      <c r="AN185" s="280"/>
      <c r="AO185" s="280"/>
      <c r="AP185" s="280"/>
      <c r="AQ185" s="280"/>
      <c r="AR185" s="280"/>
      <c r="AS185" s="280"/>
      <c r="AT185" s="280"/>
      <c r="AU185" s="280"/>
      <c r="AV185" s="280"/>
      <c r="AW185" s="280"/>
      <c r="AX185" s="280"/>
      <c r="AY185" s="280"/>
      <c r="AZ185" s="280"/>
    </row>
    <row r="186" spans="1:52" ht="12.75" x14ac:dyDescent="0.2">
      <c r="A186" s="280"/>
      <c r="B186" s="280"/>
      <c r="C186" s="280"/>
      <c r="D186" s="280"/>
      <c r="E186" s="280"/>
      <c r="F186" s="280"/>
      <c r="G186" s="280"/>
      <c r="H186" s="280"/>
      <c r="I186" s="280"/>
      <c r="J186" s="280"/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  <c r="AC186" s="280"/>
      <c r="AD186" s="280"/>
      <c r="AE186" s="280"/>
      <c r="AF186" s="280"/>
      <c r="AG186" s="280"/>
      <c r="AH186" s="280"/>
      <c r="AI186" s="280"/>
      <c r="AJ186" s="280"/>
      <c r="AK186" s="280"/>
      <c r="AL186" s="280"/>
      <c r="AM186" s="280"/>
      <c r="AN186" s="280"/>
      <c r="AO186" s="280"/>
      <c r="AP186" s="280"/>
      <c r="AQ186" s="280"/>
      <c r="AR186" s="280"/>
      <c r="AS186" s="280"/>
      <c r="AT186" s="280"/>
      <c r="AU186" s="280"/>
      <c r="AV186" s="280"/>
      <c r="AW186" s="280"/>
      <c r="AX186" s="280"/>
      <c r="AY186" s="280"/>
      <c r="AZ186" s="280"/>
    </row>
    <row r="187" spans="1:52" ht="12.75" x14ac:dyDescent="0.2">
      <c r="A187" s="280"/>
      <c r="B187" s="280"/>
      <c r="C187" s="280"/>
      <c r="D187" s="280"/>
      <c r="E187" s="280"/>
      <c r="F187" s="280"/>
      <c r="G187" s="280"/>
      <c r="H187" s="280"/>
      <c r="I187" s="280"/>
      <c r="J187" s="280"/>
      <c r="K187" s="280"/>
      <c r="L187" s="280"/>
      <c r="M187" s="280"/>
      <c r="N187" s="280"/>
      <c r="O187" s="280"/>
      <c r="P187" s="280"/>
      <c r="Q187" s="280"/>
      <c r="R187" s="280"/>
      <c r="S187" s="280"/>
      <c r="T187" s="280"/>
      <c r="U187" s="280"/>
      <c r="V187" s="280"/>
      <c r="W187" s="280"/>
      <c r="X187" s="280"/>
      <c r="Y187" s="280"/>
      <c r="Z187" s="280"/>
      <c r="AA187" s="280"/>
      <c r="AB187" s="280"/>
      <c r="AC187" s="280"/>
      <c r="AD187" s="280"/>
      <c r="AE187" s="280"/>
      <c r="AF187" s="280"/>
      <c r="AG187" s="280"/>
      <c r="AH187" s="280"/>
      <c r="AI187" s="280"/>
      <c r="AJ187" s="280"/>
      <c r="AK187" s="280"/>
      <c r="AL187" s="280"/>
      <c r="AM187" s="280"/>
      <c r="AN187" s="280"/>
      <c r="AO187" s="280"/>
      <c r="AP187" s="280"/>
      <c r="AQ187" s="280"/>
      <c r="AR187" s="280"/>
      <c r="AS187" s="280"/>
      <c r="AT187" s="280"/>
      <c r="AU187" s="280"/>
      <c r="AV187" s="280"/>
      <c r="AW187" s="280"/>
      <c r="AX187" s="280"/>
      <c r="AY187" s="280"/>
      <c r="AZ187" s="280"/>
    </row>
    <row r="188" spans="1:52" ht="12.75" x14ac:dyDescent="0.2">
      <c r="A188" s="280"/>
      <c r="B188" s="280"/>
      <c r="C188" s="280"/>
      <c r="D188" s="280"/>
      <c r="E188" s="280"/>
      <c r="F188" s="280"/>
      <c r="G188" s="280"/>
      <c r="H188" s="280"/>
      <c r="I188" s="280"/>
      <c r="J188" s="280"/>
      <c r="K188" s="280"/>
      <c r="L188" s="280"/>
      <c r="M188" s="280"/>
      <c r="N188" s="280"/>
      <c r="O188" s="280"/>
      <c r="P188" s="280"/>
      <c r="Q188" s="280"/>
      <c r="R188" s="280"/>
      <c r="S188" s="280"/>
      <c r="T188" s="280"/>
      <c r="U188" s="280"/>
      <c r="V188" s="280"/>
      <c r="W188" s="280"/>
      <c r="X188" s="280"/>
      <c r="Y188" s="280"/>
      <c r="Z188" s="280"/>
      <c r="AA188" s="280"/>
      <c r="AB188" s="280"/>
      <c r="AC188" s="280"/>
      <c r="AD188" s="280"/>
      <c r="AE188" s="280"/>
      <c r="AF188" s="280"/>
      <c r="AG188" s="280"/>
      <c r="AH188" s="280"/>
      <c r="AI188" s="280"/>
      <c r="AJ188" s="280"/>
      <c r="AK188" s="280"/>
      <c r="AL188" s="280"/>
      <c r="AM188" s="280"/>
      <c r="AN188" s="280"/>
      <c r="AO188" s="280"/>
      <c r="AP188" s="280"/>
      <c r="AQ188" s="280"/>
      <c r="AR188" s="280"/>
      <c r="AS188" s="280"/>
      <c r="AT188" s="280"/>
      <c r="AU188" s="280"/>
      <c r="AV188" s="280"/>
      <c r="AW188" s="280"/>
      <c r="AX188" s="280"/>
      <c r="AY188" s="280"/>
      <c r="AZ188" s="280"/>
    </row>
    <row r="189" spans="1:52" ht="12.75" x14ac:dyDescent="0.2">
      <c r="A189" s="280"/>
      <c r="B189" s="280"/>
      <c r="C189" s="280"/>
      <c r="D189" s="280"/>
      <c r="E189" s="280"/>
      <c r="F189" s="280"/>
      <c r="G189" s="280"/>
      <c r="H189" s="280"/>
      <c r="I189" s="280"/>
      <c r="J189" s="280"/>
      <c r="K189" s="280"/>
      <c r="L189" s="280"/>
      <c r="M189" s="280"/>
      <c r="N189" s="280"/>
      <c r="O189" s="280"/>
      <c r="P189" s="280"/>
      <c r="Q189" s="280"/>
      <c r="R189" s="280"/>
      <c r="S189" s="280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0"/>
      <c r="AO189" s="280"/>
      <c r="AP189" s="280"/>
      <c r="AQ189" s="280"/>
      <c r="AR189" s="280"/>
      <c r="AS189" s="280"/>
      <c r="AT189" s="280"/>
      <c r="AU189" s="280"/>
      <c r="AV189" s="280"/>
      <c r="AW189" s="280"/>
      <c r="AX189" s="280"/>
      <c r="AY189" s="280"/>
      <c r="AZ189" s="280"/>
    </row>
    <row r="190" spans="1:52" ht="12.75" x14ac:dyDescent="0.2">
      <c r="A190" s="280"/>
      <c r="B190" s="280"/>
      <c r="C190" s="280"/>
      <c r="D190" s="280"/>
      <c r="E190" s="280"/>
      <c r="F190" s="280"/>
      <c r="G190" s="280"/>
      <c r="H190" s="280"/>
      <c r="I190" s="280"/>
      <c r="J190" s="280"/>
      <c r="K190" s="280"/>
      <c r="L190" s="280"/>
      <c r="M190" s="280"/>
      <c r="N190" s="280"/>
      <c r="O190" s="280"/>
      <c r="P190" s="280"/>
      <c r="Q190" s="280"/>
      <c r="R190" s="280"/>
      <c r="S190" s="280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0"/>
      <c r="AO190" s="280"/>
      <c r="AP190" s="280"/>
      <c r="AQ190" s="280"/>
      <c r="AR190" s="280"/>
      <c r="AS190" s="280"/>
      <c r="AT190" s="280"/>
      <c r="AU190" s="280"/>
      <c r="AV190" s="280"/>
      <c r="AW190" s="280"/>
      <c r="AX190" s="280"/>
      <c r="AY190" s="280"/>
      <c r="AZ190" s="280"/>
    </row>
    <row r="191" spans="1:52" ht="12.75" x14ac:dyDescent="0.2">
      <c r="A191" s="280"/>
      <c r="B191" s="280"/>
      <c r="C191" s="280"/>
      <c r="D191" s="280"/>
      <c r="E191" s="280"/>
      <c r="F191" s="280"/>
      <c r="G191" s="280"/>
      <c r="H191" s="280"/>
      <c r="I191" s="280"/>
      <c r="J191" s="280"/>
      <c r="K191" s="280"/>
      <c r="L191" s="280"/>
      <c r="M191" s="280"/>
      <c r="N191" s="280"/>
      <c r="O191" s="280"/>
      <c r="P191" s="280"/>
      <c r="Q191" s="280"/>
      <c r="R191" s="280"/>
      <c r="S191" s="280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0"/>
      <c r="AO191" s="280"/>
      <c r="AP191" s="280"/>
      <c r="AQ191" s="280"/>
      <c r="AR191" s="280"/>
      <c r="AS191" s="280"/>
      <c r="AT191" s="280"/>
      <c r="AU191" s="280"/>
      <c r="AV191" s="280"/>
      <c r="AW191" s="280"/>
      <c r="AX191" s="280"/>
      <c r="AY191" s="280"/>
      <c r="AZ191" s="280"/>
    </row>
    <row r="192" spans="1:52" ht="12.75" x14ac:dyDescent="0.2">
      <c r="A192" s="280"/>
      <c r="B192" s="280"/>
      <c r="C192" s="280"/>
      <c r="D192" s="280"/>
      <c r="E192" s="280"/>
      <c r="F192" s="280"/>
      <c r="G192" s="280"/>
      <c r="H192" s="280"/>
      <c r="I192" s="280"/>
      <c r="J192" s="280"/>
      <c r="K192" s="280"/>
      <c r="L192" s="280"/>
      <c r="M192" s="280"/>
      <c r="N192" s="280"/>
      <c r="O192" s="280"/>
      <c r="P192" s="280"/>
      <c r="Q192" s="280"/>
      <c r="R192" s="280"/>
      <c r="S192" s="280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0"/>
      <c r="AO192" s="280"/>
      <c r="AP192" s="280"/>
      <c r="AQ192" s="280"/>
      <c r="AR192" s="280"/>
      <c r="AS192" s="280"/>
      <c r="AT192" s="280"/>
      <c r="AU192" s="280"/>
      <c r="AV192" s="280"/>
      <c r="AW192" s="280"/>
      <c r="AX192" s="280"/>
      <c r="AY192" s="280"/>
      <c r="AZ192" s="280"/>
    </row>
    <row r="193" spans="1:52" ht="12.75" x14ac:dyDescent="0.2">
      <c r="A193" s="280"/>
      <c r="B193" s="280"/>
      <c r="C193" s="280"/>
      <c r="D193" s="280"/>
      <c r="E193" s="280"/>
      <c r="F193" s="280"/>
      <c r="G193" s="280"/>
      <c r="H193" s="280"/>
      <c r="I193" s="280"/>
      <c r="J193" s="280"/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  <c r="Z193" s="280"/>
      <c r="AA193" s="280"/>
      <c r="AB193" s="280"/>
      <c r="AC193" s="280"/>
      <c r="AD193" s="280"/>
      <c r="AE193" s="280"/>
      <c r="AF193" s="280"/>
      <c r="AG193" s="280"/>
      <c r="AH193" s="280"/>
      <c r="AI193" s="280"/>
      <c r="AJ193" s="280"/>
      <c r="AK193" s="280"/>
      <c r="AL193" s="280"/>
      <c r="AM193" s="280"/>
      <c r="AN193" s="280"/>
      <c r="AO193" s="280"/>
      <c r="AP193" s="280"/>
      <c r="AQ193" s="280"/>
      <c r="AR193" s="280"/>
      <c r="AS193" s="280"/>
      <c r="AT193" s="280"/>
      <c r="AU193" s="280"/>
      <c r="AV193" s="280"/>
      <c r="AW193" s="280"/>
      <c r="AX193" s="280"/>
      <c r="AY193" s="280"/>
      <c r="AZ193" s="280"/>
    </row>
    <row r="194" spans="1:52" ht="12.75" x14ac:dyDescent="0.2">
      <c r="A194" s="280"/>
      <c r="B194" s="280"/>
      <c r="C194" s="280"/>
      <c r="D194" s="280"/>
      <c r="E194" s="280"/>
      <c r="F194" s="280"/>
      <c r="G194" s="280"/>
      <c r="H194" s="280"/>
      <c r="I194" s="280"/>
      <c r="J194" s="280"/>
      <c r="K194" s="280"/>
      <c r="L194" s="280"/>
      <c r="M194" s="280"/>
      <c r="N194" s="280"/>
      <c r="O194" s="280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  <c r="AA194" s="280"/>
      <c r="AB194" s="280"/>
      <c r="AC194" s="280"/>
      <c r="AD194" s="280"/>
      <c r="AE194" s="280"/>
      <c r="AF194" s="280"/>
      <c r="AG194" s="280"/>
      <c r="AH194" s="280"/>
      <c r="AI194" s="280"/>
      <c r="AJ194" s="280"/>
      <c r="AK194" s="280"/>
      <c r="AL194" s="280"/>
      <c r="AM194" s="280"/>
      <c r="AN194" s="280"/>
      <c r="AO194" s="280"/>
      <c r="AP194" s="280"/>
      <c r="AQ194" s="280"/>
      <c r="AR194" s="280"/>
      <c r="AS194" s="280"/>
      <c r="AT194" s="280"/>
      <c r="AU194" s="280"/>
      <c r="AV194" s="280"/>
      <c r="AW194" s="280"/>
      <c r="AX194" s="280"/>
      <c r="AY194" s="280"/>
      <c r="AZ194" s="280"/>
    </row>
    <row r="195" spans="1:52" ht="12.75" x14ac:dyDescent="0.2">
      <c r="A195" s="280"/>
      <c r="B195" s="280"/>
      <c r="C195" s="280"/>
      <c r="D195" s="280"/>
      <c r="E195" s="280"/>
      <c r="F195" s="280"/>
      <c r="G195" s="280"/>
      <c r="H195" s="280"/>
      <c r="I195" s="280"/>
      <c r="J195" s="280"/>
      <c r="K195" s="280"/>
      <c r="L195" s="280"/>
      <c r="M195" s="280"/>
      <c r="N195" s="280"/>
      <c r="O195" s="280"/>
      <c r="P195" s="280"/>
      <c r="Q195" s="280"/>
      <c r="R195" s="280"/>
      <c r="S195" s="280"/>
      <c r="T195" s="280"/>
      <c r="U195" s="280"/>
      <c r="V195" s="280"/>
      <c r="W195" s="280"/>
      <c r="X195" s="280"/>
      <c r="Y195" s="280"/>
      <c r="Z195" s="280"/>
      <c r="AA195" s="280"/>
      <c r="AB195" s="280"/>
      <c r="AC195" s="280"/>
      <c r="AD195" s="280"/>
      <c r="AE195" s="280"/>
      <c r="AF195" s="280"/>
      <c r="AG195" s="280"/>
      <c r="AH195" s="280"/>
      <c r="AI195" s="280"/>
      <c r="AJ195" s="280"/>
      <c r="AK195" s="280"/>
      <c r="AL195" s="280"/>
      <c r="AM195" s="280"/>
      <c r="AN195" s="280"/>
      <c r="AO195" s="280"/>
      <c r="AP195" s="280"/>
      <c r="AQ195" s="280"/>
      <c r="AR195" s="280"/>
      <c r="AS195" s="280"/>
      <c r="AT195" s="280"/>
      <c r="AU195" s="280"/>
      <c r="AV195" s="280"/>
      <c r="AW195" s="280"/>
      <c r="AX195" s="280"/>
      <c r="AY195" s="280"/>
      <c r="AZ195" s="280"/>
    </row>
    <row r="196" spans="1:52" ht="12.75" x14ac:dyDescent="0.2">
      <c r="A196" s="280"/>
      <c r="B196" s="280"/>
      <c r="C196" s="280"/>
      <c r="D196" s="280"/>
      <c r="E196" s="280"/>
      <c r="F196" s="280"/>
      <c r="G196" s="280"/>
      <c r="H196" s="280"/>
      <c r="I196" s="280"/>
      <c r="J196" s="280"/>
      <c r="K196" s="280"/>
      <c r="L196" s="280"/>
      <c r="M196" s="280"/>
      <c r="N196" s="280"/>
      <c r="O196" s="280"/>
      <c r="P196" s="280"/>
      <c r="Q196" s="280"/>
      <c r="R196" s="280"/>
      <c r="S196" s="280"/>
      <c r="T196" s="280"/>
      <c r="U196" s="280"/>
      <c r="V196" s="280"/>
      <c r="W196" s="280"/>
      <c r="X196" s="280"/>
      <c r="Y196" s="280"/>
      <c r="Z196" s="280"/>
      <c r="AA196" s="280"/>
      <c r="AB196" s="280"/>
      <c r="AC196" s="280"/>
      <c r="AD196" s="280"/>
      <c r="AE196" s="280"/>
      <c r="AF196" s="280"/>
      <c r="AG196" s="280"/>
      <c r="AH196" s="280"/>
      <c r="AI196" s="280"/>
      <c r="AJ196" s="280"/>
      <c r="AK196" s="280"/>
      <c r="AL196" s="280"/>
      <c r="AM196" s="280"/>
      <c r="AN196" s="280"/>
      <c r="AO196" s="280"/>
      <c r="AP196" s="280"/>
      <c r="AQ196" s="280"/>
      <c r="AR196" s="280"/>
      <c r="AS196" s="280"/>
      <c r="AT196" s="280"/>
      <c r="AU196" s="280"/>
      <c r="AV196" s="280"/>
      <c r="AW196" s="280"/>
      <c r="AX196" s="280"/>
      <c r="AY196" s="280"/>
      <c r="AZ196" s="280"/>
    </row>
    <row r="197" spans="1:52" ht="12.75" x14ac:dyDescent="0.2">
      <c r="A197" s="280"/>
      <c r="B197" s="280"/>
      <c r="C197" s="280"/>
      <c r="D197" s="280"/>
      <c r="E197" s="280"/>
      <c r="F197" s="280"/>
      <c r="G197" s="280"/>
      <c r="H197" s="280"/>
      <c r="I197" s="280"/>
      <c r="J197" s="280"/>
      <c r="K197" s="280"/>
      <c r="L197" s="280"/>
      <c r="M197" s="280"/>
      <c r="N197" s="280"/>
      <c r="O197" s="280"/>
      <c r="P197" s="280"/>
      <c r="Q197" s="280"/>
      <c r="R197" s="280"/>
      <c r="S197" s="280"/>
      <c r="T197" s="280"/>
      <c r="U197" s="280"/>
      <c r="V197" s="280"/>
      <c r="W197" s="280"/>
      <c r="X197" s="280"/>
      <c r="Y197" s="280"/>
      <c r="Z197" s="280"/>
      <c r="AA197" s="280"/>
      <c r="AB197" s="280"/>
      <c r="AC197" s="280"/>
      <c r="AD197" s="280"/>
      <c r="AE197" s="280"/>
      <c r="AF197" s="280"/>
      <c r="AG197" s="280"/>
      <c r="AH197" s="280"/>
      <c r="AI197" s="280"/>
      <c r="AJ197" s="280"/>
      <c r="AK197" s="280"/>
      <c r="AL197" s="280"/>
      <c r="AM197" s="280"/>
      <c r="AN197" s="280"/>
      <c r="AO197" s="280"/>
      <c r="AP197" s="280"/>
      <c r="AQ197" s="280"/>
      <c r="AR197" s="280"/>
      <c r="AS197" s="280"/>
      <c r="AT197" s="280"/>
      <c r="AU197" s="280"/>
      <c r="AV197" s="280"/>
      <c r="AW197" s="280"/>
      <c r="AX197" s="280"/>
      <c r="AY197" s="280"/>
      <c r="AZ197" s="280"/>
    </row>
    <row r="198" spans="1:52" ht="12.75" x14ac:dyDescent="0.2">
      <c r="A198" s="280"/>
      <c r="B198" s="280"/>
      <c r="C198" s="280"/>
      <c r="D198" s="280"/>
      <c r="E198" s="280"/>
      <c r="F198" s="280"/>
      <c r="G198" s="280"/>
      <c r="H198" s="280"/>
      <c r="I198" s="280"/>
      <c r="J198" s="280"/>
      <c r="K198" s="280"/>
      <c r="L198" s="280"/>
      <c r="M198" s="280"/>
      <c r="N198" s="280"/>
      <c r="O198" s="280"/>
      <c r="P198" s="280"/>
      <c r="Q198" s="280"/>
      <c r="R198" s="280"/>
      <c r="S198" s="280"/>
      <c r="T198" s="280"/>
      <c r="U198" s="280"/>
      <c r="V198" s="280"/>
      <c r="W198" s="280"/>
      <c r="X198" s="280"/>
      <c r="Y198" s="280"/>
      <c r="Z198" s="280"/>
      <c r="AA198" s="280"/>
      <c r="AB198" s="280"/>
      <c r="AC198" s="280"/>
      <c r="AD198" s="280"/>
      <c r="AE198" s="280"/>
      <c r="AF198" s="280"/>
      <c r="AG198" s="280"/>
      <c r="AH198" s="280"/>
      <c r="AI198" s="280"/>
      <c r="AJ198" s="280"/>
      <c r="AK198" s="280"/>
      <c r="AL198" s="280"/>
      <c r="AM198" s="280"/>
      <c r="AN198" s="280"/>
      <c r="AO198" s="280"/>
      <c r="AP198" s="280"/>
      <c r="AQ198" s="280"/>
      <c r="AR198" s="280"/>
      <c r="AS198" s="280"/>
      <c r="AT198" s="280"/>
      <c r="AU198" s="280"/>
      <c r="AV198" s="280"/>
      <c r="AW198" s="280"/>
      <c r="AX198" s="280"/>
      <c r="AY198" s="280"/>
      <c r="AZ198" s="280"/>
    </row>
    <row r="199" spans="1:52" ht="12.75" x14ac:dyDescent="0.2">
      <c r="A199" s="280"/>
      <c r="B199" s="280"/>
      <c r="C199" s="280"/>
      <c r="D199" s="280"/>
      <c r="E199" s="280"/>
      <c r="F199" s="280"/>
      <c r="G199" s="280"/>
      <c r="H199" s="280"/>
      <c r="I199" s="280"/>
      <c r="J199" s="280"/>
      <c r="K199" s="280"/>
      <c r="L199" s="280"/>
      <c r="M199" s="280"/>
      <c r="N199" s="280"/>
      <c r="O199" s="280"/>
      <c r="P199" s="280"/>
      <c r="Q199" s="280"/>
      <c r="R199" s="280"/>
      <c r="S199" s="280"/>
      <c r="T199" s="280"/>
      <c r="U199" s="280"/>
      <c r="V199" s="280"/>
      <c r="W199" s="280"/>
      <c r="X199" s="280"/>
      <c r="Y199" s="280"/>
      <c r="Z199" s="280"/>
      <c r="AA199" s="280"/>
      <c r="AB199" s="280"/>
      <c r="AC199" s="280"/>
      <c r="AD199" s="280"/>
      <c r="AE199" s="280"/>
      <c r="AF199" s="280"/>
      <c r="AG199" s="280"/>
      <c r="AH199" s="280"/>
      <c r="AI199" s="280"/>
      <c r="AJ199" s="280"/>
      <c r="AK199" s="280"/>
      <c r="AL199" s="280"/>
      <c r="AM199" s="280"/>
      <c r="AN199" s="280"/>
      <c r="AO199" s="280"/>
      <c r="AP199" s="280"/>
      <c r="AQ199" s="280"/>
      <c r="AR199" s="280"/>
      <c r="AS199" s="280"/>
      <c r="AT199" s="280"/>
      <c r="AU199" s="280"/>
      <c r="AV199" s="280"/>
      <c r="AW199" s="280"/>
      <c r="AX199" s="280"/>
      <c r="AY199" s="280"/>
      <c r="AZ199" s="280"/>
    </row>
    <row r="200" spans="1:52" ht="12.75" x14ac:dyDescent="0.2">
      <c r="A200" s="280"/>
      <c r="B200" s="280"/>
      <c r="C200" s="280"/>
      <c r="D200" s="280"/>
      <c r="E200" s="280"/>
      <c r="F200" s="280"/>
      <c r="G200" s="280"/>
      <c r="H200" s="280"/>
      <c r="I200" s="280"/>
      <c r="J200" s="280"/>
      <c r="K200" s="280"/>
      <c r="L200" s="280"/>
      <c r="M200" s="280"/>
      <c r="N200" s="280"/>
      <c r="O200" s="280"/>
      <c r="P200" s="280"/>
      <c r="Q200" s="280"/>
      <c r="R200" s="280"/>
      <c r="S200" s="280"/>
      <c r="T200" s="280"/>
      <c r="U200" s="280"/>
      <c r="V200" s="280"/>
      <c r="W200" s="280"/>
      <c r="X200" s="280"/>
      <c r="Y200" s="280"/>
      <c r="Z200" s="280"/>
      <c r="AA200" s="280"/>
      <c r="AB200" s="280"/>
      <c r="AC200" s="280"/>
      <c r="AD200" s="280"/>
      <c r="AE200" s="280"/>
      <c r="AF200" s="280"/>
      <c r="AG200" s="280"/>
      <c r="AH200" s="280"/>
      <c r="AI200" s="280"/>
      <c r="AJ200" s="280"/>
      <c r="AK200" s="280"/>
      <c r="AL200" s="280"/>
      <c r="AM200" s="280"/>
      <c r="AN200" s="280"/>
      <c r="AO200" s="280"/>
      <c r="AP200" s="280"/>
      <c r="AQ200" s="280"/>
      <c r="AR200" s="280"/>
      <c r="AS200" s="280"/>
      <c r="AT200" s="280"/>
      <c r="AU200" s="280"/>
      <c r="AV200" s="280"/>
      <c r="AW200" s="280"/>
      <c r="AX200" s="280"/>
      <c r="AY200" s="280"/>
      <c r="AZ200" s="280"/>
    </row>
    <row r="201" spans="1:52" ht="12.75" x14ac:dyDescent="0.2">
      <c r="A201" s="280"/>
      <c r="B201" s="280"/>
      <c r="C201" s="280"/>
      <c r="D201" s="280"/>
      <c r="E201" s="280"/>
      <c r="F201" s="280"/>
      <c r="G201" s="280"/>
      <c r="H201" s="280"/>
      <c r="I201" s="280"/>
      <c r="J201" s="280"/>
      <c r="K201" s="280"/>
      <c r="L201" s="280"/>
      <c r="M201" s="280"/>
      <c r="N201" s="280"/>
      <c r="O201" s="280"/>
      <c r="P201" s="280"/>
      <c r="Q201" s="280"/>
      <c r="R201" s="280"/>
      <c r="S201" s="280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0"/>
      <c r="AO201" s="280"/>
      <c r="AP201" s="280"/>
      <c r="AQ201" s="280"/>
      <c r="AR201" s="280"/>
      <c r="AS201" s="280"/>
      <c r="AT201" s="280"/>
      <c r="AU201" s="280"/>
      <c r="AV201" s="280"/>
      <c r="AW201" s="280"/>
      <c r="AX201" s="280"/>
      <c r="AY201" s="280"/>
      <c r="AZ201" s="280"/>
    </row>
    <row r="202" spans="1:52" ht="12.75" x14ac:dyDescent="0.2">
      <c r="A202" s="280"/>
      <c r="B202" s="280"/>
      <c r="C202" s="280"/>
      <c r="D202" s="280"/>
      <c r="E202" s="280"/>
      <c r="F202" s="280"/>
      <c r="G202" s="280"/>
      <c r="H202" s="280"/>
      <c r="I202" s="280"/>
      <c r="J202" s="280"/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0"/>
      <c r="AO202" s="280"/>
      <c r="AP202" s="280"/>
      <c r="AQ202" s="280"/>
      <c r="AR202" s="280"/>
      <c r="AS202" s="280"/>
      <c r="AT202" s="280"/>
      <c r="AU202" s="280"/>
      <c r="AV202" s="280"/>
      <c r="AW202" s="280"/>
      <c r="AX202" s="280"/>
      <c r="AY202" s="280"/>
      <c r="AZ202" s="280"/>
    </row>
    <row r="203" spans="1:52" ht="12.75" x14ac:dyDescent="0.2">
      <c r="A203" s="280"/>
      <c r="B203" s="280"/>
      <c r="C203" s="280"/>
      <c r="D203" s="280"/>
      <c r="E203" s="280"/>
      <c r="F203" s="280"/>
      <c r="G203" s="280"/>
      <c r="H203" s="280"/>
      <c r="I203" s="280"/>
      <c r="J203" s="280"/>
      <c r="K203" s="280"/>
      <c r="L203" s="280"/>
      <c r="M203" s="280"/>
      <c r="N203" s="280"/>
      <c r="O203" s="280"/>
      <c r="P203" s="280"/>
      <c r="Q203" s="280"/>
      <c r="R203" s="280"/>
      <c r="S203" s="280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0"/>
      <c r="AO203" s="280"/>
      <c r="AP203" s="280"/>
      <c r="AQ203" s="280"/>
      <c r="AR203" s="280"/>
      <c r="AS203" s="280"/>
      <c r="AT203" s="280"/>
      <c r="AU203" s="280"/>
      <c r="AV203" s="280"/>
      <c r="AW203" s="280"/>
      <c r="AX203" s="280"/>
      <c r="AY203" s="280"/>
      <c r="AZ203" s="280"/>
    </row>
    <row r="204" spans="1:52" ht="12.75" x14ac:dyDescent="0.2">
      <c r="A204" s="280"/>
      <c r="B204" s="280"/>
      <c r="C204" s="280"/>
      <c r="D204" s="280"/>
      <c r="E204" s="280"/>
      <c r="F204" s="280"/>
      <c r="G204" s="280"/>
      <c r="H204" s="280"/>
      <c r="I204" s="280"/>
      <c r="J204" s="280"/>
      <c r="K204" s="280"/>
      <c r="L204" s="280"/>
      <c r="M204" s="280"/>
      <c r="N204" s="280"/>
      <c r="O204" s="280"/>
      <c r="P204" s="280"/>
      <c r="Q204" s="280"/>
      <c r="R204" s="280"/>
      <c r="S204" s="280"/>
      <c r="T204" s="280"/>
      <c r="U204" s="280"/>
      <c r="V204" s="280"/>
      <c r="W204" s="280"/>
      <c r="X204" s="280"/>
      <c r="Y204" s="280"/>
      <c r="Z204" s="280"/>
      <c r="AA204" s="280"/>
      <c r="AB204" s="280"/>
      <c r="AC204" s="280"/>
      <c r="AD204" s="280"/>
      <c r="AE204" s="280"/>
      <c r="AF204" s="280"/>
      <c r="AG204" s="280"/>
      <c r="AH204" s="280"/>
      <c r="AI204" s="280"/>
      <c r="AJ204" s="280"/>
      <c r="AK204" s="280"/>
      <c r="AL204" s="280"/>
      <c r="AM204" s="280"/>
      <c r="AN204" s="280"/>
      <c r="AO204" s="280"/>
      <c r="AP204" s="280"/>
      <c r="AQ204" s="280"/>
      <c r="AR204" s="280"/>
      <c r="AS204" s="280"/>
      <c r="AT204" s="280"/>
      <c r="AU204" s="280"/>
      <c r="AV204" s="280"/>
      <c r="AW204" s="280"/>
      <c r="AX204" s="280"/>
      <c r="AY204" s="280"/>
      <c r="AZ204" s="280"/>
    </row>
    <row r="205" spans="1:52" ht="12.75" x14ac:dyDescent="0.2">
      <c r="A205" s="280"/>
      <c r="B205" s="280"/>
      <c r="C205" s="280"/>
      <c r="D205" s="280"/>
      <c r="E205" s="280"/>
      <c r="F205" s="280"/>
      <c r="G205" s="280"/>
      <c r="H205" s="280"/>
      <c r="I205" s="280"/>
      <c r="J205" s="280"/>
      <c r="K205" s="280"/>
      <c r="L205" s="280"/>
      <c r="M205" s="280"/>
      <c r="N205" s="280"/>
      <c r="O205" s="280"/>
      <c r="P205" s="280"/>
      <c r="Q205" s="280"/>
      <c r="R205" s="280"/>
      <c r="S205" s="280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0"/>
      <c r="AO205" s="280"/>
      <c r="AP205" s="280"/>
      <c r="AQ205" s="280"/>
      <c r="AR205" s="280"/>
      <c r="AS205" s="280"/>
      <c r="AT205" s="280"/>
      <c r="AU205" s="280"/>
      <c r="AV205" s="280"/>
      <c r="AW205" s="280"/>
      <c r="AX205" s="280"/>
      <c r="AY205" s="280"/>
      <c r="AZ205" s="280"/>
    </row>
    <row r="206" spans="1:52" ht="12.75" x14ac:dyDescent="0.2">
      <c r="A206" s="280"/>
      <c r="B206" s="280"/>
      <c r="C206" s="280"/>
      <c r="D206" s="280"/>
      <c r="E206" s="280"/>
      <c r="F206" s="280"/>
      <c r="G206" s="280"/>
      <c r="H206" s="280"/>
      <c r="I206" s="280"/>
      <c r="J206" s="280"/>
      <c r="K206" s="280"/>
      <c r="L206" s="280"/>
      <c r="M206" s="280"/>
      <c r="N206" s="280"/>
      <c r="O206" s="280"/>
      <c r="P206" s="280"/>
      <c r="Q206" s="280"/>
      <c r="R206" s="280"/>
      <c r="S206" s="280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0"/>
      <c r="AO206" s="280"/>
      <c r="AP206" s="280"/>
      <c r="AQ206" s="280"/>
      <c r="AR206" s="280"/>
      <c r="AS206" s="280"/>
      <c r="AT206" s="280"/>
      <c r="AU206" s="280"/>
      <c r="AV206" s="280"/>
      <c r="AW206" s="280"/>
      <c r="AX206" s="280"/>
      <c r="AY206" s="280"/>
      <c r="AZ206" s="280"/>
    </row>
    <row r="207" spans="1:52" ht="12.75" x14ac:dyDescent="0.2">
      <c r="A207" s="280"/>
      <c r="B207" s="280"/>
      <c r="C207" s="280"/>
      <c r="D207" s="280"/>
      <c r="E207" s="280"/>
      <c r="F207" s="280"/>
      <c r="G207" s="280"/>
      <c r="H207" s="280"/>
      <c r="I207" s="280"/>
      <c r="J207" s="280"/>
      <c r="K207" s="280"/>
      <c r="L207" s="280"/>
      <c r="M207" s="280"/>
      <c r="N207" s="280"/>
      <c r="O207" s="280"/>
      <c r="P207" s="280"/>
      <c r="Q207" s="280"/>
      <c r="R207" s="280"/>
      <c r="S207" s="280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0"/>
      <c r="AO207" s="280"/>
      <c r="AP207" s="280"/>
      <c r="AQ207" s="280"/>
      <c r="AR207" s="280"/>
      <c r="AS207" s="280"/>
      <c r="AT207" s="280"/>
      <c r="AU207" s="280"/>
      <c r="AV207" s="280"/>
      <c r="AW207" s="280"/>
      <c r="AX207" s="280"/>
      <c r="AY207" s="280"/>
      <c r="AZ207" s="280"/>
    </row>
    <row r="208" spans="1:52" ht="12.75" x14ac:dyDescent="0.2">
      <c r="A208" s="280"/>
      <c r="B208" s="280"/>
      <c r="C208" s="280"/>
      <c r="D208" s="280"/>
      <c r="E208" s="280"/>
      <c r="F208" s="280"/>
      <c r="G208" s="280"/>
      <c r="H208" s="280"/>
      <c r="I208" s="280"/>
      <c r="J208" s="280"/>
      <c r="K208" s="280"/>
      <c r="L208" s="280"/>
      <c r="M208" s="280"/>
      <c r="N208" s="280"/>
      <c r="O208" s="280"/>
      <c r="P208" s="280"/>
      <c r="Q208" s="280"/>
      <c r="R208" s="280"/>
      <c r="S208" s="280"/>
      <c r="T208" s="280"/>
      <c r="U208" s="280"/>
      <c r="V208" s="280"/>
      <c r="W208" s="280"/>
      <c r="X208" s="280"/>
      <c r="Y208" s="280"/>
      <c r="Z208" s="280"/>
      <c r="AA208" s="280"/>
      <c r="AB208" s="280"/>
      <c r="AC208" s="280"/>
      <c r="AD208" s="280"/>
      <c r="AE208" s="280"/>
      <c r="AF208" s="280"/>
      <c r="AG208" s="280"/>
      <c r="AH208" s="280"/>
      <c r="AI208" s="280"/>
      <c r="AJ208" s="280"/>
      <c r="AK208" s="280"/>
      <c r="AL208" s="280"/>
      <c r="AM208" s="280"/>
      <c r="AN208" s="280"/>
      <c r="AO208" s="280"/>
      <c r="AP208" s="280"/>
      <c r="AQ208" s="280"/>
      <c r="AR208" s="280"/>
      <c r="AS208" s="280"/>
      <c r="AT208" s="280"/>
      <c r="AU208" s="280"/>
      <c r="AV208" s="280"/>
      <c r="AW208" s="280"/>
      <c r="AX208" s="280"/>
      <c r="AY208" s="280"/>
      <c r="AZ208" s="280"/>
    </row>
    <row r="209" spans="1:52" ht="12.75" x14ac:dyDescent="0.2">
      <c r="A209" s="280"/>
      <c r="B209" s="280"/>
      <c r="C209" s="280"/>
      <c r="D209" s="280"/>
      <c r="E209" s="280"/>
      <c r="F209" s="280"/>
      <c r="G209" s="280"/>
      <c r="H209" s="280"/>
      <c r="I209" s="280"/>
      <c r="J209" s="280"/>
      <c r="K209" s="280"/>
      <c r="L209" s="280"/>
      <c r="M209" s="280"/>
      <c r="N209" s="280"/>
      <c r="O209" s="280"/>
      <c r="P209" s="280"/>
      <c r="Q209" s="280"/>
      <c r="R209" s="280"/>
      <c r="S209" s="280"/>
      <c r="T209" s="280"/>
      <c r="U209" s="280"/>
      <c r="V209" s="280"/>
      <c r="W209" s="280"/>
      <c r="X209" s="280"/>
      <c r="Y209" s="280"/>
      <c r="Z209" s="280"/>
      <c r="AA209" s="280"/>
      <c r="AB209" s="280"/>
      <c r="AC209" s="280"/>
      <c r="AD209" s="280"/>
      <c r="AE209" s="280"/>
      <c r="AF209" s="280"/>
      <c r="AG209" s="280"/>
      <c r="AH209" s="280"/>
      <c r="AI209" s="280"/>
      <c r="AJ209" s="280"/>
      <c r="AK209" s="280"/>
      <c r="AL209" s="280"/>
      <c r="AM209" s="280"/>
      <c r="AN209" s="280"/>
      <c r="AO209" s="280"/>
      <c r="AP209" s="280"/>
      <c r="AQ209" s="280"/>
      <c r="AR209" s="280"/>
      <c r="AS209" s="280"/>
      <c r="AT209" s="280"/>
      <c r="AU209" s="280"/>
      <c r="AV209" s="280"/>
      <c r="AW209" s="280"/>
      <c r="AX209" s="280"/>
      <c r="AY209" s="280"/>
      <c r="AZ209" s="280"/>
    </row>
    <row r="210" spans="1:52" ht="12.75" x14ac:dyDescent="0.2">
      <c r="A210" s="280"/>
      <c r="B210" s="280"/>
      <c r="C210" s="280"/>
      <c r="D210" s="280"/>
      <c r="E210" s="280"/>
      <c r="F210" s="280"/>
      <c r="G210" s="280"/>
      <c r="H210" s="280"/>
      <c r="I210" s="280"/>
      <c r="J210" s="280"/>
      <c r="K210" s="280"/>
      <c r="L210" s="280"/>
      <c r="M210" s="280"/>
      <c r="N210" s="280"/>
      <c r="O210" s="280"/>
      <c r="P210" s="280"/>
      <c r="Q210" s="280"/>
      <c r="R210" s="280"/>
      <c r="S210" s="280"/>
      <c r="T210" s="280"/>
      <c r="U210" s="280"/>
      <c r="V210" s="280"/>
      <c r="W210" s="280"/>
      <c r="X210" s="280"/>
      <c r="Y210" s="280"/>
      <c r="Z210" s="280"/>
      <c r="AA210" s="280"/>
      <c r="AB210" s="280"/>
      <c r="AC210" s="280"/>
      <c r="AD210" s="280"/>
      <c r="AE210" s="280"/>
      <c r="AF210" s="280"/>
      <c r="AG210" s="280"/>
      <c r="AH210" s="280"/>
      <c r="AI210" s="280"/>
      <c r="AJ210" s="280"/>
      <c r="AK210" s="280"/>
      <c r="AL210" s="280"/>
      <c r="AM210" s="280"/>
      <c r="AN210" s="280"/>
      <c r="AO210" s="280"/>
      <c r="AP210" s="280"/>
      <c r="AQ210" s="280"/>
      <c r="AR210" s="280"/>
      <c r="AS210" s="280"/>
      <c r="AT210" s="280"/>
      <c r="AU210" s="280"/>
      <c r="AV210" s="280"/>
      <c r="AW210" s="280"/>
      <c r="AX210" s="280"/>
      <c r="AY210" s="280"/>
      <c r="AZ210" s="280"/>
    </row>
    <row r="211" spans="1:52" ht="12.75" x14ac:dyDescent="0.2">
      <c r="A211" s="280"/>
      <c r="B211" s="280"/>
      <c r="C211" s="280"/>
      <c r="D211" s="280"/>
      <c r="E211" s="280"/>
      <c r="F211" s="280"/>
      <c r="G211" s="280"/>
      <c r="H211" s="280"/>
      <c r="I211" s="280"/>
      <c r="J211" s="280"/>
      <c r="K211" s="280"/>
      <c r="L211" s="280"/>
      <c r="M211" s="280"/>
      <c r="N211" s="280"/>
      <c r="O211" s="280"/>
      <c r="P211" s="280"/>
      <c r="Q211" s="280"/>
      <c r="R211" s="280"/>
      <c r="S211" s="280"/>
      <c r="T211" s="280"/>
      <c r="U211" s="280"/>
      <c r="V211" s="280"/>
      <c r="W211" s="280"/>
      <c r="X211" s="280"/>
      <c r="Y211" s="280"/>
      <c r="Z211" s="280"/>
      <c r="AA211" s="280"/>
      <c r="AB211" s="280"/>
      <c r="AC211" s="280"/>
      <c r="AD211" s="280"/>
      <c r="AE211" s="280"/>
      <c r="AF211" s="280"/>
      <c r="AG211" s="280"/>
      <c r="AH211" s="280"/>
      <c r="AI211" s="280"/>
      <c r="AJ211" s="280"/>
      <c r="AK211" s="280"/>
      <c r="AL211" s="280"/>
      <c r="AM211" s="280"/>
      <c r="AN211" s="280"/>
      <c r="AO211" s="280"/>
      <c r="AP211" s="280"/>
      <c r="AQ211" s="280"/>
      <c r="AR211" s="280"/>
      <c r="AS211" s="280"/>
      <c r="AT211" s="280"/>
      <c r="AU211" s="280"/>
      <c r="AV211" s="280"/>
      <c r="AW211" s="280"/>
      <c r="AX211" s="280"/>
      <c r="AY211" s="280"/>
      <c r="AZ211" s="280"/>
    </row>
    <row r="212" spans="1:52" ht="12.75" x14ac:dyDescent="0.2">
      <c r="A212" s="280"/>
      <c r="B212" s="280"/>
      <c r="C212" s="280"/>
      <c r="D212" s="280"/>
      <c r="E212" s="280"/>
      <c r="F212" s="280"/>
      <c r="G212" s="280"/>
      <c r="H212" s="280"/>
      <c r="I212" s="280"/>
      <c r="J212" s="280"/>
      <c r="K212" s="280"/>
      <c r="L212" s="280"/>
      <c r="M212" s="280"/>
      <c r="N212" s="280"/>
      <c r="O212" s="280"/>
      <c r="P212" s="280"/>
      <c r="Q212" s="280"/>
      <c r="R212" s="280"/>
      <c r="S212" s="280"/>
      <c r="T212" s="280"/>
      <c r="U212" s="280"/>
      <c r="V212" s="280"/>
      <c r="W212" s="280"/>
      <c r="X212" s="280"/>
      <c r="Y212" s="280"/>
      <c r="Z212" s="280"/>
      <c r="AA212" s="280"/>
      <c r="AB212" s="280"/>
      <c r="AC212" s="280"/>
      <c r="AD212" s="280"/>
      <c r="AE212" s="280"/>
      <c r="AF212" s="280"/>
      <c r="AG212" s="280"/>
      <c r="AH212" s="280"/>
      <c r="AI212" s="280"/>
      <c r="AJ212" s="280"/>
      <c r="AK212" s="280"/>
      <c r="AL212" s="280"/>
      <c r="AM212" s="280"/>
      <c r="AN212" s="280"/>
      <c r="AO212" s="280"/>
      <c r="AP212" s="280"/>
      <c r="AQ212" s="280"/>
      <c r="AR212" s="280"/>
      <c r="AS212" s="280"/>
      <c r="AT212" s="280"/>
      <c r="AU212" s="280"/>
      <c r="AV212" s="280"/>
      <c r="AW212" s="280"/>
      <c r="AX212" s="280"/>
      <c r="AY212" s="280"/>
      <c r="AZ212" s="280"/>
    </row>
    <row r="213" spans="1:52" ht="12.75" x14ac:dyDescent="0.2">
      <c r="A213" s="280"/>
      <c r="B213" s="280"/>
      <c r="C213" s="280"/>
      <c r="D213" s="280"/>
      <c r="E213" s="280"/>
      <c r="F213" s="280"/>
      <c r="G213" s="280"/>
      <c r="H213" s="280"/>
      <c r="I213" s="280"/>
      <c r="J213" s="280"/>
      <c r="K213" s="280"/>
      <c r="L213" s="280"/>
      <c r="M213" s="280"/>
      <c r="N213" s="280"/>
      <c r="O213" s="280"/>
      <c r="P213" s="280"/>
      <c r="Q213" s="280"/>
      <c r="R213" s="280"/>
      <c r="S213" s="280"/>
      <c r="T213" s="280"/>
      <c r="U213" s="280"/>
      <c r="V213" s="280"/>
      <c r="W213" s="280"/>
      <c r="X213" s="280"/>
      <c r="Y213" s="280"/>
      <c r="Z213" s="280"/>
      <c r="AA213" s="280"/>
      <c r="AB213" s="280"/>
      <c r="AC213" s="280"/>
      <c r="AD213" s="280"/>
      <c r="AE213" s="280"/>
      <c r="AF213" s="280"/>
      <c r="AG213" s="280"/>
      <c r="AH213" s="280"/>
      <c r="AI213" s="280"/>
      <c r="AJ213" s="280"/>
      <c r="AK213" s="280"/>
      <c r="AL213" s="280"/>
      <c r="AM213" s="280"/>
      <c r="AN213" s="280"/>
      <c r="AO213" s="280"/>
      <c r="AP213" s="280"/>
      <c r="AQ213" s="280"/>
      <c r="AR213" s="280"/>
      <c r="AS213" s="280"/>
      <c r="AT213" s="280"/>
      <c r="AU213" s="280"/>
      <c r="AV213" s="280"/>
      <c r="AW213" s="280"/>
      <c r="AX213" s="280"/>
      <c r="AY213" s="280"/>
      <c r="AZ213" s="280"/>
    </row>
    <row r="214" spans="1:52" ht="12.75" x14ac:dyDescent="0.2">
      <c r="A214" s="280"/>
      <c r="B214" s="280"/>
      <c r="C214" s="280"/>
      <c r="D214" s="280"/>
      <c r="E214" s="280"/>
      <c r="F214" s="280"/>
      <c r="G214" s="280"/>
      <c r="H214" s="280"/>
      <c r="I214" s="280"/>
      <c r="J214" s="280"/>
      <c r="K214" s="280"/>
      <c r="L214" s="280"/>
      <c r="M214" s="280"/>
      <c r="N214" s="280"/>
      <c r="O214" s="280"/>
      <c r="P214" s="280"/>
      <c r="Q214" s="280"/>
      <c r="R214" s="280"/>
      <c r="S214" s="280"/>
      <c r="T214" s="280"/>
      <c r="U214" s="280"/>
      <c r="V214" s="280"/>
      <c r="W214" s="280"/>
      <c r="X214" s="280"/>
      <c r="Y214" s="280"/>
      <c r="Z214" s="280"/>
      <c r="AA214" s="280"/>
      <c r="AB214" s="280"/>
      <c r="AC214" s="280"/>
      <c r="AD214" s="280"/>
      <c r="AE214" s="280"/>
      <c r="AF214" s="280"/>
      <c r="AG214" s="280"/>
      <c r="AH214" s="280"/>
      <c r="AI214" s="280"/>
      <c r="AJ214" s="280"/>
      <c r="AK214" s="280"/>
      <c r="AL214" s="280"/>
      <c r="AM214" s="280"/>
      <c r="AN214" s="280"/>
      <c r="AO214" s="280"/>
      <c r="AP214" s="280"/>
      <c r="AQ214" s="280"/>
      <c r="AR214" s="280"/>
      <c r="AS214" s="280"/>
      <c r="AT214" s="280"/>
      <c r="AU214" s="280"/>
      <c r="AV214" s="280"/>
      <c r="AW214" s="280"/>
      <c r="AX214" s="280"/>
      <c r="AY214" s="280"/>
      <c r="AZ214" s="280"/>
    </row>
    <row r="215" spans="1:52" ht="12.75" x14ac:dyDescent="0.2">
      <c r="A215" s="280"/>
      <c r="B215" s="280"/>
      <c r="C215" s="280"/>
      <c r="D215" s="280"/>
      <c r="E215" s="280"/>
      <c r="F215" s="280"/>
      <c r="G215" s="280"/>
      <c r="H215" s="280"/>
      <c r="I215" s="280"/>
      <c r="J215" s="280"/>
      <c r="K215" s="280"/>
      <c r="L215" s="280"/>
      <c r="M215" s="280"/>
      <c r="N215" s="280"/>
      <c r="O215" s="280"/>
      <c r="P215" s="280"/>
      <c r="Q215" s="280"/>
      <c r="R215" s="280"/>
      <c r="S215" s="280"/>
      <c r="T215" s="280"/>
      <c r="U215" s="280"/>
      <c r="V215" s="280"/>
      <c r="W215" s="280"/>
      <c r="X215" s="280"/>
      <c r="Y215" s="280"/>
      <c r="Z215" s="280"/>
      <c r="AA215" s="280"/>
      <c r="AB215" s="280"/>
      <c r="AC215" s="280"/>
      <c r="AD215" s="280"/>
      <c r="AE215" s="280"/>
      <c r="AF215" s="280"/>
      <c r="AG215" s="280"/>
      <c r="AH215" s="280"/>
      <c r="AI215" s="280"/>
      <c r="AJ215" s="280"/>
      <c r="AK215" s="280"/>
      <c r="AL215" s="280"/>
      <c r="AM215" s="280"/>
      <c r="AN215" s="280"/>
      <c r="AO215" s="280"/>
      <c r="AP215" s="280"/>
      <c r="AQ215" s="280"/>
      <c r="AR215" s="280"/>
      <c r="AS215" s="280"/>
      <c r="AT215" s="280"/>
      <c r="AU215" s="280"/>
      <c r="AV215" s="280"/>
      <c r="AW215" s="280"/>
      <c r="AX215" s="280"/>
      <c r="AY215" s="280"/>
      <c r="AZ215" s="280"/>
    </row>
    <row r="216" spans="1:52" ht="12.75" x14ac:dyDescent="0.2">
      <c r="A216" s="280"/>
      <c r="B216" s="280"/>
      <c r="C216" s="280"/>
      <c r="D216" s="280"/>
      <c r="E216" s="280"/>
      <c r="F216" s="280"/>
      <c r="G216" s="280"/>
      <c r="H216" s="280"/>
      <c r="I216" s="280"/>
      <c r="J216" s="280"/>
      <c r="K216" s="280"/>
      <c r="L216" s="280"/>
      <c r="M216" s="280"/>
      <c r="N216" s="280"/>
      <c r="O216" s="280"/>
      <c r="P216" s="280"/>
      <c r="Q216" s="280"/>
      <c r="R216" s="280"/>
      <c r="S216" s="280"/>
      <c r="T216" s="280"/>
      <c r="U216" s="280"/>
      <c r="V216" s="280"/>
      <c r="W216" s="280"/>
      <c r="X216" s="280"/>
      <c r="Y216" s="280"/>
      <c r="Z216" s="280"/>
      <c r="AA216" s="280"/>
      <c r="AB216" s="280"/>
      <c r="AC216" s="280"/>
      <c r="AD216" s="280"/>
      <c r="AE216" s="280"/>
      <c r="AF216" s="280"/>
      <c r="AG216" s="280"/>
      <c r="AH216" s="280"/>
      <c r="AI216" s="280"/>
      <c r="AJ216" s="280"/>
      <c r="AK216" s="280"/>
      <c r="AL216" s="280"/>
      <c r="AM216" s="280"/>
      <c r="AN216" s="280"/>
      <c r="AO216" s="280"/>
      <c r="AP216" s="280"/>
      <c r="AQ216" s="280"/>
      <c r="AR216" s="280"/>
      <c r="AS216" s="280"/>
      <c r="AT216" s="280"/>
      <c r="AU216" s="280"/>
      <c r="AV216" s="280"/>
      <c r="AW216" s="280"/>
      <c r="AX216" s="280"/>
      <c r="AY216" s="280"/>
      <c r="AZ216" s="280"/>
    </row>
    <row r="217" spans="1:52" ht="12.75" x14ac:dyDescent="0.2">
      <c r="A217" s="280"/>
      <c r="B217" s="280"/>
      <c r="C217" s="280"/>
      <c r="D217" s="280"/>
      <c r="E217" s="280"/>
      <c r="F217" s="280"/>
      <c r="G217" s="280"/>
      <c r="H217" s="280"/>
      <c r="I217" s="280"/>
      <c r="J217" s="280"/>
      <c r="K217" s="280"/>
      <c r="L217" s="280"/>
      <c r="M217" s="280"/>
      <c r="N217" s="280"/>
      <c r="O217" s="280"/>
      <c r="P217" s="280"/>
      <c r="Q217" s="280"/>
      <c r="R217" s="280"/>
      <c r="S217" s="280"/>
      <c r="T217" s="280"/>
      <c r="U217" s="280"/>
      <c r="V217" s="280"/>
      <c r="W217" s="280"/>
      <c r="X217" s="280"/>
      <c r="Y217" s="280"/>
      <c r="Z217" s="280"/>
      <c r="AA217" s="280"/>
      <c r="AB217" s="280"/>
      <c r="AC217" s="280"/>
      <c r="AD217" s="280"/>
      <c r="AE217" s="280"/>
      <c r="AF217" s="280"/>
      <c r="AG217" s="280"/>
      <c r="AH217" s="280"/>
      <c r="AI217" s="280"/>
      <c r="AJ217" s="280"/>
      <c r="AK217" s="280"/>
      <c r="AL217" s="280"/>
      <c r="AM217" s="280"/>
      <c r="AN217" s="280"/>
      <c r="AO217" s="280"/>
      <c r="AP217" s="280"/>
      <c r="AQ217" s="280"/>
      <c r="AR217" s="280"/>
      <c r="AS217" s="280"/>
      <c r="AT217" s="280"/>
      <c r="AU217" s="280"/>
      <c r="AV217" s="280"/>
      <c r="AW217" s="280"/>
      <c r="AX217" s="280"/>
      <c r="AY217" s="280"/>
      <c r="AZ217" s="280"/>
    </row>
    <row r="218" spans="1:52" ht="12.75" x14ac:dyDescent="0.2">
      <c r="A218" s="280"/>
      <c r="B218" s="280"/>
      <c r="C218" s="280"/>
      <c r="D218" s="280"/>
      <c r="E218" s="280"/>
      <c r="F218" s="280"/>
      <c r="G218" s="280"/>
      <c r="H218" s="280"/>
      <c r="I218" s="280"/>
      <c r="J218" s="280"/>
      <c r="K218" s="280"/>
      <c r="L218" s="280"/>
      <c r="M218" s="280"/>
      <c r="N218" s="280"/>
      <c r="O218" s="280"/>
      <c r="P218" s="280"/>
      <c r="Q218" s="280"/>
      <c r="R218" s="280"/>
      <c r="S218" s="280"/>
      <c r="T218" s="280"/>
      <c r="U218" s="280"/>
      <c r="V218" s="280"/>
      <c r="W218" s="280"/>
      <c r="X218" s="280"/>
      <c r="Y218" s="280"/>
      <c r="Z218" s="280"/>
      <c r="AA218" s="280"/>
      <c r="AB218" s="280"/>
      <c r="AC218" s="280"/>
      <c r="AD218" s="280"/>
      <c r="AE218" s="280"/>
      <c r="AF218" s="280"/>
      <c r="AG218" s="280"/>
      <c r="AH218" s="280"/>
      <c r="AI218" s="280"/>
      <c r="AJ218" s="280"/>
      <c r="AK218" s="280"/>
      <c r="AL218" s="280"/>
      <c r="AM218" s="280"/>
      <c r="AN218" s="280"/>
      <c r="AO218" s="280"/>
      <c r="AP218" s="280"/>
      <c r="AQ218" s="280"/>
      <c r="AR218" s="280"/>
      <c r="AS218" s="280"/>
      <c r="AT218" s="280"/>
      <c r="AU218" s="280"/>
      <c r="AV218" s="280"/>
      <c r="AW218" s="280"/>
      <c r="AX218" s="280"/>
      <c r="AY218" s="280"/>
      <c r="AZ218" s="280"/>
    </row>
    <row r="219" spans="1:52" ht="12.75" x14ac:dyDescent="0.2">
      <c r="A219" s="280"/>
      <c r="B219" s="280"/>
      <c r="C219" s="280"/>
      <c r="D219" s="280"/>
      <c r="E219" s="280"/>
      <c r="F219" s="280"/>
      <c r="G219" s="280"/>
      <c r="H219" s="280"/>
      <c r="I219" s="280"/>
      <c r="J219" s="280"/>
      <c r="K219" s="280"/>
      <c r="L219" s="280"/>
      <c r="M219" s="280"/>
      <c r="N219" s="280"/>
      <c r="O219" s="280"/>
      <c r="P219" s="280"/>
      <c r="Q219" s="280"/>
      <c r="R219" s="280"/>
      <c r="S219" s="280"/>
      <c r="T219" s="280"/>
      <c r="U219" s="280"/>
      <c r="V219" s="280"/>
      <c r="W219" s="280"/>
      <c r="X219" s="280"/>
      <c r="Y219" s="280"/>
      <c r="Z219" s="280"/>
      <c r="AA219" s="280"/>
      <c r="AB219" s="280"/>
      <c r="AC219" s="280"/>
      <c r="AD219" s="280"/>
      <c r="AE219" s="280"/>
      <c r="AF219" s="280"/>
      <c r="AG219" s="280"/>
      <c r="AH219" s="280"/>
      <c r="AI219" s="280"/>
      <c r="AJ219" s="280"/>
      <c r="AK219" s="280"/>
      <c r="AL219" s="280"/>
      <c r="AM219" s="280"/>
      <c r="AN219" s="280"/>
      <c r="AO219" s="280"/>
      <c r="AP219" s="280"/>
      <c r="AQ219" s="280"/>
      <c r="AR219" s="280"/>
      <c r="AS219" s="280"/>
      <c r="AT219" s="280"/>
      <c r="AU219" s="280"/>
      <c r="AV219" s="280"/>
      <c r="AW219" s="280"/>
      <c r="AX219" s="280"/>
      <c r="AY219" s="280"/>
      <c r="AZ219" s="280"/>
    </row>
    <row r="220" spans="1:52" ht="12.75" x14ac:dyDescent="0.2">
      <c r="A220" s="280"/>
      <c r="B220" s="280"/>
      <c r="C220" s="280"/>
      <c r="D220" s="280"/>
      <c r="E220" s="280"/>
      <c r="F220" s="280"/>
      <c r="G220" s="280"/>
      <c r="H220" s="280"/>
      <c r="I220" s="280"/>
      <c r="J220" s="280"/>
      <c r="K220" s="280"/>
      <c r="L220" s="280"/>
      <c r="M220" s="280"/>
      <c r="N220" s="280"/>
      <c r="O220" s="280"/>
      <c r="P220" s="280"/>
      <c r="Q220" s="280"/>
      <c r="R220" s="280"/>
      <c r="S220" s="280"/>
      <c r="T220" s="280"/>
      <c r="U220" s="280"/>
      <c r="V220" s="280"/>
      <c r="W220" s="280"/>
      <c r="X220" s="280"/>
      <c r="Y220" s="280"/>
      <c r="Z220" s="280"/>
      <c r="AA220" s="280"/>
      <c r="AB220" s="280"/>
      <c r="AC220" s="280"/>
      <c r="AD220" s="280"/>
      <c r="AE220" s="280"/>
      <c r="AF220" s="280"/>
      <c r="AG220" s="280"/>
      <c r="AH220" s="280"/>
      <c r="AI220" s="280"/>
      <c r="AJ220" s="280"/>
      <c r="AK220" s="280"/>
      <c r="AL220" s="280"/>
      <c r="AM220" s="280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280"/>
      <c r="AZ220" s="280"/>
    </row>
    <row r="221" spans="1:52" ht="12.75" x14ac:dyDescent="0.2">
      <c r="A221" s="280"/>
      <c r="B221" s="280"/>
      <c r="C221" s="280"/>
      <c r="D221" s="280"/>
      <c r="E221" s="280"/>
      <c r="F221" s="280"/>
      <c r="G221" s="280"/>
      <c r="H221" s="280"/>
      <c r="I221" s="280"/>
      <c r="J221" s="280"/>
      <c r="K221" s="280"/>
      <c r="L221" s="280"/>
      <c r="M221" s="280"/>
      <c r="N221" s="280"/>
      <c r="O221" s="280"/>
      <c r="P221" s="280"/>
      <c r="Q221" s="280"/>
      <c r="R221" s="280"/>
      <c r="S221" s="280"/>
      <c r="T221" s="280"/>
      <c r="U221" s="280"/>
      <c r="V221" s="280"/>
      <c r="W221" s="280"/>
      <c r="X221" s="280"/>
      <c r="Y221" s="280"/>
      <c r="Z221" s="280"/>
      <c r="AA221" s="280"/>
      <c r="AB221" s="280"/>
      <c r="AC221" s="280"/>
      <c r="AD221" s="280"/>
      <c r="AE221" s="280"/>
      <c r="AF221" s="280"/>
      <c r="AG221" s="280"/>
      <c r="AH221" s="280"/>
      <c r="AI221" s="280"/>
      <c r="AJ221" s="280"/>
      <c r="AK221" s="280"/>
      <c r="AL221" s="280"/>
      <c r="AM221" s="280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280"/>
      <c r="AZ221" s="280"/>
    </row>
    <row r="222" spans="1:52" ht="12.75" x14ac:dyDescent="0.2">
      <c r="A222" s="280"/>
      <c r="B222" s="280"/>
      <c r="C222" s="280"/>
      <c r="D222" s="280"/>
      <c r="E222" s="280"/>
      <c r="F222" s="280"/>
      <c r="G222" s="280"/>
      <c r="H222" s="280"/>
      <c r="I222" s="280"/>
      <c r="J222" s="280"/>
      <c r="K222" s="280"/>
      <c r="L222" s="280"/>
      <c r="M222" s="280"/>
      <c r="N222" s="280"/>
      <c r="O222" s="280"/>
      <c r="P222" s="280"/>
      <c r="Q222" s="280"/>
      <c r="R222" s="280"/>
      <c r="S222" s="280"/>
      <c r="T222" s="280"/>
      <c r="U222" s="280"/>
      <c r="V222" s="280"/>
      <c r="W222" s="280"/>
      <c r="X222" s="280"/>
      <c r="Y222" s="280"/>
      <c r="Z222" s="280"/>
      <c r="AA222" s="280"/>
      <c r="AB222" s="280"/>
      <c r="AC222" s="280"/>
      <c r="AD222" s="280"/>
      <c r="AE222" s="280"/>
      <c r="AF222" s="280"/>
      <c r="AG222" s="280"/>
      <c r="AH222" s="280"/>
      <c r="AI222" s="280"/>
      <c r="AJ222" s="280"/>
      <c r="AK222" s="280"/>
      <c r="AL222" s="280"/>
      <c r="AM222" s="280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280"/>
      <c r="AZ222" s="280"/>
    </row>
    <row r="223" spans="1:52" ht="12.75" x14ac:dyDescent="0.2">
      <c r="A223" s="280"/>
      <c r="B223" s="280"/>
      <c r="C223" s="280"/>
      <c r="D223" s="280"/>
      <c r="E223" s="280"/>
      <c r="F223" s="280"/>
      <c r="G223" s="280"/>
      <c r="H223" s="280"/>
      <c r="I223" s="280"/>
      <c r="J223" s="280"/>
      <c r="K223" s="280"/>
      <c r="L223" s="280"/>
      <c r="M223" s="280"/>
      <c r="N223" s="280"/>
      <c r="O223" s="280"/>
      <c r="P223" s="280"/>
      <c r="Q223" s="280"/>
      <c r="R223" s="280"/>
      <c r="S223" s="280"/>
      <c r="T223" s="280"/>
      <c r="U223" s="280"/>
      <c r="V223" s="280"/>
      <c r="W223" s="280"/>
      <c r="X223" s="280"/>
      <c r="Y223" s="280"/>
      <c r="Z223" s="280"/>
      <c r="AA223" s="280"/>
      <c r="AB223" s="280"/>
      <c r="AC223" s="280"/>
      <c r="AD223" s="280"/>
      <c r="AE223" s="280"/>
      <c r="AF223" s="280"/>
      <c r="AG223" s="280"/>
      <c r="AH223" s="280"/>
      <c r="AI223" s="280"/>
      <c r="AJ223" s="280"/>
      <c r="AK223" s="280"/>
      <c r="AL223" s="280"/>
      <c r="AM223" s="280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280"/>
      <c r="AZ223" s="280"/>
    </row>
    <row r="224" spans="1:52" ht="12.75" x14ac:dyDescent="0.2">
      <c r="A224" s="280"/>
      <c r="B224" s="280"/>
      <c r="C224" s="280"/>
      <c r="D224" s="280"/>
      <c r="E224" s="280"/>
      <c r="F224" s="280"/>
      <c r="G224" s="280"/>
      <c r="H224" s="280"/>
      <c r="I224" s="280"/>
      <c r="J224" s="280"/>
      <c r="K224" s="280"/>
      <c r="L224" s="280"/>
      <c r="M224" s="280"/>
      <c r="N224" s="280"/>
      <c r="O224" s="280"/>
      <c r="P224" s="280"/>
      <c r="Q224" s="280"/>
      <c r="R224" s="280"/>
      <c r="S224" s="280"/>
      <c r="T224" s="280"/>
      <c r="U224" s="280"/>
      <c r="V224" s="280"/>
      <c r="W224" s="280"/>
      <c r="X224" s="280"/>
      <c r="Y224" s="280"/>
      <c r="Z224" s="280"/>
      <c r="AA224" s="280"/>
      <c r="AB224" s="280"/>
      <c r="AC224" s="280"/>
      <c r="AD224" s="280"/>
      <c r="AE224" s="280"/>
      <c r="AF224" s="280"/>
      <c r="AG224" s="280"/>
      <c r="AH224" s="280"/>
      <c r="AI224" s="280"/>
      <c r="AJ224" s="280"/>
      <c r="AK224" s="280"/>
      <c r="AL224" s="280"/>
      <c r="AM224" s="280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280"/>
      <c r="AZ224" s="280"/>
    </row>
    <row r="225" spans="1:52" ht="12.75" x14ac:dyDescent="0.2">
      <c r="A225" s="280"/>
      <c r="B225" s="280"/>
      <c r="C225" s="280"/>
      <c r="D225" s="280"/>
      <c r="E225" s="280"/>
      <c r="F225" s="280"/>
      <c r="G225" s="280"/>
      <c r="H225" s="280"/>
      <c r="I225" s="280"/>
      <c r="J225" s="280"/>
      <c r="K225" s="280"/>
      <c r="L225" s="280"/>
      <c r="M225" s="280"/>
      <c r="N225" s="280"/>
      <c r="O225" s="280"/>
      <c r="P225" s="280"/>
      <c r="Q225" s="280"/>
      <c r="R225" s="280"/>
      <c r="S225" s="280"/>
      <c r="T225" s="280"/>
      <c r="U225" s="280"/>
      <c r="V225" s="280"/>
      <c r="W225" s="280"/>
      <c r="X225" s="280"/>
      <c r="Y225" s="280"/>
      <c r="Z225" s="280"/>
      <c r="AA225" s="280"/>
      <c r="AB225" s="280"/>
      <c r="AC225" s="280"/>
      <c r="AD225" s="280"/>
      <c r="AE225" s="280"/>
      <c r="AF225" s="280"/>
      <c r="AG225" s="280"/>
      <c r="AH225" s="280"/>
      <c r="AI225" s="280"/>
      <c r="AJ225" s="280"/>
      <c r="AK225" s="280"/>
      <c r="AL225" s="280"/>
      <c r="AM225" s="280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280"/>
      <c r="AZ225" s="280"/>
    </row>
    <row r="226" spans="1:52" ht="12.75" x14ac:dyDescent="0.2">
      <c r="A226" s="280"/>
      <c r="B226" s="280"/>
      <c r="C226" s="280"/>
      <c r="D226" s="280"/>
      <c r="E226" s="280"/>
      <c r="F226" s="280"/>
      <c r="G226" s="280"/>
      <c r="H226" s="280"/>
      <c r="I226" s="280"/>
      <c r="J226" s="280"/>
      <c r="K226" s="280"/>
      <c r="L226" s="280"/>
      <c r="M226" s="280"/>
      <c r="N226" s="280"/>
      <c r="O226" s="280"/>
      <c r="P226" s="280"/>
      <c r="Q226" s="280"/>
      <c r="R226" s="280"/>
      <c r="S226" s="280"/>
      <c r="T226" s="280"/>
      <c r="U226" s="280"/>
      <c r="V226" s="280"/>
      <c r="W226" s="280"/>
      <c r="X226" s="280"/>
      <c r="Y226" s="280"/>
      <c r="Z226" s="280"/>
      <c r="AA226" s="280"/>
      <c r="AB226" s="280"/>
      <c r="AC226" s="280"/>
      <c r="AD226" s="280"/>
      <c r="AE226" s="280"/>
      <c r="AF226" s="280"/>
      <c r="AG226" s="280"/>
      <c r="AH226" s="280"/>
      <c r="AI226" s="280"/>
      <c r="AJ226" s="280"/>
      <c r="AK226" s="280"/>
      <c r="AL226" s="280"/>
      <c r="AM226" s="280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280"/>
      <c r="AZ226" s="280"/>
    </row>
    <row r="227" spans="1:52" ht="12.75" x14ac:dyDescent="0.2">
      <c r="A227" s="280"/>
      <c r="B227" s="280"/>
      <c r="C227" s="280"/>
      <c r="D227" s="280"/>
      <c r="E227" s="280"/>
      <c r="F227" s="280"/>
      <c r="G227" s="280"/>
      <c r="H227" s="280"/>
      <c r="I227" s="280"/>
      <c r="J227" s="280"/>
      <c r="K227" s="280"/>
      <c r="L227" s="280"/>
      <c r="M227" s="280"/>
      <c r="N227" s="280"/>
      <c r="O227" s="280"/>
      <c r="P227" s="280"/>
      <c r="Q227" s="280"/>
      <c r="R227" s="280"/>
      <c r="S227" s="280"/>
      <c r="T227" s="280"/>
      <c r="U227" s="280"/>
      <c r="V227" s="280"/>
      <c r="W227" s="280"/>
      <c r="X227" s="280"/>
      <c r="Y227" s="280"/>
      <c r="Z227" s="280"/>
      <c r="AA227" s="280"/>
      <c r="AB227" s="280"/>
      <c r="AC227" s="280"/>
      <c r="AD227" s="280"/>
      <c r="AE227" s="280"/>
      <c r="AF227" s="280"/>
      <c r="AG227" s="280"/>
      <c r="AH227" s="280"/>
      <c r="AI227" s="280"/>
      <c r="AJ227" s="280"/>
      <c r="AK227" s="280"/>
      <c r="AL227" s="280"/>
      <c r="AM227" s="280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280"/>
      <c r="AZ227" s="280"/>
    </row>
    <row r="228" spans="1:52" ht="12.75" x14ac:dyDescent="0.2">
      <c r="A228" s="280"/>
      <c r="B228" s="280"/>
      <c r="C228" s="280"/>
      <c r="D228" s="280"/>
      <c r="E228" s="280"/>
      <c r="F228" s="280"/>
      <c r="G228" s="280"/>
      <c r="H228" s="280"/>
      <c r="I228" s="280"/>
      <c r="J228" s="280"/>
      <c r="K228" s="280"/>
      <c r="L228" s="280"/>
      <c r="M228" s="280"/>
      <c r="N228" s="280"/>
      <c r="O228" s="280"/>
      <c r="P228" s="280"/>
      <c r="Q228" s="280"/>
      <c r="R228" s="280"/>
      <c r="S228" s="280"/>
      <c r="T228" s="280"/>
      <c r="U228" s="280"/>
      <c r="V228" s="280"/>
      <c r="W228" s="280"/>
      <c r="X228" s="280"/>
      <c r="Y228" s="280"/>
      <c r="Z228" s="280"/>
      <c r="AA228" s="280"/>
      <c r="AB228" s="280"/>
      <c r="AC228" s="280"/>
      <c r="AD228" s="280"/>
      <c r="AE228" s="280"/>
      <c r="AF228" s="280"/>
      <c r="AG228" s="280"/>
      <c r="AH228" s="280"/>
      <c r="AI228" s="280"/>
      <c r="AJ228" s="280"/>
      <c r="AK228" s="280"/>
      <c r="AL228" s="280"/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280"/>
      <c r="AZ228" s="280"/>
    </row>
    <row r="229" spans="1:52" ht="12.75" x14ac:dyDescent="0.2">
      <c r="A229" s="280"/>
      <c r="B229" s="280"/>
      <c r="C229" s="280"/>
      <c r="D229" s="280"/>
      <c r="E229" s="280"/>
      <c r="F229" s="280"/>
      <c r="G229" s="280"/>
      <c r="H229" s="280"/>
      <c r="I229" s="280"/>
      <c r="J229" s="280"/>
      <c r="K229" s="280"/>
      <c r="L229" s="280"/>
      <c r="M229" s="280"/>
      <c r="N229" s="280"/>
      <c r="O229" s="280"/>
      <c r="P229" s="280"/>
      <c r="Q229" s="280"/>
      <c r="R229" s="280"/>
      <c r="S229" s="280"/>
      <c r="T229" s="280"/>
      <c r="U229" s="280"/>
      <c r="V229" s="280"/>
      <c r="W229" s="280"/>
      <c r="X229" s="280"/>
      <c r="Y229" s="280"/>
      <c r="Z229" s="280"/>
      <c r="AA229" s="280"/>
      <c r="AB229" s="280"/>
      <c r="AC229" s="280"/>
      <c r="AD229" s="280"/>
      <c r="AE229" s="280"/>
      <c r="AF229" s="280"/>
      <c r="AG229" s="280"/>
      <c r="AH229" s="280"/>
      <c r="AI229" s="280"/>
      <c r="AJ229" s="280"/>
      <c r="AK229" s="280"/>
      <c r="AL229" s="280"/>
      <c r="AM229" s="280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280"/>
      <c r="AZ229" s="280"/>
    </row>
    <row r="230" spans="1:52" ht="12.75" x14ac:dyDescent="0.2">
      <c r="A230" s="280"/>
      <c r="B230" s="280"/>
      <c r="C230" s="280"/>
      <c r="D230" s="280"/>
      <c r="E230" s="280"/>
      <c r="F230" s="280"/>
      <c r="G230" s="280"/>
      <c r="H230" s="280"/>
      <c r="I230" s="280"/>
      <c r="J230" s="280"/>
      <c r="K230" s="280"/>
      <c r="L230" s="280"/>
      <c r="M230" s="280"/>
      <c r="N230" s="280"/>
      <c r="O230" s="280"/>
      <c r="P230" s="280"/>
      <c r="Q230" s="280"/>
      <c r="R230" s="280"/>
      <c r="S230" s="280"/>
      <c r="T230" s="280"/>
      <c r="U230" s="280"/>
      <c r="V230" s="280"/>
      <c r="W230" s="280"/>
      <c r="X230" s="280"/>
      <c r="Y230" s="280"/>
      <c r="Z230" s="280"/>
      <c r="AA230" s="280"/>
      <c r="AB230" s="280"/>
      <c r="AC230" s="280"/>
      <c r="AD230" s="280"/>
      <c r="AE230" s="280"/>
      <c r="AF230" s="280"/>
      <c r="AG230" s="280"/>
      <c r="AH230" s="280"/>
      <c r="AI230" s="280"/>
      <c r="AJ230" s="280"/>
      <c r="AK230" s="280"/>
      <c r="AL230" s="280"/>
      <c r="AM230" s="280"/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280"/>
      <c r="AZ230" s="280"/>
    </row>
    <row r="231" spans="1:52" ht="12.75" x14ac:dyDescent="0.2">
      <c r="A231" s="280"/>
      <c r="B231" s="280"/>
      <c r="C231" s="280"/>
      <c r="D231" s="280"/>
      <c r="E231" s="280"/>
      <c r="F231" s="280"/>
      <c r="G231" s="280"/>
      <c r="H231" s="280"/>
      <c r="I231" s="280"/>
      <c r="J231" s="280"/>
      <c r="K231" s="280"/>
      <c r="L231" s="280"/>
      <c r="M231" s="280"/>
      <c r="N231" s="280"/>
      <c r="O231" s="280"/>
      <c r="P231" s="280"/>
      <c r="Q231" s="280"/>
      <c r="R231" s="280"/>
      <c r="S231" s="280"/>
      <c r="T231" s="280"/>
      <c r="U231" s="280"/>
      <c r="V231" s="280"/>
      <c r="W231" s="280"/>
      <c r="X231" s="280"/>
      <c r="Y231" s="280"/>
      <c r="Z231" s="280"/>
      <c r="AA231" s="280"/>
      <c r="AB231" s="280"/>
      <c r="AC231" s="280"/>
      <c r="AD231" s="280"/>
      <c r="AE231" s="280"/>
      <c r="AF231" s="280"/>
      <c r="AG231" s="280"/>
      <c r="AH231" s="280"/>
      <c r="AI231" s="280"/>
      <c r="AJ231" s="280"/>
      <c r="AK231" s="280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280"/>
      <c r="AZ231" s="280"/>
    </row>
    <row r="232" spans="1:52" ht="12.75" x14ac:dyDescent="0.2">
      <c r="A232" s="280"/>
      <c r="B232" s="280"/>
      <c r="C232" s="280"/>
      <c r="D232" s="280"/>
      <c r="E232" s="280"/>
      <c r="F232" s="280"/>
      <c r="G232" s="280"/>
      <c r="H232" s="280"/>
      <c r="I232" s="280"/>
      <c r="J232" s="280"/>
      <c r="K232" s="280"/>
      <c r="L232" s="280"/>
      <c r="M232" s="280"/>
      <c r="N232" s="280"/>
      <c r="O232" s="280"/>
      <c r="P232" s="280"/>
      <c r="Q232" s="280"/>
      <c r="R232" s="280"/>
      <c r="S232" s="280"/>
      <c r="T232" s="280"/>
      <c r="U232" s="280"/>
      <c r="V232" s="280"/>
      <c r="W232" s="280"/>
      <c r="X232" s="280"/>
      <c r="Y232" s="280"/>
      <c r="Z232" s="280"/>
      <c r="AA232" s="280"/>
      <c r="AB232" s="280"/>
      <c r="AC232" s="280"/>
      <c r="AD232" s="280"/>
      <c r="AE232" s="280"/>
      <c r="AF232" s="280"/>
      <c r="AG232" s="280"/>
      <c r="AH232" s="280"/>
      <c r="AI232" s="280"/>
      <c r="AJ232" s="280"/>
      <c r="AK232" s="280"/>
      <c r="AL232" s="280"/>
      <c r="AM232" s="280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280"/>
      <c r="AZ232" s="280"/>
    </row>
    <row r="233" spans="1:52" ht="12.75" x14ac:dyDescent="0.2">
      <c r="A233" s="280"/>
      <c r="B233" s="280"/>
      <c r="C233" s="280"/>
      <c r="D233" s="280"/>
      <c r="E233" s="280"/>
      <c r="F233" s="280"/>
      <c r="G233" s="280"/>
      <c r="H233" s="280"/>
      <c r="I233" s="280"/>
      <c r="J233" s="280"/>
      <c r="K233" s="280"/>
      <c r="L233" s="280"/>
      <c r="M233" s="280"/>
      <c r="N233" s="280"/>
      <c r="O233" s="280"/>
      <c r="P233" s="280"/>
      <c r="Q233" s="280"/>
      <c r="R233" s="280"/>
      <c r="S233" s="280"/>
      <c r="T233" s="280"/>
      <c r="U233" s="280"/>
      <c r="V233" s="280"/>
      <c r="W233" s="280"/>
      <c r="X233" s="280"/>
      <c r="Y233" s="280"/>
      <c r="Z233" s="280"/>
      <c r="AA233" s="280"/>
      <c r="AB233" s="280"/>
      <c r="AC233" s="280"/>
      <c r="AD233" s="280"/>
      <c r="AE233" s="280"/>
      <c r="AF233" s="280"/>
      <c r="AG233" s="280"/>
      <c r="AH233" s="280"/>
      <c r="AI233" s="280"/>
      <c r="AJ233" s="280"/>
      <c r="AK233" s="280"/>
      <c r="AL233" s="280"/>
      <c r="AM233" s="280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280"/>
      <c r="AZ233" s="280"/>
    </row>
    <row r="234" spans="1:52" ht="12.75" x14ac:dyDescent="0.2">
      <c r="A234" s="280"/>
      <c r="B234" s="280"/>
      <c r="C234" s="280"/>
      <c r="D234" s="280"/>
      <c r="E234" s="280"/>
      <c r="F234" s="280"/>
      <c r="G234" s="280"/>
      <c r="H234" s="280"/>
      <c r="I234" s="280"/>
      <c r="J234" s="280"/>
      <c r="K234" s="280"/>
      <c r="L234" s="280"/>
      <c r="M234" s="280"/>
      <c r="N234" s="280"/>
      <c r="O234" s="280"/>
      <c r="P234" s="280"/>
      <c r="Q234" s="280"/>
      <c r="R234" s="280"/>
      <c r="S234" s="280"/>
      <c r="T234" s="280"/>
      <c r="U234" s="280"/>
      <c r="V234" s="280"/>
      <c r="W234" s="280"/>
      <c r="X234" s="280"/>
      <c r="Y234" s="280"/>
      <c r="Z234" s="280"/>
      <c r="AA234" s="280"/>
      <c r="AB234" s="280"/>
      <c r="AC234" s="280"/>
      <c r="AD234" s="280"/>
      <c r="AE234" s="280"/>
      <c r="AF234" s="280"/>
      <c r="AG234" s="280"/>
      <c r="AH234" s="280"/>
      <c r="AI234" s="280"/>
      <c r="AJ234" s="280"/>
      <c r="AK234" s="280"/>
      <c r="AL234" s="280"/>
      <c r="AM234" s="280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280"/>
      <c r="AZ234" s="280"/>
    </row>
    <row r="235" spans="1:52" ht="12.75" x14ac:dyDescent="0.2">
      <c r="A235" s="280"/>
      <c r="B235" s="280"/>
      <c r="C235" s="280"/>
      <c r="D235" s="280"/>
      <c r="E235" s="280"/>
      <c r="F235" s="280"/>
      <c r="G235" s="280"/>
      <c r="H235" s="280"/>
      <c r="I235" s="280"/>
      <c r="J235" s="280"/>
      <c r="K235" s="280"/>
      <c r="L235" s="280"/>
      <c r="M235" s="280"/>
      <c r="N235" s="280"/>
      <c r="O235" s="280"/>
      <c r="P235" s="280"/>
      <c r="Q235" s="280"/>
      <c r="R235" s="280"/>
      <c r="S235" s="280"/>
      <c r="T235" s="280"/>
      <c r="U235" s="280"/>
      <c r="V235" s="280"/>
      <c r="W235" s="280"/>
      <c r="X235" s="280"/>
      <c r="Y235" s="280"/>
      <c r="Z235" s="280"/>
      <c r="AA235" s="280"/>
      <c r="AB235" s="280"/>
      <c r="AC235" s="280"/>
      <c r="AD235" s="280"/>
      <c r="AE235" s="280"/>
      <c r="AF235" s="280"/>
      <c r="AG235" s="280"/>
      <c r="AH235" s="280"/>
      <c r="AI235" s="280"/>
      <c r="AJ235" s="280"/>
      <c r="AK235" s="280"/>
      <c r="AL235" s="280"/>
      <c r="AM235" s="280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280"/>
      <c r="AZ235" s="280"/>
    </row>
    <row r="236" spans="1:52" ht="12.75" x14ac:dyDescent="0.2">
      <c r="A236" s="280"/>
      <c r="B236" s="280"/>
      <c r="C236" s="280"/>
      <c r="D236" s="280"/>
      <c r="E236" s="280"/>
      <c r="F236" s="280"/>
      <c r="G236" s="280"/>
      <c r="H236" s="280"/>
      <c r="I236" s="280"/>
      <c r="J236" s="280"/>
      <c r="K236" s="280"/>
      <c r="L236" s="280"/>
      <c r="M236" s="280"/>
      <c r="N236" s="280"/>
      <c r="O236" s="280"/>
      <c r="P236" s="280"/>
      <c r="Q236" s="280"/>
      <c r="R236" s="280"/>
      <c r="S236" s="280"/>
      <c r="T236" s="280"/>
      <c r="U236" s="280"/>
      <c r="V236" s="280"/>
      <c r="W236" s="280"/>
      <c r="X236" s="280"/>
      <c r="Y236" s="280"/>
      <c r="Z236" s="280"/>
      <c r="AA236" s="280"/>
      <c r="AB236" s="280"/>
      <c r="AC236" s="280"/>
      <c r="AD236" s="280"/>
      <c r="AE236" s="280"/>
      <c r="AF236" s="280"/>
      <c r="AG236" s="280"/>
      <c r="AH236" s="280"/>
      <c r="AI236" s="280"/>
      <c r="AJ236" s="280"/>
      <c r="AK236" s="280"/>
      <c r="AL236" s="280"/>
      <c r="AM236" s="280"/>
      <c r="AN236" s="280"/>
      <c r="AO236" s="280"/>
      <c r="AP236" s="280"/>
      <c r="AQ236" s="280"/>
      <c r="AR236" s="280"/>
      <c r="AS236" s="280"/>
      <c r="AT236" s="280"/>
      <c r="AU236" s="280"/>
      <c r="AV236" s="280"/>
      <c r="AW236" s="280"/>
      <c r="AX236" s="280"/>
      <c r="AY236" s="280"/>
      <c r="AZ236" s="280"/>
    </row>
    <row r="237" spans="1:52" ht="12.75" x14ac:dyDescent="0.2">
      <c r="A237" s="280"/>
      <c r="B237" s="280"/>
      <c r="C237" s="280"/>
      <c r="D237" s="280"/>
      <c r="E237" s="280"/>
      <c r="F237" s="280"/>
      <c r="G237" s="280"/>
      <c r="H237" s="280"/>
      <c r="I237" s="280"/>
      <c r="J237" s="280"/>
      <c r="K237" s="280"/>
      <c r="L237" s="280"/>
      <c r="M237" s="280"/>
      <c r="N237" s="280"/>
      <c r="O237" s="280"/>
      <c r="P237" s="280"/>
      <c r="Q237" s="280"/>
      <c r="R237" s="280"/>
      <c r="S237" s="280"/>
      <c r="T237" s="280"/>
      <c r="U237" s="280"/>
      <c r="V237" s="280"/>
      <c r="W237" s="280"/>
      <c r="X237" s="280"/>
      <c r="Y237" s="280"/>
      <c r="Z237" s="280"/>
      <c r="AA237" s="280"/>
      <c r="AB237" s="280"/>
      <c r="AC237" s="280"/>
      <c r="AD237" s="280"/>
      <c r="AE237" s="280"/>
      <c r="AF237" s="280"/>
      <c r="AG237" s="280"/>
      <c r="AH237" s="280"/>
      <c r="AI237" s="280"/>
      <c r="AJ237" s="280"/>
      <c r="AK237" s="280"/>
      <c r="AL237" s="280"/>
      <c r="AM237" s="280"/>
      <c r="AN237" s="280"/>
      <c r="AO237" s="280"/>
      <c r="AP237" s="280"/>
      <c r="AQ237" s="280"/>
      <c r="AR237" s="280"/>
      <c r="AS237" s="280"/>
      <c r="AT237" s="280"/>
      <c r="AU237" s="280"/>
      <c r="AV237" s="280"/>
      <c r="AW237" s="280"/>
      <c r="AX237" s="280"/>
      <c r="AY237" s="280"/>
      <c r="AZ237" s="280"/>
    </row>
    <row r="238" spans="1:52" ht="12.75" x14ac:dyDescent="0.2">
      <c r="A238" s="280"/>
      <c r="B238" s="280"/>
      <c r="C238" s="280"/>
      <c r="D238" s="280"/>
      <c r="E238" s="280"/>
      <c r="F238" s="280"/>
      <c r="G238" s="280"/>
      <c r="H238" s="280"/>
      <c r="I238" s="280"/>
      <c r="J238" s="280"/>
      <c r="K238" s="280"/>
      <c r="L238" s="280"/>
      <c r="M238" s="280"/>
      <c r="N238" s="280"/>
      <c r="O238" s="280"/>
      <c r="P238" s="280"/>
      <c r="Q238" s="280"/>
      <c r="R238" s="280"/>
      <c r="S238" s="280"/>
      <c r="T238" s="280"/>
      <c r="U238" s="280"/>
      <c r="V238" s="280"/>
      <c r="W238" s="280"/>
      <c r="X238" s="280"/>
      <c r="Y238" s="280"/>
      <c r="Z238" s="280"/>
      <c r="AA238" s="280"/>
      <c r="AB238" s="280"/>
      <c r="AC238" s="280"/>
      <c r="AD238" s="280"/>
      <c r="AE238" s="280"/>
      <c r="AF238" s="280"/>
      <c r="AG238" s="280"/>
      <c r="AH238" s="280"/>
      <c r="AI238" s="280"/>
      <c r="AJ238" s="280"/>
      <c r="AK238" s="280"/>
      <c r="AL238" s="280"/>
      <c r="AM238" s="280"/>
      <c r="AN238" s="280"/>
      <c r="AO238" s="280"/>
      <c r="AP238" s="280"/>
      <c r="AQ238" s="280"/>
      <c r="AR238" s="280"/>
      <c r="AS238" s="280"/>
      <c r="AT238" s="280"/>
      <c r="AU238" s="280"/>
      <c r="AV238" s="280"/>
      <c r="AW238" s="280"/>
      <c r="AX238" s="280"/>
      <c r="AY238" s="280"/>
      <c r="AZ238" s="280"/>
    </row>
    <row r="239" spans="1:52" ht="12.75" x14ac:dyDescent="0.2">
      <c r="A239" s="280"/>
      <c r="B239" s="280"/>
      <c r="C239" s="280"/>
      <c r="D239" s="280"/>
      <c r="E239" s="280"/>
      <c r="F239" s="280"/>
      <c r="G239" s="280"/>
      <c r="H239" s="280"/>
      <c r="I239" s="280"/>
      <c r="J239" s="280"/>
      <c r="K239" s="280"/>
      <c r="L239" s="280"/>
      <c r="M239" s="280"/>
      <c r="N239" s="280"/>
      <c r="O239" s="280"/>
      <c r="P239" s="280"/>
      <c r="Q239" s="280"/>
      <c r="R239" s="280"/>
      <c r="S239" s="280"/>
      <c r="T239" s="280"/>
      <c r="U239" s="280"/>
      <c r="V239" s="280"/>
      <c r="W239" s="280"/>
      <c r="X239" s="280"/>
      <c r="Y239" s="280"/>
      <c r="Z239" s="280"/>
      <c r="AA239" s="280"/>
      <c r="AB239" s="280"/>
      <c r="AC239" s="280"/>
      <c r="AD239" s="280"/>
      <c r="AE239" s="280"/>
      <c r="AF239" s="280"/>
      <c r="AG239" s="280"/>
      <c r="AH239" s="280"/>
      <c r="AI239" s="280"/>
      <c r="AJ239" s="280"/>
      <c r="AK239" s="280"/>
      <c r="AL239" s="280"/>
      <c r="AM239" s="280"/>
      <c r="AN239" s="280"/>
      <c r="AO239" s="280"/>
      <c r="AP239" s="280"/>
      <c r="AQ239" s="280"/>
      <c r="AR239" s="280"/>
      <c r="AS239" s="280"/>
      <c r="AT239" s="280"/>
      <c r="AU239" s="280"/>
      <c r="AV239" s="280"/>
      <c r="AW239" s="280"/>
      <c r="AX239" s="280"/>
      <c r="AY239" s="280"/>
      <c r="AZ239" s="280"/>
    </row>
    <row r="240" spans="1:52" ht="12.75" x14ac:dyDescent="0.2">
      <c r="A240" s="280"/>
      <c r="B240" s="280"/>
      <c r="C240" s="280"/>
      <c r="D240" s="280"/>
      <c r="E240" s="280"/>
      <c r="F240" s="280"/>
      <c r="G240" s="280"/>
      <c r="H240" s="280"/>
      <c r="I240" s="280"/>
      <c r="J240" s="280"/>
      <c r="K240" s="280"/>
      <c r="L240" s="280"/>
      <c r="M240" s="280"/>
      <c r="N240" s="280"/>
      <c r="O240" s="280"/>
      <c r="P240" s="280"/>
      <c r="Q240" s="280"/>
      <c r="R240" s="280"/>
      <c r="S240" s="280"/>
      <c r="T240" s="280"/>
      <c r="U240" s="280"/>
      <c r="V240" s="280"/>
      <c r="W240" s="280"/>
      <c r="X240" s="280"/>
      <c r="Y240" s="280"/>
      <c r="Z240" s="280"/>
      <c r="AA240" s="280"/>
      <c r="AB240" s="280"/>
      <c r="AC240" s="280"/>
      <c r="AD240" s="280"/>
      <c r="AE240" s="280"/>
      <c r="AF240" s="280"/>
      <c r="AG240" s="280"/>
      <c r="AH240" s="280"/>
      <c r="AI240" s="280"/>
      <c r="AJ240" s="280"/>
      <c r="AK240" s="280"/>
      <c r="AL240" s="280"/>
      <c r="AM240" s="280"/>
      <c r="AN240" s="280"/>
      <c r="AO240" s="280"/>
      <c r="AP240" s="280"/>
      <c r="AQ240" s="280"/>
      <c r="AR240" s="280"/>
      <c r="AS240" s="280"/>
      <c r="AT240" s="280"/>
      <c r="AU240" s="280"/>
      <c r="AV240" s="280"/>
      <c r="AW240" s="280"/>
      <c r="AX240" s="280"/>
      <c r="AY240" s="280"/>
      <c r="AZ240" s="280"/>
    </row>
    <row r="241" spans="1:52" ht="12.75" x14ac:dyDescent="0.2">
      <c r="A241" s="280"/>
      <c r="B241" s="280"/>
      <c r="C241" s="280"/>
      <c r="D241" s="280"/>
      <c r="E241" s="280"/>
      <c r="F241" s="280"/>
      <c r="G241" s="280"/>
      <c r="H241" s="280"/>
      <c r="I241" s="280"/>
      <c r="J241" s="280"/>
      <c r="K241" s="280"/>
      <c r="L241" s="280"/>
      <c r="M241" s="280"/>
      <c r="N241" s="280"/>
      <c r="O241" s="280"/>
      <c r="P241" s="280"/>
      <c r="Q241" s="280"/>
      <c r="R241" s="280"/>
      <c r="S241" s="280"/>
      <c r="T241" s="280"/>
      <c r="U241" s="280"/>
      <c r="V241" s="280"/>
      <c r="W241" s="280"/>
      <c r="X241" s="280"/>
      <c r="Y241" s="280"/>
      <c r="Z241" s="280"/>
      <c r="AA241" s="280"/>
      <c r="AB241" s="280"/>
      <c r="AC241" s="280"/>
      <c r="AD241" s="280"/>
      <c r="AE241" s="280"/>
      <c r="AF241" s="280"/>
      <c r="AG241" s="280"/>
      <c r="AH241" s="280"/>
      <c r="AI241" s="280"/>
      <c r="AJ241" s="280"/>
      <c r="AK241" s="280"/>
      <c r="AL241" s="280"/>
      <c r="AM241" s="280"/>
      <c r="AN241" s="280"/>
      <c r="AO241" s="280"/>
      <c r="AP241" s="280"/>
      <c r="AQ241" s="280"/>
      <c r="AR241" s="280"/>
      <c r="AS241" s="280"/>
      <c r="AT241" s="280"/>
      <c r="AU241" s="280"/>
      <c r="AV241" s="280"/>
      <c r="AW241" s="280"/>
      <c r="AX241" s="280"/>
      <c r="AY241" s="280"/>
      <c r="AZ241" s="280"/>
    </row>
    <row r="242" spans="1:52" ht="12.75" x14ac:dyDescent="0.2">
      <c r="A242" s="280"/>
      <c r="B242" s="280"/>
      <c r="C242" s="280"/>
      <c r="D242" s="280"/>
      <c r="E242" s="280"/>
      <c r="F242" s="280"/>
      <c r="G242" s="280"/>
      <c r="H242" s="280"/>
      <c r="I242" s="280"/>
      <c r="J242" s="280"/>
      <c r="K242" s="280"/>
      <c r="L242" s="280"/>
      <c r="M242" s="280"/>
      <c r="N242" s="280"/>
      <c r="O242" s="280"/>
      <c r="P242" s="280"/>
      <c r="Q242" s="280"/>
      <c r="R242" s="280"/>
      <c r="S242" s="280"/>
      <c r="T242" s="280"/>
      <c r="U242" s="280"/>
      <c r="V242" s="280"/>
      <c r="W242" s="280"/>
      <c r="X242" s="280"/>
      <c r="Y242" s="280"/>
      <c r="Z242" s="280"/>
      <c r="AA242" s="280"/>
      <c r="AB242" s="280"/>
      <c r="AC242" s="280"/>
      <c r="AD242" s="280"/>
      <c r="AE242" s="280"/>
      <c r="AF242" s="280"/>
      <c r="AG242" s="280"/>
      <c r="AH242" s="280"/>
      <c r="AI242" s="280"/>
      <c r="AJ242" s="280"/>
      <c r="AK242" s="280"/>
      <c r="AL242" s="280"/>
      <c r="AM242" s="280"/>
      <c r="AN242" s="280"/>
      <c r="AO242" s="280"/>
      <c r="AP242" s="280"/>
      <c r="AQ242" s="280"/>
      <c r="AR242" s="280"/>
      <c r="AS242" s="280"/>
      <c r="AT242" s="280"/>
      <c r="AU242" s="280"/>
      <c r="AV242" s="280"/>
      <c r="AW242" s="280"/>
      <c r="AX242" s="280"/>
      <c r="AY242" s="280"/>
      <c r="AZ242" s="280"/>
    </row>
    <row r="243" spans="1:52" ht="12.75" x14ac:dyDescent="0.2">
      <c r="A243" s="280"/>
      <c r="B243" s="280"/>
      <c r="C243" s="280"/>
      <c r="D243" s="280"/>
      <c r="E243" s="280"/>
      <c r="F243" s="280"/>
      <c r="G243" s="280"/>
      <c r="H243" s="280"/>
      <c r="I243" s="280"/>
      <c r="J243" s="280"/>
      <c r="K243" s="280"/>
      <c r="L243" s="280"/>
      <c r="M243" s="280"/>
      <c r="N243" s="280"/>
      <c r="O243" s="280"/>
      <c r="P243" s="280"/>
      <c r="Q243" s="280"/>
      <c r="R243" s="280"/>
      <c r="S243" s="280"/>
      <c r="T243" s="280"/>
      <c r="U243" s="280"/>
      <c r="V243" s="280"/>
      <c r="W243" s="280"/>
      <c r="X243" s="280"/>
      <c r="Y243" s="280"/>
      <c r="Z243" s="280"/>
      <c r="AA243" s="280"/>
      <c r="AB243" s="280"/>
      <c r="AC243" s="280"/>
      <c r="AD243" s="280"/>
      <c r="AE243" s="280"/>
      <c r="AF243" s="280"/>
      <c r="AG243" s="280"/>
      <c r="AH243" s="280"/>
      <c r="AI243" s="280"/>
      <c r="AJ243" s="280"/>
      <c r="AK243" s="280"/>
      <c r="AL243" s="280"/>
      <c r="AM243" s="280"/>
      <c r="AN243" s="280"/>
      <c r="AO243" s="280"/>
      <c r="AP243" s="280"/>
      <c r="AQ243" s="280"/>
      <c r="AR243" s="280"/>
      <c r="AS243" s="280"/>
      <c r="AT243" s="280"/>
      <c r="AU243" s="280"/>
      <c r="AV243" s="280"/>
      <c r="AW243" s="280"/>
      <c r="AX243" s="280"/>
      <c r="AY243" s="280"/>
      <c r="AZ243" s="280"/>
    </row>
    <row r="244" spans="1:52" ht="12.75" x14ac:dyDescent="0.2">
      <c r="A244" s="280"/>
      <c r="B244" s="280"/>
      <c r="C244" s="280"/>
      <c r="D244" s="280"/>
      <c r="E244" s="280"/>
      <c r="F244" s="280"/>
      <c r="G244" s="280"/>
      <c r="H244" s="280"/>
      <c r="I244" s="280"/>
      <c r="J244" s="280"/>
      <c r="K244" s="280"/>
      <c r="L244" s="280"/>
      <c r="M244" s="280"/>
      <c r="N244" s="280"/>
      <c r="O244" s="280"/>
      <c r="P244" s="280"/>
      <c r="Q244" s="280"/>
      <c r="R244" s="280"/>
      <c r="S244" s="280"/>
      <c r="T244" s="280"/>
      <c r="U244" s="280"/>
      <c r="V244" s="280"/>
      <c r="W244" s="280"/>
      <c r="X244" s="280"/>
      <c r="Y244" s="280"/>
      <c r="Z244" s="280"/>
      <c r="AA244" s="280"/>
      <c r="AB244" s="280"/>
      <c r="AC244" s="280"/>
      <c r="AD244" s="280"/>
      <c r="AE244" s="280"/>
      <c r="AF244" s="280"/>
      <c r="AG244" s="280"/>
      <c r="AH244" s="280"/>
      <c r="AI244" s="280"/>
      <c r="AJ244" s="280"/>
      <c r="AK244" s="280"/>
      <c r="AL244" s="280"/>
      <c r="AM244" s="280"/>
      <c r="AN244" s="280"/>
      <c r="AO244" s="280"/>
      <c r="AP244" s="280"/>
      <c r="AQ244" s="280"/>
      <c r="AR244" s="280"/>
      <c r="AS244" s="280"/>
      <c r="AT244" s="280"/>
      <c r="AU244" s="280"/>
      <c r="AV244" s="280"/>
      <c r="AW244" s="280"/>
      <c r="AX244" s="280"/>
      <c r="AY244" s="280"/>
      <c r="AZ244" s="280"/>
    </row>
    <row r="245" spans="1:52" ht="12.75" x14ac:dyDescent="0.2">
      <c r="A245" s="280"/>
      <c r="B245" s="280"/>
      <c r="C245" s="280"/>
      <c r="D245" s="280"/>
      <c r="E245" s="280"/>
      <c r="F245" s="280"/>
      <c r="G245" s="280"/>
      <c r="H245" s="280"/>
      <c r="I245" s="280"/>
      <c r="J245" s="280"/>
      <c r="K245" s="280"/>
      <c r="L245" s="280"/>
      <c r="M245" s="280"/>
      <c r="N245" s="280"/>
      <c r="O245" s="280"/>
      <c r="P245" s="280"/>
      <c r="Q245" s="280"/>
      <c r="R245" s="280"/>
      <c r="S245" s="280"/>
      <c r="T245" s="280"/>
      <c r="U245" s="280"/>
      <c r="V245" s="280"/>
      <c r="W245" s="280"/>
      <c r="X245" s="280"/>
      <c r="Y245" s="280"/>
      <c r="Z245" s="280"/>
      <c r="AA245" s="280"/>
      <c r="AB245" s="280"/>
      <c r="AC245" s="280"/>
      <c r="AD245" s="280"/>
      <c r="AE245" s="280"/>
      <c r="AF245" s="280"/>
      <c r="AG245" s="280"/>
      <c r="AH245" s="280"/>
      <c r="AI245" s="280"/>
      <c r="AJ245" s="280"/>
      <c r="AK245" s="280"/>
      <c r="AL245" s="280"/>
      <c r="AM245" s="280"/>
      <c r="AN245" s="280"/>
      <c r="AO245" s="280"/>
      <c r="AP245" s="280"/>
      <c r="AQ245" s="280"/>
      <c r="AR245" s="280"/>
      <c r="AS245" s="280"/>
      <c r="AT245" s="280"/>
      <c r="AU245" s="280"/>
      <c r="AV245" s="280"/>
      <c r="AW245" s="280"/>
      <c r="AX245" s="280"/>
      <c r="AY245" s="280"/>
      <c r="AZ245" s="280"/>
    </row>
    <row r="246" spans="1:52" ht="12.75" x14ac:dyDescent="0.2">
      <c r="A246" s="280"/>
      <c r="B246" s="280"/>
      <c r="C246" s="280"/>
      <c r="D246" s="280"/>
      <c r="E246" s="280"/>
      <c r="F246" s="280"/>
      <c r="G246" s="280"/>
      <c r="H246" s="280"/>
      <c r="I246" s="280"/>
      <c r="J246" s="280"/>
      <c r="K246" s="280"/>
      <c r="L246" s="280"/>
      <c r="M246" s="280"/>
      <c r="N246" s="280"/>
      <c r="O246" s="280"/>
      <c r="P246" s="280"/>
      <c r="Q246" s="280"/>
      <c r="R246" s="280"/>
      <c r="S246" s="280"/>
      <c r="T246" s="280"/>
      <c r="U246" s="280"/>
      <c r="V246" s="280"/>
      <c r="W246" s="280"/>
      <c r="X246" s="280"/>
      <c r="Y246" s="280"/>
      <c r="Z246" s="280"/>
      <c r="AA246" s="280"/>
      <c r="AB246" s="280"/>
      <c r="AC246" s="280"/>
      <c r="AD246" s="280"/>
      <c r="AE246" s="280"/>
      <c r="AF246" s="280"/>
      <c r="AG246" s="280"/>
      <c r="AH246" s="280"/>
      <c r="AI246" s="280"/>
      <c r="AJ246" s="280"/>
      <c r="AK246" s="280"/>
      <c r="AL246" s="280"/>
      <c r="AM246" s="280"/>
      <c r="AN246" s="280"/>
      <c r="AO246" s="280"/>
      <c r="AP246" s="280"/>
      <c r="AQ246" s="280"/>
      <c r="AR246" s="280"/>
      <c r="AS246" s="280"/>
      <c r="AT246" s="280"/>
      <c r="AU246" s="280"/>
      <c r="AV246" s="280"/>
      <c r="AW246" s="280"/>
      <c r="AX246" s="280"/>
      <c r="AY246" s="280"/>
      <c r="AZ246" s="280"/>
    </row>
    <row r="247" spans="1:52" ht="12.75" x14ac:dyDescent="0.2">
      <c r="A247" s="280"/>
      <c r="B247" s="280"/>
      <c r="C247" s="280"/>
      <c r="D247" s="280"/>
      <c r="E247" s="280"/>
      <c r="F247" s="280"/>
      <c r="G247" s="280"/>
      <c r="H247" s="280"/>
      <c r="I247" s="280"/>
      <c r="J247" s="280"/>
      <c r="K247" s="280"/>
      <c r="L247" s="280"/>
      <c r="M247" s="280"/>
      <c r="N247" s="280"/>
      <c r="O247" s="280"/>
      <c r="P247" s="280"/>
      <c r="Q247" s="280"/>
      <c r="R247" s="280"/>
      <c r="S247" s="280"/>
      <c r="T247" s="280"/>
      <c r="U247" s="280"/>
      <c r="V247" s="280"/>
      <c r="W247" s="280"/>
      <c r="X247" s="280"/>
      <c r="Y247" s="280"/>
      <c r="Z247" s="280"/>
      <c r="AA247" s="280"/>
      <c r="AB247" s="280"/>
      <c r="AC247" s="280"/>
      <c r="AD247" s="280"/>
      <c r="AE247" s="280"/>
      <c r="AF247" s="280"/>
      <c r="AG247" s="280"/>
      <c r="AH247" s="280"/>
      <c r="AI247" s="280"/>
      <c r="AJ247" s="280"/>
      <c r="AK247" s="280"/>
      <c r="AL247" s="280"/>
      <c r="AM247" s="280"/>
      <c r="AN247" s="280"/>
      <c r="AO247" s="280"/>
      <c r="AP247" s="280"/>
      <c r="AQ247" s="280"/>
      <c r="AR247" s="280"/>
      <c r="AS247" s="280"/>
      <c r="AT247" s="280"/>
      <c r="AU247" s="280"/>
      <c r="AV247" s="280"/>
      <c r="AW247" s="280"/>
      <c r="AX247" s="280"/>
      <c r="AY247" s="280"/>
      <c r="AZ247" s="280"/>
    </row>
    <row r="248" spans="1:52" ht="12.75" x14ac:dyDescent="0.2">
      <c r="A248" s="280"/>
      <c r="B248" s="280"/>
      <c r="C248" s="280"/>
      <c r="D248" s="280"/>
      <c r="E248" s="280"/>
      <c r="F248" s="280"/>
      <c r="G248" s="280"/>
      <c r="H248" s="280"/>
      <c r="I248" s="280"/>
      <c r="J248" s="280"/>
      <c r="K248" s="280"/>
      <c r="L248" s="280"/>
      <c r="M248" s="280"/>
      <c r="N248" s="280"/>
      <c r="O248" s="280"/>
      <c r="P248" s="280"/>
      <c r="Q248" s="280"/>
      <c r="R248" s="280"/>
      <c r="S248" s="280"/>
      <c r="T248" s="280"/>
      <c r="U248" s="280"/>
      <c r="V248" s="280"/>
      <c r="W248" s="280"/>
      <c r="X248" s="280"/>
      <c r="Y248" s="280"/>
      <c r="Z248" s="280"/>
      <c r="AA248" s="280"/>
      <c r="AB248" s="280"/>
      <c r="AC248" s="280"/>
      <c r="AD248" s="280"/>
      <c r="AE248" s="280"/>
      <c r="AF248" s="280"/>
      <c r="AG248" s="280"/>
      <c r="AH248" s="280"/>
      <c r="AI248" s="280"/>
      <c r="AJ248" s="280"/>
      <c r="AK248" s="280"/>
      <c r="AL248" s="280"/>
      <c r="AM248" s="280"/>
      <c r="AN248" s="280"/>
      <c r="AO248" s="280"/>
      <c r="AP248" s="280"/>
      <c r="AQ248" s="280"/>
      <c r="AR248" s="280"/>
      <c r="AS248" s="280"/>
      <c r="AT248" s="280"/>
      <c r="AU248" s="280"/>
      <c r="AV248" s="280"/>
      <c r="AW248" s="280"/>
      <c r="AX248" s="280"/>
      <c r="AY248" s="280"/>
      <c r="AZ248" s="280"/>
    </row>
    <row r="249" spans="1:52" ht="12.75" x14ac:dyDescent="0.2">
      <c r="A249" s="280"/>
      <c r="B249" s="280"/>
      <c r="C249" s="280"/>
      <c r="D249" s="280"/>
      <c r="E249" s="280"/>
      <c r="F249" s="280"/>
      <c r="G249" s="280"/>
      <c r="H249" s="280"/>
      <c r="I249" s="280"/>
      <c r="J249" s="280"/>
      <c r="K249" s="280"/>
      <c r="L249" s="280"/>
      <c r="M249" s="280"/>
      <c r="N249" s="280"/>
      <c r="O249" s="280"/>
      <c r="P249" s="280"/>
      <c r="Q249" s="280"/>
      <c r="R249" s="280"/>
      <c r="S249" s="280"/>
      <c r="T249" s="280"/>
      <c r="U249" s="280"/>
      <c r="V249" s="280"/>
      <c r="W249" s="280"/>
      <c r="X249" s="280"/>
      <c r="Y249" s="280"/>
      <c r="Z249" s="280"/>
      <c r="AA249" s="280"/>
      <c r="AB249" s="280"/>
      <c r="AC249" s="280"/>
      <c r="AD249" s="280"/>
      <c r="AE249" s="280"/>
      <c r="AF249" s="280"/>
      <c r="AG249" s="280"/>
      <c r="AH249" s="280"/>
      <c r="AI249" s="280"/>
      <c r="AJ249" s="280"/>
      <c r="AK249" s="280"/>
      <c r="AL249" s="280"/>
      <c r="AM249" s="280"/>
      <c r="AN249" s="280"/>
      <c r="AO249" s="280"/>
      <c r="AP249" s="280"/>
      <c r="AQ249" s="280"/>
      <c r="AR249" s="280"/>
      <c r="AS249" s="280"/>
      <c r="AT249" s="280"/>
      <c r="AU249" s="280"/>
      <c r="AV249" s="280"/>
      <c r="AW249" s="280"/>
      <c r="AX249" s="280"/>
      <c r="AY249" s="280"/>
      <c r="AZ249" s="280"/>
    </row>
    <row r="250" spans="1:52" ht="12.75" x14ac:dyDescent="0.2">
      <c r="A250" s="280"/>
      <c r="B250" s="280"/>
      <c r="C250" s="280"/>
      <c r="D250" s="280"/>
      <c r="E250" s="280"/>
      <c r="F250" s="280"/>
      <c r="G250" s="280"/>
      <c r="H250" s="280"/>
      <c r="I250" s="280"/>
      <c r="J250" s="280"/>
      <c r="K250" s="280"/>
      <c r="L250" s="280"/>
      <c r="M250" s="280"/>
      <c r="N250" s="280"/>
      <c r="O250" s="280"/>
      <c r="P250" s="280"/>
      <c r="Q250" s="280"/>
      <c r="R250" s="280"/>
      <c r="S250" s="280"/>
      <c r="T250" s="280"/>
      <c r="U250" s="280"/>
      <c r="V250" s="280"/>
      <c r="W250" s="280"/>
      <c r="X250" s="280"/>
      <c r="Y250" s="280"/>
      <c r="Z250" s="280"/>
      <c r="AA250" s="280"/>
      <c r="AB250" s="280"/>
      <c r="AC250" s="280"/>
      <c r="AD250" s="280"/>
      <c r="AE250" s="280"/>
      <c r="AF250" s="280"/>
      <c r="AG250" s="280"/>
      <c r="AH250" s="280"/>
      <c r="AI250" s="280"/>
      <c r="AJ250" s="280"/>
      <c r="AK250" s="280"/>
      <c r="AL250" s="280"/>
      <c r="AM250" s="280"/>
      <c r="AN250" s="280"/>
      <c r="AO250" s="280"/>
      <c r="AP250" s="280"/>
      <c r="AQ250" s="280"/>
      <c r="AR250" s="280"/>
      <c r="AS250" s="280"/>
      <c r="AT250" s="280"/>
      <c r="AU250" s="280"/>
      <c r="AV250" s="280"/>
      <c r="AW250" s="280"/>
      <c r="AX250" s="280"/>
      <c r="AY250" s="280"/>
      <c r="AZ250" s="280"/>
    </row>
    <row r="251" spans="1:52" ht="12.75" x14ac:dyDescent="0.2">
      <c r="A251" s="280"/>
      <c r="B251" s="280"/>
      <c r="C251" s="280"/>
      <c r="D251" s="280"/>
      <c r="E251" s="280"/>
      <c r="F251" s="280"/>
      <c r="G251" s="280"/>
      <c r="H251" s="280"/>
      <c r="I251" s="280"/>
      <c r="J251" s="280"/>
      <c r="K251" s="280"/>
      <c r="L251" s="280"/>
      <c r="M251" s="280"/>
      <c r="N251" s="280"/>
      <c r="O251" s="280"/>
      <c r="P251" s="280"/>
      <c r="Q251" s="280"/>
      <c r="R251" s="280"/>
      <c r="S251" s="280"/>
      <c r="T251" s="280"/>
      <c r="U251" s="280"/>
      <c r="V251" s="280"/>
      <c r="W251" s="280"/>
      <c r="X251" s="280"/>
      <c r="Y251" s="280"/>
      <c r="Z251" s="280"/>
      <c r="AA251" s="280"/>
      <c r="AB251" s="280"/>
      <c r="AC251" s="280"/>
      <c r="AD251" s="280"/>
      <c r="AE251" s="280"/>
      <c r="AF251" s="280"/>
      <c r="AG251" s="280"/>
      <c r="AH251" s="280"/>
      <c r="AI251" s="280"/>
      <c r="AJ251" s="280"/>
      <c r="AK251" s="280"/>
      <c r="AL251" s="280"/>
      <c r="AM251" s="280"/>
      <c r="AN251" s="280"/>
      <c r="AO251" s="280"/>
      <c r="AP251" s="280"/>
      <c r="AQ251" s="280"/>
      <c r="AR251" s="280"/>
      <c r="AS251" s="280"/>
      <c r="AT251" s="280"/>
      <c r="AU251" s="280"/>
      <c r="AV251" s="280"/>
      <c r="AW251" s="280"/>
      <c r="AX251" s="280"/>
      <c r="AY251" s="280"/>
      <c r="AZ251" s="280"/>
    </row>
    <row r="252" spans="1:52" ht="12.75" x14ac:dyDescent="0.2">
      <c r="A252" s="280"/>
      <c r="B252" s="280"/>
      <c r="C252" s="280"/>
      <c r="D252" s="280"/>
      <c r="E252" s="280"/>
      <c r="F252" s="280"/>
      <c r="G252" s="280"/>
      <c r="H252" s="280"/>
      <c r="I252" s="280"/>
      <c r="J252" s="280"/>
      <c r="K252" s="280"/>
      <c r="L252" s="280"/>
      <c r="M252" s="280"/>
      <c r="N252" s="280"/>
      <c r="O252" s="280"/>
      <c r="P252" s="280"/>
      <c r="Q252" s="280"/>
      <c r="R252" s="280"/>
      <c r="S252" s="280"/>
      <c r="T252" s="280"/>
      <c r="U252" s="280"/>
      <c r="V252" s="280"/>
      <c r="W252" s="280"/>
      <c r="X252" s="280"/>
      <c r="Y252" s="280"/>
      <c r="Z252" s="280"/>
      <c r="AA252" s="280"/>
      <c r="AB252" s="280"/>
      <c r="AC252" s="280"/>
      <c r="AD252" s="280"/>
      <c r="AE252" s="280"/>
      <c r="AF252" s="280"/>
      <c r="AG252" s="280"/>
      <c r="AH252" s="280"/>
      <c r="AI252" s="280"/>
      <c r="AJ252" s="280"/>
      <c r="AK252" s="280"/>
      <c r="AL252" s="280"/>
      <c r="AM252" s="280"/>
      <c r="AN252" s="280"/>
      <c r="AO252" s="280"/>
      <c r="AP252" s="280"/>
      <c r="AQ252" s="280"/>
      <c r="AR252" s="280"/>
      <c r="AS252" s="280"/>
      <c r="AT252" s="280"/>
      <c r="AU252" s="280"/>
      <c r="AV252" s="280"/>
      <c r="AW252" s="280"/>
      <c r="AX252" s="280"/>
      <c r="AY252" s="280"/>
      <c r="AZ252" s="280"/>
    </row>
    <row r="253" spans="1:52" ht="12.75" x14ac:dyDescent="0.2">
      <c r="A253" s="280"/>
      <c r="B253" s="280"/>
      <c r="C253" s="280"/>
      <c r="D253" s="280"/>
      <c r="E253" s="280"/>
      <c r="F253" s="280"/>
      <c r="G253" s="280"/>
      <c r="H253" s="280"/>
      <c r="I253" s="280"/>
      <c r="J253" s="280"/>
      <c r="K253" s="280"/>
      <c r="L253" s="280"/>
      <c r="M253" s="280"/>
      <c r="N253" s="280"/>
      <c r="O253" s="280"/>
      <c r="P253" s="280"/>
      <c r="Q253" s="280"/>
      <c r="R253" s="280"/>
      <c r="S253" s="280"/>
      <c r="T253" s="280"/>
      <c r="U253" s="280"/>
      <c r="V253" s="280"/>
      <c r="W253" s="280"/>
      <c r="X253" s="280"/>
      <c r="Y253" s="280"/>
      <c r="Z253" s="280"/>
      <c r="AA253" s="280"/>
      <c r="AB253" s="280"/>
      <c r="AC253" s="280"/>
      <c r="AD253" s="280"/>
      <c r="AE253" s="280"/>
      <c r="AF253" s="280"/>
      <c r="AG253" s="280"/>
      <c r="AH253" s="280"/>
      <c r="AI253" s="280"/>
      <c r="AJ253" s="280"/>
      <c r="AK253" s="280"/>
      <c r="AL253" s="280"/>
      <c r="AM253" s="280"/>
      <c r="AN253" s="280"/>
      <c r="AO253" s="280"/>
      <c r="AP253" s="280"/>
      <c r="AQ253" s="280"/>
      <c r="AR253" s="280"/>
      <c r="AS253" s="280"/>
      <c r="AT253" s="280"/>
      <c r="AU253" s="280"/>
      <c r="AV253" s="280"/>
      <c r="AW253" s="280"/>
      <c r="AX253" s="280"/>
      <c r="AY253" s="280"/>
      <c r="AZ253" s="280"/>
    </row>
    <row r="254" spans="1:52" ht="12.75" x14ac:dyDescent="0.2">
      <c r="A254" s="280"/>
      <c r="B254" s="280"/>
      <c r="C254" s="280"/>
      <c r="D254" s="280"/>
      <c r="E254" s="280"/>
      <c r="F254" s="280"/>
      <c r="G254" s="280"/>
      <c r="H254" s="280"/>
      <c r="I254" s="280"/>
      <c r="J254" s="280"/>
      <c r="K254" s="280"/>
      <c r="L254" s="280"/>
      <c r="M254" s="280"/>
      <c r="N254" s="280"/>
      <c r="O254" s="280"/>
      <c r="P254" s="280"/>
      <c r="Q254" s="280"/>
      <c r="R254" s="280"/>
      <c r="S254" s="280"/>
      <c r="T254" s="280"/>
      <c r="U254" s="280"/>
      <c r="V254" s="280"/>
      <c r="W254" s="280"/>
      <c r="X254" s="280"/>
      <c r="Y254" s="280"/>
      <c r="Z254" s="280"/>
      <c r="AA254" s="280"/>
      <c r="AB254" s="280"/>
      <c r="AC254" s="280"/>
      <c r="AD254" s="280"/>
      <c r="AE254" s="280"/>
      <c r="AF254" s="280"/>
      <c r="AG254" s="280"/>
      <c r="AH254" s="280"/>
      <c r="AI254" s="280"/>
      <c r="AJ254" s="280"/>
      <c r="AK254" s="280"/>
      <c r="AL254" s="280"/>
      <c r="AM254" s="280"/>
      <c r="AN254" s="280"/>
      <c r="AO254" s="280"/>
      <c r="AP254" s="280"/>
      <c r="AQ254" s="280"/>
      <c r="AR254" s="280"/>
      <c r="AS254" s="280"/>
      <c r="AT254" s="280"/>
      <c r="AU254" s="280"/>
      <c r="AV254" s="280"/>
      <c r="AW254" s="280"/>
      <c r="AX254" s="280"/>
      <c r="AY254" s="280"/>
      <c r="AZ254" s="280"/>
    </row>
    <row r="255" spans="1:52" ht="12.75" x14ac:dyDescent="0.2">
      <c r="A255" s="280"/>
      <c r="B255" s="280"/>
      <c r="C255" s="280"/>
      <c r="D255" s="280"/>
      <c r="E255" s="280"/>
      <c r="F255" s="280"/>
      <c r="G255" s="280"/>
      <c r="H255" s="280"/>
      <c r="I255" s="280"/>
      <c r="J255" s="280"/>
      <c r="K255" s="280"/>
      <c r="L255" s="280"/>
      <c r="M255" s="280"/>
      <c r="N255" s="280"/>
      <c r="O255" s="280"/>
      <c r="P255" s="280"/>
      <c r="Q255" s="280"/>
      <c r="R255" s="280"/>
      <c r="S255" s="280"/>
      <c r="T255" s="280"/>
      <c r="U255" s="280"/>
      <c r="V255" s="280"/>
      <c r="W255" s="280"/>
      <c r="X255" s="280"/>
      <c r="Y255" s="280"/>
      <c r="Z255" s="280"/>
      <c r="AA255" s="280"/>
      <c r="AB255" s="280"/>
      <c r="AC255" s="280"/>
      <c r="AD255" s="280"/>
      <c r="AE255" s="280"/>
      <c r="AF255" s="280"/>
      <c r="AG255" s="280"/>
      <c r="AH255" s="280"/>
      <c r="AI255" s="280"/>
      <c r="AJ255" s="280"/>
      <c r="AK255" s="280"/>
      <c r="AL255" s="280"/>
      <c r="AM255" s="280"/>
      <c r="AN255" s="280"/>
      <c r="AO255" s="280"/>
      <c r="AP255" s="280"/>
      <c r="AQ255" s="280"/>
      <c r="AR255" s="280"/>
      <c r="AS255" s="280"/>
      <c r="AT255" s="280"/>
      <c r="AU255" s="280"/>
      <c r="AV255" s="280"/>
      <c r="AW255" s="280"/>
      <c r="AX255" s="280"/>
      <c r="AY255" s="280"/>
      <c r="AZ255" s="280"/>
    </row>
    <row r="256" spans="1:52" ht="12.75" x14ac:dyDescent="0.2">
      <c r="A256" s="280"/>
      <c r="B256" s="280"/>
      <c r="C256" s="280"/>
      <c r="D256" s="280"/>
      <c r="E256" s="280"/>
      <c r="F256" s="280"/>
      <c r="G256" s="280"/>
      <c r="H256" s="280"/>
      <c r="I256" s="280"/>
      <c r="J256" s="280"/>
      <c r="K256" s="280"/>
      <c r="L256" s="280"/>
      <c r="M256" s="280"/>
      <c r="N256" s="280"/>
      <c r="O256" s="280"/>
      <c r="P256" s="280"/>
      <c r="Q256" s="280"/>
      <c r="R256" s="280"/>
      <c r="S256" s="280"/>
      <c r="T256" s="280"/>
      <c r="U256" s="280"/>
      <c r="V256" s="280"/>
      <c r="W256" s="280"/>
      <c r="X256" s="280"/>
      <c r="Y256" s="280"/>
      <c r="Z256" s="280"/>
      <c r="AA256" s="280"/>
      <c r="AB256" s="280"/>
      <c r="AC256" s="280"/>
      <c r="AD256" s="280"/>
      <c r="AE256" s="280"/>
      <c r="AF256" s="280"/>
      <c r="AG256" s="280"/>
      <c r="AH256" s="280"/>
      <c r="AI256" s="280"/>
      <c r="AJ256" s="280"/>
      <c r="AK256" s="280"/>
      <c r="AL256" s="280"/>
      <c r="AM256" s="280"/>
      <c r="AN256" s="280"/>
      <c r="AO256" s="280"/>
      <c r="AP256" s="280"/>
      <c r="AQ256" s="280"/>
      <c r="AR256" s="280"/>
      <c r="AS256" s="280"/>
      <c r="AT256" s="280"/>
      <c r="AU256" s="280"/>
      <c r="AV256" s="280"/>
      <c r="AW256" s="280"/>
      <c r="AX256" s="280"/>
      <c r="AY256" s="280"/>
      <c r="AZ256" s="280"/>
    </row>
    <row r="257" spans="1:52" ht="12.75" x14ac:dyDescent="0.2">
      <c r="A257" s="280"/>
      <c r="B257" s="280"/>
      <c r="C257" s="280"/>
      <c r="D257" s="280"/>
      <c r="E257" s="280"/>
      <c r="F257" s="280"/>
      <c r="G257" s="280"/>
      <c r="H257" s="280"/>
      <c r="I257" s="280"/>
      <c r="J257" s="280"/>
      <c r="K257" s="280"/>
      <c r="L257" s="280"/>
      <c r="M257" s="280"/>
      <c r="N257" s="280"/>
      <c r="O257" s="280"/>
      <c r="P257" s="280"/>
      <c r="Q257" s="280"/>
      <c r="R257" s="280"/>
      <c r="S257" s="280"/>
      <c r="T257" s="280"/>
      <c r="U257" s="280"/>
      <c r="V257" s="280"/>
      <c r="W257" s="280"/>
      <c r="X257" s="280"/>
      <c r="Y257" s="280"/>
      <c r="Z257" s="280"/>
      <c r="AA257" s="280"/>
      <c r="AB257" s="280"/>
      <c r="AC257" s="280"/>
      <c r="AD257" s="280"/>
      <c r="AE257" s="280"/>
      <c r="AF257" s="280"/>
      <c r="AG257" s="280"/>
      <c r="AH257" s="280"/>
      <c r="AI257" s="280"/>
      <c r="AJ257" s="280"/>
      <c r="AK257" s="280"/>
      <c r="AL257" s="280"/>
      <c r="AM257" s="280"/>
      <c r="AN257" s="280"/>
      <c r="AO257" s="280"/>
      <c r="AP257" s="280"/>
      <c r="AQ257" s="280"/>
      <c r="AR257" s="280"/>
      <c r="AS257" s="280"/>
      <c r="AT257" s="280"/>
      <c r="AU257" s="280"/>
      <c r="AV257" s="280"/>
      <c r="AW257" s="280"/>
      <c r="AX257" s="280"/>
      <c r="AY257" s="280"/>
      <c r="AZ257" s="280"/>
    </row>
    <row r="258" spans="1:52" ht="12.75" x14ac:dyDescent="0.2">
      <c r="A258" s="280"/>
      <c r="B258" s="280"/>
      <c r="C258" s="280"/>
      <c r="D258" s="280"/>
      <c r="E258" s="280"/>
      <c r="F258" s="280"/>
      <c r="G258" s="280"/>
      <c r="H258" s="280"/>
      <c r="I258" s="280"/>
      <c r="J258" s="280"/>
      <c r="K258" s="280"/>
      <c r="L258" s="280"/>
      <c r="M258" s="280"/>
      <c r="N258" s="280"/>
      <c r="O258" s="280"/>
      <c r="P258" s="280"/>
      <c r="Q258" s="280"/>
      <c r="R258" s="280"/>
      <c r="S258" s="280"/>
      <c r="T258" s="280"/>
      <c r="U258" s="280"/>
      <c r="V258" s="280"/>
      <c r="W258" s="280"/>
      <c r="X258" s="280"/>
      <c r="Y258" s="280"/>
      <c r="Z258" s="280"/>
      <c r="AA258" s="280"/>
      <c r="AB258" s="280"/>
      <c r="AC258" s="280"/>
      <c r="AD258" s="280"/>
      <c r="AE258" s="280"/>
      <c r="AF258" s="280"/>
      <c r="AG258" s="280"/>
      <c r="AH258" s="280"/>
      <c r="AI258" s="280"/>
      <c r="AJ258" s="280"/>
      <c r="AK258" s="280"/>
      <c r="AL258" s="280"/>
      <c r="AM258" s="280"/>
      <c r="AN258" s="280"/>
      <c r="AO258" s="280"/>
      <c r="AP258" s="280"/>
      <c r="AQ258" s="280"/>
      <c r="AR258" s="280"/>
      <c r="AS258" s="280"/>
      <c r="AT258" s="280"/>
      <c r="AU258" s="280"/>
      <c r="AV258" s="280"/>
      <c r="AW258" s="280"/>
      <c r="AX258" s="280"/>
      <c r="AY258" s="280"/>
      <c r="AZ258" s="280"/>
    </row>
    <row r="259" spans="1:52" ht="12.75" x14ac:dyDescent="0.2">
      <c r="A259" s="280"/>
      <c r="B259" s="280"/>
      <c r="C259" s="280"/>
      <c r="D259" s="280"/>
      <c r="E259" s="280"/>
      <c r="F259" s="280"/>
      <c r="G259" s="280"/>
      <c r="H259" s="280"/>
      <c r="I259" s="280"/>
      <c r="J259" s="280"/>
      <c r="K259" s="280"/>
      <c r="L259" s="280"/>
      <c r="M259" s="280"/>
      <c r="N259" s="280"/>
      <c r="O259" s="280"/>
      <c r="P259" s="280"/>
      <c r="Q259" s="280"/>
      <c r="R259" s="280"/>
      <c r="S259" s="280"/>
      <c r="T259" s="280"/>
      <c r="U259" s="280"/>
      <c r="V259" s="280"/>
      <c r="W259" s="280"/>
      <c r="X259" s="280"/>
      <c r="Y259" s="280"/>
      <c r="Z259" s="280"/>
      <c r="AA259" s="280"/>
      <c r="AB259" s="280"/>
      <c r="AC259" s="280"/>
      <c r="AD259" s="280"/>
      <c r="AE259" s="280"/>
      <c r="AF259" s="280"/>
      <c r="AG259" s="280"/>
      <c r="AH259" s="280"/>
      <c r="AI259" s="280"/>
      <c r="AJ259" s="280"/>
      <c r="AK259" s="280"/>
      <c r="AL259" s="280"/>
      <c r="AM259" s="280"/>
      <c r="AN259" s="280"/>
      <c r="AO259" s="280"/>
      <c r="AP259" s="280"/>
      <c r="AQ259" s="280"/>
      <c r="AR259" s="280"/>
      <c r="AS259" s="280"/>
      <c r="AT259" s="280"/>
      <c r="AU259" s="280"/>
      <c r="AV259" s="280"/>
      <c r="AW259" s="280"/>
      <c r="AX259" s="280"/>
      <c r="AY259" s="280"/>
      <c r="AZ259" s="280"/>
    </row>
    <row r="260" spans="1:52" ht="12.75" x14ac:dyDescent="0.2">
      <c r="A260" s="280"/>
      <c r="B260" s="280"/>
      <c r="C260" s="280"/>
      <c r="D260" s="280"/>
      <c r="E260" s="280"/>
      <c r="F260" s="280"/>
      <c r="G260" s="280"/>
      <c r="H260" s="280"/>
      <c r="I260" s="280"/>
      <c r="J260" s="280"/>
      <c r="K260" s="280"/>
      <c r="L260" s="280"/>
      <c r="M260" s="280"/>
      <c r="N260" s="280"/>
      <c r="O260" s="280"/>
      <c r="P260" s="280"/>
      <c r="Q260" s="280"/>
      <c r="R260" s="280"/>
      <c r="S260" s="280"/>
      <c r="T260" s="280"/>
      <c r="U260" s="280"/>
      <c r="V260" s="280"/>
      <c r="W260" s="280"/>
      <c r="X260" s="280"/>
      <c r="Y260" s="280"/>
      <c r="Z260" s="280"/>
      <c r="AA260" s="280"/>
      <c r="AB260" s="280"/>
      <c r="AC260" s="280"/>
      <c r="AD260" s="280"/>
      <c r="AE260" s="280"/>
      <c r="AF260" s="280"/>
      <c r="AG260" s="280"/>
      <c r="AH260" s="280"/>
      <c r="AI260" s="280"/>
      <c r="AJ260" s="280"/>
      <c r="AK260" s="280"/>
      <c r="AL260" s="280"/>
      <c r="AM260" s="280"/>
      <c r="AN260" s="280"/>
      <c r="AO260" s="280"/>
      <c r="AP260" s="280"/>
      <c r="AQ260" s="280"/>
      <c r="AR260" s="280"/>
      <c r="AS260" s="280"/>
      <c r="AT260" s="280"/>
      <c r="AU260" s="280"/>
      <c r="AV260" s="280"/>
      <c r="AW260" s="280"/>
      <c r="AX260" s="280"/>
      <c r="AY260" s="280"/>
      <c r="AZ260" s="280"/>
    </row>
    <row r="261" spans="1:52" ht="12.75" x14ac:dyDescent="0.2">
      <c r="A261" s="280"/>
      <c r="B261" s="280"/>
      <c r="C261" s="280"/>
      <c r="D261" s="280"/>
      <c r="E261" s="280"/>
      <c r="F261" s="280"/>
      <c r="G261" s="280"/>
      <c r="H261" s="280"/>
      <c r="I261" s="280"/>
      <c r="J261" s="280"/>
      <c r="K261" s="280"/>
      <c r="L261" s="280"/>
      <c r="M261" s="280"/>
      <c r="N261" s="280"/>
      <c r="O261" s="280"/>
      <c r="P261" s="280"/>
      <c r="Q261" s="280"/>
      <c r="R261" s="280"/>
      <c r="S261" s="280"/>
      <c r="T261" s="280"/>
      <c r="U261" s="280"/>
      <c r="V261" s="280"/>
      <c r="W261" s="280"/>
      <c r="X261" s="280"/>
      <c r="Y261" s="280"/>
      <c r="Z261" s="280"/>
      <c r="AA261" s="280"/>
      <c r="AB261" s="280"/>
      <c r="AC261" s="280"/>
      <c r="AD261" s="280"/>
      <c r="AE261" s="280"/>
      <c r="AF261" s="280"/>
      <c r="AG261" s="280"/>
      <c r="AH261" s="280"/>
      <c r="AI261" s="280"/>
      <c r="AJ261" s="280"/>
      <c r="AK261" s="280"/>
      <c r="AL261" s="280"/>
      <c r="AM261" s="280"/>
      <c r="AN261" s="280"/>
      <c r="AO261" s="280"/>
      <c r="AP261" s="280"/>
      <c r="AQ261" s="280"/>
      <c r="AR261" s="280"/>
      <c r="AS261" s="280"/>
      <c r="AT261" s="280"/>
      <c r="AU261" s="280"/>
      <c r="AV261" s="280"/>
      <c r="AW261" s="280"/>
      <c r="AX261" s="280"/>
      <c r="AY261" s="280"/>
      <c r="AZ261" s="280"/>
    </row>
    <row r="262" spans="1:52" ht="12.75" x14ac:dyDescent="0.2">
      <c r="A262" s="280"/>
      <c r="B262" s="280"/>
      <c r="C262" s="280"/>
      <c r="D262" s="280"/>
      <c r="E262" s="280"/>
      <c r="F262" s="280"/>
      <c r="G262" s="280"/>
      <c r="H262" s="280"/>
      <c r="I262" s="280"/>
      <c r="J262" s="280"/>
      <c r="K262" s="280"/>
      <c r="L262" s="280"/>
      <c r="M262" s="280"/>
      <c r="N262" s="280"/>
      <c r="O262" s="280"/>
      <c r="P262" s="280"/>
      <c r="Q262" s="280"/>
      <c r="R262" s="280"/>
      <c r="S262" s="280"/>
      <c r="T262" s="280"/>
      <c r="U262" s="280"/>
      <c r="V262" s="280"/>
      <c r="W262" s="280"/>
      <c r="X262" s="280"/>
      <c r="Y262" s="280"/>
      <c r="Z262" s="280"/>
      <c r="AA262" s="280"/>
      <c r="AB262" s="280"/>
      <c r="AC262" s="280"/>
      <c r="AD262" s="280"/>
      <c r="AE262" s="280"/>
      <c r="AF262" s="280"/>
      <c r="AG262" s="280"/>
      <c r="AH262" s="280"/>
      <c r="AI262" s="280"/>
      <c r="AJ262" s="280"/>
      <c r="AK262" s="280"/>
      <c r="AL262" s="280"/>
      <c r="AM262" s="280"/>
      <c r="AN262" s="280"/>
      <c r="AO262" s="280"/>
      <c r="AP262" s="280"/>
      <c r="AQ262" s="280"/>
      <c r="AR262" s="280"/>
      <c r="AS262" s="280"/>
      <c r="AT262" s="280"/>
      <c r="AU262" s="280"/>
      <c r="AV262" s="280"/>
      <c r="AW262" s="280"/>
      <c r="AX262" s="280"/>
      <c r="AY262" s="280"/>
      <c r="AZ262" s="280"/>
    </row>
    <row r="263" spans="1:52" ht="12.75" x14ac:dyDescent="0.2">
      <c r="A263" s="280"/>
      <c r="B263" s="280"/>
      <c r="C263" s="280"/>
      <c r="D263" s="280"/>
      <c r="E263" s="280"/>
      <c r="F263" s="280"/>
      <c r="G263" s="280"/>
      <c r="H263" s="280"/>
      <c r="I263" s="280"/>
      <c r="J263" s="280"/>
      <c r="K263" s="280"/>
      <c r="L263" s="280"/>
      <c r="M263" s="280"/>
      <c r="N263" s="280"/>
      <c r="O263" s="280"/>
      <c r="P263" s="280"/>
      <c r="Q263" s="280"/>
      <c r="R263" s="280"/>
      <c r="S263" s="280"/>
      <c r="T263" s="280"/>
      <c r="U263" s="280"/>
      <c r="V263" s="280"/>
      <c r="W263" s="280"/>
      <c r="X263" s="280"/>
      <c r="Y263" s="280"/>
      <c r="Z263" s="280"/>
      <c r="AA263" s="280"/>
      <c r="AB263" s="280"/>
      <c r="AC263" s="280"/>
      <c r="AD263" s="280"/>
      <c r="AE263" s="280"/>
      <c r="AF263" s="280"/>
      <c r="AG263" s="280"/>
      <c r="AH263" s="280"/>
      <c r="AI263" s="280"/>
      <c r="AJ263" s="280"/>
      <c r="AK263" s="280"/>
      <c r="AL263" s="280"/>
      <c r="AM263" s="280"/>
      <c r="AN263" s="280"/>
      <c r="AO263" s="280"/>
      <c r="AP263" s="280"/>
      <c r="AQ263" s="280"/>
      <c r="AR263" s="280"/>
      <c r="AS263" s="280"/>
      <c r="AT263" s="280"/>
      <c r="AU263" s="280"/>
      <c r="AV263" s="280"/>
      <c r="AW263" s="280"/>
      <c r="AX263" s="280"/>
      <c r="AY263" s="280"/>
      <c r="AZ263" s="280"/>
    </row>
    <row r="264" spans="1:52" ht="12.75" x14ac:dyDescent="0.2">
      <c r="A264" s="280"/>
      <c r="B264" s="280"/>
      <c r="C264" s="280"/>
      <c r="D264" s="280"/>
      <c r="E264" s="280"/>
      <c r="F264" s="280"/>
      <c r="G264" s="280"/>
      <c r="H264" s="280"/>
      <c r="I264" s="280"/>
      <c r="J264" s="280"/>
      <c r="K264" s="280"/>
      <c r="L264" s="280"/>
      <c r="M264" s="280"/>
      <c r="N264" s="280"/>
      <c r="O264" s="280"/>
      <c r="P264" s="280"/>
      <c r="Q264" s="280"/>
      <c r="R264" s="280"/>
      <c r="S264" s="280"/>
      <c r="T264" s="280"/>
      <c r="U264" s="280"/>
      <c r="V264" s="280"/>
      <c r="W264" s="280"/>
      <c r="X264" s="280"/>
      <c r="Y264" s="280"/>
      <c r="Z264" s="280"/>
      <c r="AA264" s="280"/>
      <c r="AB264" s="280"/>
      <c r="AC264" s="280"/>
      <c r="AD264" s="280"/>
      <c r="AE264" s="280"/>
      <c r="AF264" s="280"/>
      <c r="AG264" s="280"/>
      <c r="AH264" s="280"/>
      <c r="AI264" s="280"/>
      <c r="AJ264" s="280"/>
      <c r="AK264" s="280"/>
      <c r="AL264" s="280"/>
      <c r="AM264" s="280"/>
      <c r="AN264" s="280"/>
      <c r="AO264" s="280"/>
      <c r="AP264" s="280"/>
      <c r="AQ264" s="280"/>
      <c r="AR264" s="280"/>
      <c r="AS264" s="280"/>
      <c r="AT264" s="280"/>
      <c r="AU264" s="280"/>
      <c r="AV264" s="280"/>
      <c r="AW264" s="280"/>
      <c r="AX264" s="280"/>
      <c r="AY264" s="280"/>
      <c r="AZ264" s="280"/>
    </row>
    <row r="265" spans="1:52" ht="12.75" x14ac:dyDescent="0.2">
      <c r="A265" s="280"/>
      <c r="B265" s="280"/>
      <c r="C265" s="280"/>
      <c r="D265" s="280"/>
      <c r="E265" s="280"/>
      <c r="F265" s="280"/>
      <c r="G265" s="280"/>
      <c r="H265" s="280"/>
      <c r="I265" s="280"/>
      <c r="J265" s="280"/>
      <c r="K265" s="280"/>
      <c r="L265" s="280"/>
      <c r="M265" s="280"/>
      <c r="N265" s="280"/>
      <c r="O265" s="280"/>
      <c r="P265" s="280"/>
      <c r="Q265" s="280"/>
      <c r="R265" s="280"/>
      <c r="S265" s="280"/>
      <c r="T265" s="280"/>
      <c r="U265" s="280"/>
      <c r="V265" s="280"/>
      <c r="W265" s="280"/>
      <c r="X265" s="280"/>
      <c r="Y265" s="280"/>
      <c r="Z265" s="280"/>
      <c r="AA265" s="280"/>
      <c r="AB265" s="280"/>
      <c r="AC265" s="280"/>
      <c r="AD265" s="280"/>
      <c r="AE265" s="280"/>
      <c r="AF265" s="280"/>
      <c r="AG265" s="280"/>
      <c r="AH265" s="280"/>
      <c r="AI265" s="280"/>
      <c r="AJ265" s="280"/>
      <c r="AK265" s="280"/>
      <c r="AL265" s="280"/>
      <c r="AM265" s="280"/>
      <c r="AN265" s="280"/>
      <c r="AO265" s="280"/>
      <c r="AP265" s="280"/>
      <c r="AQ265" s="280"/>
      <c r="AR265" s="280"/>
      <c r="AS265" s="280"/>
      <c r="AT265" s="280"/>
      <c r="AU265" s="280"/>
      <c r="AV265" s="280"/>
      <c r="AW265" s="280"/>
      <c r="AX265" s="280"/>
      <c r="AY265" s="280"/>
      <c r="AZ265" s="280"/>
    </row>
    <row r="266" spans="1:52" ht="12.75" x14ac:dyDescent="0.2">
      <c r="A266" s="280"/>
      <c r="B266" s="280"/>
      <c r="C266" s="280"/>
      <c r="D266" s="280"/>
      <c r="E266" s="280"/>
      <c r="F266" s="280"/>
      <c r="G266" s="280"/>
      <c r="H266" s="280"/>
      <c r="I266" s="280"/>
      <c r="J266" s="280"/>
      <c r="K266" s="280"/>
      <c r="L266" s="280"/>
      <c r="M266" s="280"/>
      <c r="N266" s="280"/>
      <c r="O266" s="280"/>
      <c r="P266" s="280"/>
      <c r="Q266" s="280"/>
      <c r="R266" s="280"/>
      <c r="S266" s="280"/>
      <c r="T266" s="280"/>
      <c r="U266" s="280"/>
      <c r="V266" s="280"/>
      <c r="W266" s="280"/>
      <c r="X266" s="280"/>
      <c r="Y266" s="280"/>
      <c r="Z266" s="280"/>
      <c r="AA266" s="280"/>
      <c r="AB266" s="280"/>
      <c r="AC266" s="280"/>
      <c r="AD266" s="280"/>
      <c r="AE266" s="280"/>
      <c r="AF266" s="280"/>
      <c r="AG266" s="280"/>
      <c r="AH266" s="280"/>
      <c r="AI266" s="280"/>
      <c r="AJ266" s="280"/>
      <c r="AK266" s="280"/>
      <c r="AL266" s="280"/>
      <c r="AM266" s="280"/>
      <c r="AN266" s="280"/>
      <c r="AO266" s="280"/>
      <c r="AP266" s="280"/>
      <c r="AQ266" s="280"/>
      <c r="AR266" s="280"/>
      <c r="AS266" s="280"/>
      <c r="AT266" s="280"/>
      <c r="AU266" s="280"/>
      <c r="AV266" s="280"/>
      <c r="AW266" s="280"/>
      <c r="AX266" s="280"/>
      <c r="AY266" s="280"/>
      <c r="AZ266" s="280"/>
    </row>
    <row r="267" spans="1:52" ht="12.75" x14ac:dyDescent="0.2">
      <c r="A267" s="280"/>
      <c r="B267" s="280"/>
      <c r="C267" s="280"/>
      <c r="D267" s="280"/>
      <c r="E267" s="280"/>
      <c r="F267" s="280"/>
      <c r="G267" s="280"/>
      <c r="H267" s="280"/>
      <c r="I267" s="280"/>
      <c r="J267" s="280"/>
      <c r="K267" s="280"/>
      <c r="L267" s="280"/>
      <c r="M267" s="280"/>
      <c r="N267" s="280"/>
      <c r="O267" s="280"/>
      <c r="P267" s="280"/>
      <c r="Q267" s="280"/>
      <c r="R267" s="280"/>
      <c r="S267" s="280"/>
      <c r="T267" s="280"/>
      <c r="U267" s="280"/>
      <c r="V267" s="280"/>
      <c r="W267" s="280"/>
      <c r="X267" s="280"/>
      <c r="Y267" s="280"/>
      <c r="Z267" s="280"/>
      <c r="AA267" s="280"/>
      <c r="AB267" s="280"/>
      <c r="AC267" s="280"/>
      <c r="AD267" s="280"/>
      <c r="AE267" s="280"/>
      <c r="AF267" s="280"/>
      <c r="AG267" s="280"/>
      <c r="AH267" s="280"/>
      <c r="AI267" s="280"/>
      <c r="AJ267" s="280"/>
      <c r="AK267" s="280"/>
      <c r="AL267" s="280"/>
      <c r="AM267" s="280"/>
      <c r="AN267" s="280"/>
      <c r="AO267" s="280"/>
      <c r="AP267" s="280"/>
      <c r="AQ267" s="280"/>
      <c r="AR267" s="280"/>
      <c r="AS267" s="280"/>
      <c r="AT267" s="280"/>
      <c r="AU267" s="280"/>
      <c r="AV267" s="280"/>
      <c r="AW267" s="280"/>
      <c r="AX267" s="280"/>
      <c r="AY267" s="280"/>
      <c r="AZ267" s="280"/>
    </row>
    <row r="268" spans="1:52" ht="12.75" x14ac:dyDescent="0.2">
      <c r="A268" s="280"/>
      <c r="B268" s="280"/>
      <c r="C268" s="280"/>
      <c r="D268" s="280"/>
      <c r="E268" s="280"/>
      <c r="F268" s="280"/>
      <c r="G268" s="280"/>
      <c r="H268" s="280"/>
      <c r="I268" s="280"/>
      <c r="J268" s="280"/>
      <c r="K268" s="280"/>
      <c r="L268" s="280"/>
      <c r="M268" s="280"/>
      <c r="N268" s="280"/>
      <c r="O268" s="280"/>
      <c r="P268" s="280"/>
      <c r="Q268" s="280"/>
      <c r="R268" s="280"/>
      <c r="S268" s="280"/>
      <c r="T268" s="280"/>
      <c r="U268" s="280"/>
      <c r="V268" s="280"/>
      <c r="W268" s="280"/>
      <c r="X268" s="280"/>
      <c r="Y268" s="280"/>
      <c r="Z268" s="280"/>
      <c r="AA268" s="280"/>
      <c r="AB268" s="280"/>
      <c r="AC268" s="280"/>
      <c r="AD268" s="280"/>
      <c r="AE268" s="280"/>
      <c r="AF268" s="280"/>
      <c r="AG268" s="280"/>
      <c r="AH268" s="280"/>
      <c r="AI268" s="280"/>
      <c r="AJ268" s="280"/>
      <c r="AK268" s="280"/>
      <c r="AL268" s="280"/>
      <c r="AM268" s="280"/>
      <c r="AN268" s="280"/>
      <c r="AO268" s="280"/>
      <c r="AP268" s="280"/>
      <c r="AQ268" s="280"/>
      <c r="AR268" s="280"/>
      <c r="AS268" s="280"/>
      <c r="AT268" s="280"/>
      <c r="AU268" s="280"/>
      <c r="AV268" s="280"/>
      <c r="AW268" s="280"/>
      <c r="AX268" s="280"/>
      <c r="AY268" s="280"/>
      <c r="AZ268" s="280"/>
    </row>
    <row r="269" spans="1:52" ht="12.75" x14ac:dyDescent="0.2">
      <c r="A269" s="280"/>
      <c r="B269" s="280"/>
      <c r="C269" s="280"/>
      <c r="D269" s="280"/>
      <c r="E269" s="280"/>
      <c r="F269" s="280"/>
      <c r="G269" s="280"/>
      <c r="H269" s="280"/>
      <c r="I269" s="280"/>
      <c r="J269" s="280"/>
      <c r="K269" s="280"/>
      <c r="L269" s="280"/>
      <c r="M269" s="280"/>
      <c r="N269" s="280"/>
      <c r="O269" s="280"/>
      <c r="P269" s="280"/>
      <c r="Q269" s="280"/>
      <c r="R269" s="280"/>
      <c r="S269" s="280"/>
      <c r="T269" s="280"/>
      <c r="U269" s="280"/>
      <c r="V269" s="280"/>
      <c r="W269" s="280"/>
      <c r="X269" s="280"/>
      <c r="Y269" s="280"/>
      <c r="Z269" s="280"/>
      <c r="AA269" s="280"/>
      <c r="AB269" s="280"/>
      <c r="AC269" s="280"/>
      <c r="AD269" s="280"/>
      <c r="AE269" s="280"/>
      <c r="AF269" s="280"/>
      <c r="AG269" s="280"/>
      <c r="AH269" s="280"/>
      <c r="AI269" s="280"/>
      <c r="AJ269" s="280"/>
      <c r="AK269" s="280"/>
      <c r="AL269" s="280"/>
      <c r="AM269" s="280"/>
      <c r="AN269" s="280"/>
      <c r="AO269" s="280"/>
      <c r="AP269" s="280"/>
      <c r="AQ269" s="280"/>
      <c r="AR269" s="280"/>
      <c r="AS269" s="280"/>
      <c r="AT269" s="280"/>
      <c r="AU269" s="280"/>
      <c r="AV269" s="280"/>
      <c r="AW269" s="280"/>
      <c r="AX269" s="280"/>
      <c r="AY269" s="280"/>
      <c r="AZ269" s="280"/>
    </row>
    <row r="270" spans="1:52" ht="12.75" x14ac:dyDescent="0.2">
      <c r="A270" s="280"/>
      <c r="B270" s="280"/>
      <c r="C270" s="280"/>
      <c r="D270" s="280"/>
      <c r="E270" s="280"/>
      <c r="F270" s="280"/>
      <c r="G270" s="280"/>
      <c r="H270" s="280"/>
      <c r="I270" s="280"/>
      <c r="J270" s="280"/>
      <c r="K270" s="280"/>
      <c r="L270" s="280"/>
      <c r="M270" s="280"/>
      <c r="N270" s="280"/>
      <c r="O270" s="280"/>
      <c r="P270" s="280"/>
      <c r="Q270" s="280"/>
      <c r="R270" s="280"/>
      <c r="S270" s="280"/>
      <c r="T270" s="280"/>
      <c r="U270" s="280"/>
      <c r="V270" s="280"/>
      <c r="W270" s="280"/>
      <c r="X270" s="280"/>
      <c r="Y270" s="280"/>
      <c r="Z270" s="280"/>
      <c r="AA270" s="280"/>
      <c r="AB270" s="280"/>
      <c r="AC270" s="280"/>
      <c r="AD270" s="280"/>
      <c r="AE270" s="280"/>
      <c r="AF270" s="280"/>
      <c r="AG270" s="280"/>
      <c r="AH270" s="280"/>
      <c r="AI270" s="280"/>
      <c r="AJ270" s="280"/>
      <c r="AK270" s="280"/>
      <c r="AL270" s="280"/>
      <c r="AM270" s="280"/>
      <c r="AN270" s="280"/>
      <c r="AO270" s="280"/>
      <c r="AP270" s="280"/>
      <c r="AQ270" s="280"/>
      <c r="AR270" s="280"/>
      <c r="AS270" s="280"/>
      <c r="AT270" s="280"/>
      <c r="AU270" s="280"/>
      <c r="AV270" s="280"/>
      <c r="AW270" s="280"/>
      <c r="AX270" s="280"/>
      <c r="AY270" s="280"/>
      <c r="AZ270" s="280"/>
    </row>
    <row r="271" spans="1:52" ht="12.75" x14ac:dyDescent="0.2">
      <c r="A271" s="280"/>
      <c r="B271" s="280"/>
      <c r="C271" s="280"/>
      <c r="D271" s="280"/>
      <c r="E271" s="280"/>
      <c r="F271" s="280"/>
      <c r="G271" s="280"/>
      <c r="H271" s="280"/>
      <c r="I271" s="280"/>
      <c r="J271" s="280"/>
      <c r="K271" s="280"/>
      <c r="L271" s="280"/>
      <c r="M271" s="280"/>
      <c r="N271" s="280"/>
      <c r="O271" s="280"/>
      <c r="P271" s="280"/>
      <c r="Q271" s="280"/>
      <c r="R271" s="280"/>
      <c r="S271" s="280"/>
      <c r="T271" s="280"/>
      <c r="U271" s="280"/>
      <c r="V271" s="280"/>
      <c r="W271" s="280"/>
      <c r="X271" s="280"/>
      <c r="Y271" s="280"/>
      <c r="Z271" s="280"/>
      <c r="AA271" s="280"/>
      <c r="AB271" s="280"/>
      <c r="AC271" s="280"/>
      <c r="AD271" s="280"/>
      <c r="AE271" s="280"/>
      <c r="AF271" s="280"/>
      <c r="AG271" s="280"/>
      <c r="AH271" s="280"/>
      <c r="AI271" s="280"/>
      <c r="AJ271" s="280"/>
      <c r="AK271" s="280"/>
      <c r="AL271" s="280"/>
      <c r="AM271" s="280"/>
      <c r="AN271" s="280"/>
      <c r="AO271" s="280"/>
      <c r="AP271" s="280"/>
      <c r="AQ271" s="280"/>
      <c r="AR271" s="280"/>
      <c r="AS271" s="280"/>
      <c r="AT271" s="280"/>
      <c r="AU271" s="280"/>
      <c r="AV271" s="280"/>
      <c r="AW271" s="280"/>
      <c r="AX271" s="280"/>
      <c r="AY271" s="280"/>
      <c r="AZ271" s="280"/>
    </row>
    <row r="272" spans="1:52" ht="12.75" x14ac:dyDescent="0.2">
      <c r="A272" s="280"/>
      <c r="B272" s="280"/>
      <c r="C272" s="280"/>
      <c r="D272" s="280"/>
      <c r="E272" s="280"/>
      <c r="F272" s="280"/>
      <c r="G272" s="280"/>
      <c r="H272" s="280"/>
      <c r="I272" s="280"/>
      <c r="J272" s="280"/>
      <c r="K272" s="280"/>
      <c r="L272" s="280"/>
      <c r="M272" s="280"/>
      <c r="N272" s="280"/>
      <c r="O272" s="280"/>
      <c r="P272" s="280"/>
      <c r="Q272" s="280"/>
      <c r="R272" s="280"/>
      <c r="S272" s="280"/>
      <c r="T272" s="280"/>
      <c r="U272" s="280"/>
      <c r="V272" s="280"/>
      <c r="W272" s="280"/>
      <c r="X272" s="280"/>
      <c r="Y272" s="280"/>
      <c r="Z272" s="280"/>
      <c r="AA272" s="280"/>
      <c r="AB272" s="280"/>
      <c r="AC272" s="280"/>
      <c r="AD272" s="280"/>
      <c r="AE272" s="280"/>
      <c r="AF272" s="280"/>
      <c r="AG272" s="280"/>
      <c r="AH272" s="280"/>
      <c r="AI272" s="280"/>
      <c r="AJ272" s="280"/>
      <c r="AK272" s="280"/>
      <c r="AL272" s="280"/>
      <c r="AM272" s="280"/>
      <c r="AN272" s="280"/>
      <c r="AO272" s="280"/>
      <c r="AP272" s="280"/>
      <c r="AQ272" s="280"/>
      <c r="AR272" s="280"/>
      <c r="AS272" s="280"/>
      <c r="AT272" s="280"/>
      <c r="AU272" s="280"/>
      <c r="AV272" s="280"/>
      <c r="AW272" s="280"/>
      <c r="AX272" s="280"/>
      <c r="AY272" s="280"/>
      <c r="AZ272" s="280"/>
    </row>
    <row r="273" spans="1:52" ht="12.75" x14ac:dyDescent="0.2">
      <c r="A273" s="280"/>
      <c r="B273" s="280"/>
      <c r="C273" s="280"/>
      <c r="D273" s="280"/>
      <c r="E273" s="280"/>
      <c r="F273" s="280"/>
      <c r="G273" s="280"/>
      <c r="H273" s="280"/>
      <c r="I273" s="280"/>
      <c r="J273" s="280"/>
      <c r="K273" s="280"/>
      <c r="L273" s="280"/>
      <c r="M273" s="280"/>
      <c r="N273" s="280"/>
      <c r="O273" s="280"/>
      <c r="P273" s="280"/>
      <c r="Q273" s="280"/>
      <c r="R273" s="280"/>
      <c r="S273" s="280"/>
      <c r="T273" s="280"/>
      <c r="U273" s="280"/>
      <c r="V273" s="280"/>
      <c r="W273" s="280"/>
      <c r="X273" s="280"/>
      <c r="Y273" s="280"/>
      <c r="Z273" s="280"/>
      <c r="AA273" s="280"/>
      <c r="AB273" s="280"/>
      <c r="AC273" s="280"/>
      <c r="AD273" s="280"/>
      <c r="AE273" s="280"/>
      <c r="AF273" s="280"/>
      <c r="AG273" s="280"/>
      <c r="AH273" s="280"/>
      <c r="AI273" s="280"/>
      <c r="AJ273" s="280"/>
      <c r="AK273" s="280"/>
      <c r="AL273" s="280"/>
      <c r="AM273" s="280"/>
      <c r="AN273" s="280"/>
      <c r="AO273" s="280"/>
      <c r="AP273" s="280"/>
      <c r="AQ273" s="280"/>
      <c r="AR273" s="280"/>
      <c r="AS273" s="280"/>
      <c r="AT273" s="280"/>
      <c r="AU273" s="280"/>
      <c r="AV273" s="280"/>
      <c r="AW273" s="280"/>
      <c r="AX273" s="280"/>
      <c r="AY273" s="280"/>
      <c r="AZ273" s="280"/>
    </row>
    <row r="274" spans="1:52" ht="12.75" x14ac:dyDescent="0.2">
      <c r="A274" s="280"/>
      <c r="B274" s="280"/>
      <c r="C274" s="280"/>
      <c r="D274" s="280"/>
      <c r="E274" s="280"/>
      <c r="F274" s="280"/>
      <c r="G274" s="280"/>
      <c r="H274" s="280"/>
      <c r="I274" s="280"/>
      <c r="J274" s="280"/>
      <c r="K274" s="280"/>
      <c r="L274" s="280"/>
      <c r="M274" s="280"/>
      <c r="N274" s="280"/>
      <c r="O274" s="280"/>
      <c r="P274" s="280"/>
      <c r="Q274" s="280"/>
      <c r="R274" s="280"/>
      <c r="S274" s="280"/>
      <c r="T274" s="280"/>
      <c r="U274" s="280"/>
      <c r="V274" s="280"/>
      <c r="W274" s="280"/>
      <c r="X274" s="280"/>
      <c r="Y274" s="280"/>
      <c r="Z274" s="280"/>
      <c r="AA274" s="280"/>
      <c r="AB274" s="280"/>
      <c r="AC274" s="280"/>
      <c r="AD274" s="280"/>
      <c r="AE274" s="280"/>
      <c r="AF274" s="280"/>
      <c r="AG274" s="280"/>
      <c r="AH274" s="280"/>
      <c r="AI274" s="280"/>
      <c r="AJ274" s="280"/>
      <c r="AK274" s="280"/>
      <c r="AL274" s="280"/>
      <c r="AM274" s="280"/>
      <c r="AN274" s="280"/>
      <c r="AO274" s="280"/>
      <c r="AP274" s="280"/>
      <c r="AQ274" s="280"/>
      <c r="AR274" s="280"/>
      <c r="AS274" s="280"/>
      <c r="AT274" s="280"/>
      <c r="AU274" s="280"/>
      <c r="AV274" s="280"/>
      <c r="AW274" s="280"/>
      <c r="AX274" s="280"/>
      <c r="AY274" s="280"/>
      <c r="AZ274" s="280"/>
    </row>
    <row r="275" spans="1:52" ht="12.75" x14ac:dyDescent="0.2">
      <c r="A275" s="280"/>
      <c r="B275" s="280"/>
      <c r="C275" s="280"/>
      <c r="D275" s="280"/>
      <c r="E275" s="280"/>
      <c r="F275" s="280"/>
      <c r="G275" s="280"/>
      <c r="H275" s="280"/>
      <c r="I275" s="280"/>
      <c r="J275" s="280"/>
      <c r="K275" s="280"/>
      <c r="L275" s="280"/>
      <c r="M275" s="280"/>
      <c r="N275" s="280"/>
      <c r="O275" s="280"/>
      <c r="P275" s="280"/>
      <c r="Q275" s="280"/>
      <c r="R275" s="280"/>
      <c r="S275" s="280"/>
      <c r="T275" s="280"/>
      <c r="U275" s="280"/>
      <c r="V275" s="280"/>
      <c r="W275" s="280"/>
      <c r="X275" s="280"/>
      <c r="Y275" s="280"/>
      <c r="Z275" s="280"/>
      <c r="AA275" s="280"/>
      <c r="AB275" s="280"/>
      <c r="AC275" s="280"/>
      <c r="AD275" s="280"/>
      <c r="AE275" s="280"/>
      <c r="AF275" s="280"/>
      <c r="AG275" s="280"/>
      <c r="AH275" s="280"/>
      <c r="AI275" s="280"/>
      <c r="AJ275" s="280"/>
      <c r="AK275" s="280"/>
      <c r="AL275" s="280"/>
      <c r="AM275" s="280"/>
      <c r="AN275" s="280"/>
      <c r="AO275" s="280"/>
      <c r="AP275" s="280"/>
      <c r="AQ275" s="280"/>
      <c r="AR275" s="280"/>
      <c r="AS275" s="280"/>
      <c r="AT275" s="280"/>
      <c r="AU275" s="280"/>
      <c r="AV275" s="280"/>
      <c r="AW275" s="280"/>
      <c r="AX275" s="280"/>
      <c r="AY275" s="280"/>
      <c r="AZ275" s="280"/>
    </row>
    <row r="276" spans="1:52" ht="12.75" x14ac:dyDescent="0.2">
      <c r="A276" s="280"/>
      <c r="B276" s="280"/>
      <c r="C276" s="280"/>
      <c r="D276" s="280"/>
      <c r="E276" s="280"/>
      <c r="F276" s="280"/>
      <c r="G276" s="280"/>
      <c r="H276" s="280"/>
      <c r="I276" s="280"/>
      <c r="J276" s="280"/>
      <c r="K276" s="280"/>
      <c r="L276" s="280"/>
      <c r="M276" s="280"/>
      <c r="N276" s="280"/>
      <c r="O276" s="280"/>
      <c r="P276" s="280"/>
      <c r="Q276" s="280"/>
      <c r="R276" s="280"/>
      <c r="S276" s="280"/>
      <c r="T276" s="280"/>
      <c r="U276" s="280"/>
      <c r="V276" s="280"/>
      <c r="W276" s="280"/>
      <c r="X276" s="280"/>
      <c r="Y276" s="280"/>
      <c r="Z276" s="280"/>
      <c r="AA276" s="280"/>
      <c r="AB276" s="280"/>
      <c r="AC276" s="280"/>
      <c r="AD276" s="280"/>
      <c r="AE276" s="280"/>
      <c r="AF276" s="280"/>
      <c r="AG276" s="280"/>
      <c r="AH276" s="280"/>
      <c r="AI276" s="280"/>
      <c r="AJ276" s="280"/>
      <c r="AK276" s="280"/>
      <c r="AL276" s="280"/>
      <c r="AM276" s="280"/>
      <c r="AN276" s="280"/>
      <c r="AO276" s="280"/>
      <c r="AP276" s="280"/>
      <c r="AQ276" s="280"/>
      <c r="AR276" s="280"/>
      <c r="AS276" s="280"/>
      <c r="AT276" s="280"/>
      <c r="AU276" s="280"/>
      <c r="AV276" s="280"/>
      <c r="AW276" s="280"/>
      <c r="AX276" s="280"/>
      <c r="AY276" s="280"/>
      <c r="AZ276" s="280"/>
    </row>
    <row r="277" spans="1:52" ht="12.75" x14ac:dyDescent="0.2">
      <c r="A277" s="280"/>
      <c r="B277" s="280"/>
      <c r="C277" s="280"/>
      <c r="D277" s="280"/>
      <c r="E277" s="280"/>
      <c r="F277" s="280"/>
      <c r="G277" s="280"/>
      <c r="H277" s="280"/>
      <c r="I277" s="280"/>
      <c r="J277" s="280"/>
      <c r="K277" s="280"/>
      <c r="L277" s="280"/>
      <c r="M277" s="280"/>
      <c r="N277" s="280"/>
      <c r="O277" s="280"/>
      <c r="P277" s="280"/>
      <c r="Q277" s="280"/>
      <c r="R277" s="280"/>
      <c r="S277" s="280"/>
      <c r="T277" s="280"/>
      <c r="U277" s="280"/>
      <c r="V277" s="280"/>
      <c r="W277" s="280"/>
      <c r="X277" s="280"/>
      <c r="Y277" s="280"/>
      <c r="Z277" s="280"/>
      <c r="AA277" s="280"/>
      <c r="AB277" s="280"/>
      <c r="AC277" s="280"/>
      <c r="AD277" s="280"/>
      <c r="AE277" s="280"/>
      <c r="AF277" s="280"/>
      <c r="AG277" s="280"/>
      <c r="AH277" s="280"/>
      <c r="AI277" s="280"/>
      <c r="AJ277" s="280"/>
      <c r="AK277" s="280"/>
      <c r="AL277" s="280"/>
      <c r="AM277" s="280"/>
      <c r="AN277" s="280"/>
      <c r="AO277" s="280"/>
      <c r="AP277" s="280"/>
      <c r="AQ277" s="280"/>
      <c r="AR277" s="280"/>
      <c r="AS277" s="280"/>
      <c r="AT277" s="280"/>
      <c r="AU277" s="280"/>
      <c r="AV277" s="280"/>
      <c r="AW277" s="280"/>
      <c r="AX277" s="280"/>
      <c r="AY277" s="280"/>
      <c r="AZ277" s="280"/>
    </row>
    <row r="278" spans="1:52" ht="12.75" x14ac:dyDescent="0.2">
      <c r="A278" s="280"/>
      <c r="B278" s="280"/>
      <c r="C278" s="280"/>
      <c r="D278" s="280"/>
      <c r="E278" s="280"/>
      <c r="F278" s="280"/>
      <c r="G278" s="280"/>
      <c r="H278" s="280"/>
      <c r="I278" s="280"/>
      <c r="J278" s="280"/>
      <c r="K278" s="280"/>
      <c r="L278" s="280"/>
      <c r="M278" s="280"/>
      <c r="N278" s="280"/>
      <c r="O278" s="280"/>
      <c r="P278" s="280"/>
      <c r="Q278" s="280"/>
      <c r="R278" s="280"/>
      <c r="S278" s="280"/>
      <c r="T278" s="280"/>
      <c r="U278" s="280"/>
      <c r="V278" s="280"/>
      <c r="W278" s="280"/>
      <c r="X278" s="280"/>
      <c r="Y278" s="280"/>
      <c r="Z278" s="280"/>
      <c r="AA278" s="280"/>
      <c r="AB278" s="280"/>
      <c r="AC278" s="280"/>
      <c r="AD278" s="280"/>
      <c r="AE278" s="280"/>
      <c r="AF278" s="280"/>
      <c r="AG278" s="280"/>
      <c r="AH278" s="280"/>
      <c r="AI278" s="280"/>
      <c r="AJ278" s="280"/>
      <c r="AK278" s="280"/>
      <c r="AL278" s="280"/>
      <c r="AM278" s="280"/>
      <c r="AN278" s="280"/>
      <c r="AO278" s="280"/>
      <c r="AP278" s="280"/>
      <c r="AQ278" s="280"/>
      <c r="AR278" s="280"/>
      <c r="AS278" s="280"/>
      <c r="AT278" s="280"/>
      <c r="AU278" s="280"/>
      <c r="AV278" s="280"/>
      <c r="AW278" s="280"/>
      <c r="AX278" s="280"/>
      <c r="AY278" s="280"/>
      <c r="AZ278" s="280"/>
    </row>
    <row r="279" spans="1:52" ht="12.75" x14ac:dyDescent="0.2">
      <c r="A279" s="280"/>
      <c r="B279" s="280"/>
      <c r="C279" s="280"/>
      <c r="D279" s="280"/>
      <c r="E279" s="280"/>
      <c r="F279" s="280"/>
      <c r="G279" s="280"/>
      <c r="H279" s="280"/>
      <c r="I279" s="280"/>
      <c r="J279" s="280"/>
      <c r="K279" s="280"/>
      <c r="L279" s="280"/>
      <c r="M279" s="280"/>
      <c r="N279" s="280"/>
      <c r="O279" s="280"/>
      <c r="P279" s="280"/>
      <c r="Q279" s="280"/>
      <c r="R279" s="280"/>
      <c r="S279" s="280"/>
      <c r="T279" s="280"/>
      <c r="U279" s="280"/>
      <c r="V279" s="280"/>
      <c r="W279" s="280"/>
      <c r="X279" s="280"/>
      <c r="Y279" s="280"/>
      <c r="Z279" s="280"/>
      <c r="AA279" s="280"/>
      <c r="AB279" s="280"/>
      <c r="AC279" s="280"/>
      <c r="AD279" s="280"/>
      <c r="AE279" s="280"/>
      <c r="AF279" s="280"/>
      <c r="AG279" s="280"/>
      <c r="AH279" s="280"/>
      <c r="AI279" s="280"/>
      <c r="AJ279" s="280"/>
      <c r="AK279" s="280"/>
      <c r="AL279" s="280"/>
      <c r="AM279" s="280"/>
      <c r="AN279" s="280"/>
      <c r="AO279" s="280"/>
      <c r="AP279" s="280"/>
      <c r="AQ279" s="280"/>
      <c r="AR279" s="280"/>
      <c r="AS279" s="280"/>
      <c r="AT279" s="280"/>
      <c r="AU279" s="280"/>
      <c r="AV279" s="280"/>
      <c r="AW279" s="280"/>
      <c r="AX279" s="280"/>
      <c r="AY279" s="280"/>
      <c r="AZ279" s="280"/>
    </row>
    <row r="280" spans="1:52" ht="12.75" x14ac:dyDescent="0.2">
      <c r="A280" s="280"/>
      <c r="B280" s="280"/>
      <c r="C280" s="280"/>
      <c r="D280" s="280"/>
      <c r="E280" s="280"/>
      <c r="F280" s="280"/>
      <c r="G280" s="280"/>
      <c r="H280" s="280"/>
      <c r="I280" s="280"/>
      <c r="J280" s="280"/>
      <c r="K280" s="280"/>
      <c r="L280" s="280"/>
      <c r="M280" s="280"/>
      <c r="N280" s="280"/>
      <c r="O280" s="280"/>
      <c r="P280" s="280"/>
      <c r="Q280" s="280"/>
      <c r="R280" s="280"/>
      <c r="S280" s="280"/>
      <c r="T280" s="280"/>
      <c r="U280" s="280"/>
      <c r="V280" s="280"/>
      <c r="W280" s="280"/>
      <c r="X280" s="280"/>
      <c r="Y280" s="280"/>
      <c r="Z280" s="280"/>
      <c r="AA280" s="280"/>
      <c r="AB280" s="280"/>
      <c r="AC280" s="280"/>
      <c r="AD280" s="280"/>
      <c r="AE280" s="280"/>
      <c r="AF280" s="280"/>
      <c r="AG280" s="280"/>
      <c r="AH280" s="280"/>
      <c r="AI280" s="280"/>
      <c r="AJ280" s="280"/>
      <c r="AK280" s="280"/>
      <c r="AL280" s="280"/>
      <c r="AM280" s="280"/>
      <c r="AN280" s="280"/>
      <c r="AO280" s="280"/>
      <c r="AP280" s="280"/>
      <c r="AQ280" s="280"/>
      <c r="AR280" s="280"/>
      <c r="AS280" s="280"/>
      <c r="AT280" s="280"/>
      <c r="AU280" s="280"/>
      <c r="AV280" s="280"/>
      <c r="AW280" s="280"/>
      <c r="AX280" s="280"/>
      <c r="AY280" s="280"/>
      <c r="AZ280" s="280"/>
    </row>
    <row r="281" spans="1:52" ht="12.75" x14ac:dyDescent="0.2">
      <c r="A281" s="280"/>
      <c r="B281" s="280"/>
      <c r="C281" s="280"/>
      <c r="D281" s="280"/>
      <c r="E281" s="280"/>
      <c r="F281" s="280"/>
      <c r="G281" s="280"/>
      <c r="H281" s="280"/>
      <c r="I281" s="280"/>
      <c r="J281" s="280"/>
      <c r="K281" s="280"/>
      <c r="L281" s="280"/>
      <c r="M281" s="280"/>
      <c r="N281" s="280"/>
      <c r="O281" s="280"/>
      <c r="P281" s="280"/>
      <c r="Q281" s="280"/>
      <c r="R281" s="280"/>
      <c r="S281" s="280"/>
      <c r="T281" s="280"/>
      <c r="U281" s="280"/>
      <c r="V281" s="280"/>
      <c r="W281" s="280"/>
      <c r="X281" s="280"/>
      <c r="Y281" s="280"/>
      <c r="Z281" s="280"/>
      <c r="AA281" s="280"/>
      <c r="AB281" s="280"/>
      <c r="AC281" s="280"/>
      <c r="AD281" s="280"/>
      <c r="AE281" s="280"/>
      <c r="AF281" s="280"/>
      <c r="AG281" s="280"/>
      <c r="AH281" s="280"/>
      <c r="AI281" s="280"/>
      <c r="AJ281" s="280"/>
      <c r="AK281" s="280"/>
      <c r="AL281" s="280"/>
      <c r="AM281" s="280"/>
      <c r="AN281" s="280"/>
      <c r="AO281" s="280"/>
      <c r="AP281" s="280"/>
      <c r="AQ281" s="280"/>
      <c r="AR281" s="280"/>
      <c r="AS281" s="280"/>
      <c r="AT281" s="280"/>
      <c r="AU281" s="280"/>
      <c r="AV281" s="280"/>
      <c r="AW281" s="280"/>
      <c r="AX281" s="280"/>
      <c r="AY281" s="280"/>
      <c r="AZ281" s="280"/>
    </row>
    <row r="282" spans="1:52" ht="12.75" x14ac:dyDescent="0.2">
      <c r="A282" s="280"/>
      <c r="B282" s="280"/>
      <c r="C282" s="280"/>
      <c r="D282" s="280"/>
      <c r="E282" s="280"/>
      <c r="F282" s="280"/>
      <c r="G282" s="280"/>
      <c r="H282" s="280"/>
      <c r="I282" s="280"/>
      <c r="J282" s="280"/>
      <c r="K282" s="280"/>
      <c r="L282" s="280"/>
      <c r="M282" s="280"/>
      <c r="N282" s="280"/>
      <c r="O282" s="280"/>
      <c r="P282" s="280"/>
      <c r="Q282" s="280"/>
      <c r="R282" s="280"/>
      <c r="S282" s="280"/>
      <c r="T282" s="280"/>
      <c r="U282" s="280"/>
      <c r="V282" s="280"/>
      <c r="W282" s="280"/>
      <c r="X282" s="280"/>
      <c r="Y282" s="280"/>
      <c r="Z282" s="280"/>
      <c r="AA282" s="280"/>
      <c r="AB282" s="280"/>
      <c r="AC282" s="280"/>
      <c r="AD282" s="280"/>
      <c r="AE282" s="280"/>
      <c r="AF282" s="280"/>
      <c r="AG282" s="280"/>
      <c r="AH282" s="280"/>
      <c r="AI282" s="280"/>
      <c r="AJ282" s="280"/>
      <c r="AK282" s="280"/>
      <c r="AL282" s="280"/>
      <c r="AM282" s="280"/>
      <c r="AN282" s="280"/>
      <c r="AO282" s="280"/>
      <c r="AP282" s="280"/>
      <c r="AQ282" s="280"/>
      <c r="AR282" s="280"/>
      <c r="AS282" s="280"/>
      <c r="AT282" s="280"/>
      <c r="AU282" s="280"/>
      <c r="AV282" s="280"/>
      <c r="AW282" s="280"/>
      <c r="AX282" s="280"/>
      <c r="AY282" s="280"/>
      <c r="AZ282" s="280"/>
    </row>
    <row r="283" spans="1:52" ht="12.75" x14ac:dyDescent="0.2">
      <c r="A283" s="280"/>
      <c r="B283" s="280"/>
      <c r="C283" s="280"/>
      <c r="D283" s="280"/>
      <c r="E283" s="280"/>
      <c r="F283" s="280"/>
      <c r="G283" s="280"/>
      <c r="H283" s="280"/>
      <c r="I283" s="280"/>
      <c r="J283" s="280"/>
      <c r="K283" s="280"/>
      <c r="L283" s="280"/>
      <c r="M283" s="280"/>
      <c r="N283" s="280"/>
      <c r="O283" s="280"/>
      <c r="P283" s="280"/>
      <c r="Q283" s="280"/>
      <c r="R283" s="280"/>
      <c r="S283" s="280"/>
      <c r="T283" s="280"/>
      <c r="U283" s="280"/>
      <c r="V283" s="280"/>
      <c r="W283" s="280"/>
      <c r="X283" s="280"/>
      <c r="Y283" s="280"/>
      <c r="Z283" s="280"/>
      <c r="AA283" s="280"/>
      <c r="AB283" s="280"/>
      <c r="AC283" s="280"/>
      <c r="AD283" s="280"/>
      <c r="AE283" s="280"/>
      <c r="AF283" s="280"/>
      <c r="AG283" s="280"/>
      <c r="AH283" s="280"/>
      <c r="AI283" s="280"/>
      <c r="AJ283" s="280"/>
      <c r="AK283" s="280"/>
      <c r="AL283" s="280"/>
      <c r="AM283" s="280"/>
      <c r="AN283" s="280"/>
      <c r="AO283" s="280"/>
      <c r="AP283" s="280"/>
      <c r="AQ283" s="280"/>
      <c r="AR283" s="280"/>
      <c r="AS283" s="280"/>
      <c r="AT283" s="280"/>
      <c r="AU283" s="280"/>
      <c r="AV283" s="280"/>
      <c r="AW283" s="280"/>
      <c r="AX283" s="280"/>
      <c r="AY283" s="280"/>
      <c r="AZ283" s="280"/>
    </row>
    <row r="284" spans="1:52" ht="12.75" x14ac:dyDescent="0.2">
      <c r="A284" s="280"/>
      <c r="B284" s="280"/>
      <c r="C284" s="280"/>
      <c r="D284" s="280"/>
      <c r="E284" s="280"/>
      <c r="F284" s="280"/>
      <c r="G284" s="280"/>
      <c r="H284" s="280"/>
      <c r="I284" s="280"/>
      <c r="J284" s="280"/>
      <c r="K284" s="280"/>
      <c r="L284" s="280"/>
      <c r="M284" s="280"/>
      <c r="N284" s="280"/>
      <c r="O284" s="280"/>
      <c r="P284" s="280"/>
      <c r="Q284" s="280"/>
      <c r="R284" s="280"/>
      <c r="S284" s="280"/>
      <c r="T284" s="280"/>
      <c r="U284" s="280"/>
      <c r="V284" s="280"/>
      <c r="W284" s="280"/>
      <c r="X284" s="280"/>
      <c r="Y284" s="280"/>
      <c r="Z284" s="280"/>
      <c r="AA284" s="280"/>
      <c r="AB284" s="280"/>
      <c r="AC284" s="280"/>
      <c r="AD284" s="280"/>
      <c r="AE284" s="280"/>
      <c r="AF284" s="280"/>
      <c r="AG284" s="280"/>
      <c r="AH284" s="280"/>
      <c r="AI284" s="280"/>
      <c r="AJ284" s="280"/>
      <c r="AK284" s="280"/>
      <c r="AL284" s="280"/>
      <c r="AM284" s="280"/>
      <c r="AN284" s="280"/>
      <c r="AO284" s="280"/>
      <c r="AP284" s="280"/>
      <c r="AQ284" s="280"/>
      <c r="AR284" s="280"/>
      <c r="AS284" s="280"/>
      <c r="AT284" s="280"/>
      <c r="AU284" s="280"/>
      <c r="AV284" s="280"/>
      <c r="AW284" s="280"/>
      <c r="AX284" s="280"/>
      <c r="AY284" s="280"/>
      <c r="AZ284" s="280"/>
    </row>
    <row r="285" spans="1:52" ht="12.75" x14ac:dyDescent="0.2">
      <c r="A285" s="280"/>
      <c r="B285" s="280"/>
      <c r="C285" s="280"/>
      <c r="D285" s="280"/>
      <c r="E285" s="280"/>
      <c r="F285" s="280"/>
      <c r="G285" s="280"/>
      <c r="H285" s="280"/>
      <c r="I285" s="280"/>
      <c r="J285" s="280"/>
      <c r="K285" s="280"/>
      <c r="L285" s="280"/>
      <c r="M285" s="280"/>
      <c r="N285" s="280"/>
      <c r="O285" s="280"/>
      <c r="P285" s="280"/>
      <c r="Q285" s="280"/>
      <c r="R285" s="280"/>
      <c r="S285" s="280"/>
      <c r="T285" s="280"/>
      <c r="U285" s="280"/>
      <c r="V285" s="280"/>
      <c r="W285" s="280"/>
      <c r="X285" s="280"/>
      <c r="Y285" s="280"/>
      <c r="Z285" s="280"/>
      <c r="AA285" s="280"/>
      <c r="AB285" s="280"/>
      <c r="AC285" s="280"/>
      <c r="AD285" s="280"/>
      <c r="AE285" s="280"/>
      <c r="AF285" s="280"/>
      <c r="AG285" s="280"/>
      <c r="AH285" s="280"/>
      <c r="AI285" s="280"/>
      <c r="AJ285" s="280"/>
      <c r="AK285" s="280"/>
      <c r="AL285" s="280"/>
      <c r="AM285" s="280"/>
      <c r="AN285" s="280"/>
      <c r="AO285" s="280"/>
      <c r="AP285" s="280"/>
      <c r="AQ285" s="280"/>
      <c r="AR285" s="280"/>
      <c r="AS285" s="280"/>
      <c r="AT285" s="280"/>
      <c r="AU285" s="280"/>
      <c r="AV285" s="280"/>
      <c r="AW285" s="280"/>
      <c r="AX285" s="280"/>
      <c r="AY285" s="280"/>
      <c r="AZ285" s="280"/>
    </row>
    <row r="286" spans="1:52" ht="12.75" x14ac:dyDescent="0.2">
      <c r="A286" s="280"/>
      <c r="B286" s="280"/>
      <c r="C286" s="280"/>
      <c r="D286" s="280"/>
      <c r="E286" s="280"/>
      <c r="F286" s="280"/>
      <c r="G286" s="280"/>
      <c r="H286" s="280"/>
      <c r="I286" s="280"/>
      <c r="J286" s="280"/>
      <c r="K286" s="280"/>
      <c r="L286" s="280"/>
      <c r="M286" s="280"/>
      <c r="N286" s="280"/>
      <c r="O286" s="280"/>
      <c r="P286" s="280"/>
      <c r="Q286" s="280"/>
      <c r="R286" s="280"/>
      <c r="S286" s="280"/>
      <c r="T286" s="280"/>
      <c r="U286" s="280"/>
      <c r="V286" s="280"/>
      <c r="W286" s="280"/>
      <c r="X286" s="280"/>
      <c r="Y286" s="280"/>
      <c r="Z286" s="280"/>
      <c r="AA286" s="280"/>
      <c r="AB286" s="280"/>
      <c r="AC286" s="280"/>
      <c r="AD286" s="280"/>
      <c r="AE286" s="280"/>
      <c r="AF286" s="280"/>
      <c r="AG286" s="280"/>
      <c r="AH286" s="280"/>
      <c r="AI286" s="280"/>
      <c r="AJ286" s="280"/>
      <c r="AK286" s="280"/>
      <c r="AL286" s="280"/>
      <c r="AM286" s="280"/>
      <c r="AN286" s="280"/>
      <c r="AO286" s="280"/>
      <c r="AP286" s="280"/>
      <c r="AQ286" s="280"/>
      <c r="AR286" s="280"/>
      <c r="AS286" s="280"/>
      <c r="AT286" s="280"/>
      <c r="AU286" s="280"/>
      <c r="AV286" s="280"/>
      <c r="AW286" s="280"/>
      <c r="AX286" s="280"/>
      <c r="AY286" s="280"/>
      <c r="AZ286" s="280"/>
    </row>
    <row r="287" spans="1:52" ht="12.75" x14ac:dyDescent="0.2">
      <c r="A287" s="280"/>
      <c r="B287" s="280"/>
      <c r="C287" s="280"/>
      <c r="D287" s="280"/>
      <c r="E287" s="280"/>
      <c r="F287" s="280"/>
      <c r="G287" s="280"/>
      <c r="H287" s="280"/>
      <c r="I287" s="280"/>
      <c r="J287" s="280"/>
      <c r="K287" s="280"/>
      <c r="L287" s="280"/>
      <c r="M287" s="280"/>
      <c r="N287" s="280"/>
      <c r="O287" s="280"/>
      <c r="P287" s="280"/>
      <c r="Q287" s="280"/>
      <c r="R287" s="280"/>
      <c r="S287" s="280"/>
      <c r="T287" s="280"/>
      <c r="U287" s="280"/>
      <c r="V287" s="280"/>
      <c r="W287" s="280"/>
      <c r="X287" s="280"/>
      <c r="Y287" s="280"/>
      <c r="Z287" s="280"/>
      <c r="AA287" s="280"/>
      <c r="AB287" s="280"/>
      <c r="AC287" s="280"/>
      <c r="AD287" s="280"/>
      <c r="AE287" s="280"/>
      <c r="AF287" s="280"/>
      <c r="AG287" s="280"/>
      <c r="AH287" s="280"/>
      <c r="AI287" s="280"/>
      <c r="AJ287" s="280"/>
      <c r="AK287" s="280"/>
      <c r="AL287" s="280"/>
      <c r="AM287" s="280"/>
      <c r="AN287" s="280"/>
      <c r="AO287" s="280"/>
      <c r="AP287" s="280"/>
      <c r="AQ287" s="280"/>
      <c r="AR287" s="280"/>
      <c r="AS287" s="280"/>
      <c r="AT287" s="280"/>
      <c r="AU287" s="280"/>
      <c r="AV287" s="280"/>
      <c r="AW287" s="280"/>
      <c r="AX287" s="280"/>
      <c r="AY287" s="280"/>
      <c r="AZ287" s="280"/>
    </row>
    <row r="288" spans="1:52" ht="12.75" x14ac:dyDescent="0.2">
      <c r="A288" s="280"/>
      <c r="B288" s="280"/>
      <c r="C288" s="280"/>
      <c r="D288" s="280"/>
      <c r="E288" s="280"/>
      <c r="F288" s="280"/>
      <c r="G288" s="280"/>
      <c r="H288" s="280"/>
      <c r="I288" s="280"/>
      <c r="J288" s="280"/>
      <c r="K288" s="280"/>
      <c r="L288" s="280"/>
      <c r="M288" s="280"/>
      <c r="N288" s="280"/>
      <c r="O288" s="280"/>
      <c r="P288" s="280"/>
      <c r="Q288" s="280"/>
      <c r="R288" s="280"/>
      <c r="S288" s="280"/>
      <c r="T288" s="280"/>
      <c r="U288" s="280"/>
      <c r="V288" s="280"/>
      <c r="W288" s="280"/>
      <c r="X288" s="280"/>
      <c r="Y288" s="280"/>
      <c r="Z288" s="280"/>
      <c r="AA288" s="280"/>
      <c r="AB288" s="280"/>
      <c r="AC288" s="280"/>
      <c r="AD288" s="280"/>
      <c r="AE288" s="280"/>
      <c r="AF288" s="280"/>
      <c r="AG288" s="280"/>
      <c r="AH288" s="280"/>
      <c r="AI288" s="280"/>
      <c r="AJ288" s="280"/>
      <c r="AK288" s="280"/>
      <c r="AL288" s="280"/>
      <c r="AM288" s="280"/>
      <c r="AN288" s="280"/>
      <c r="AO288" s="280"/>
      <c r="AP288" s="280"/>
      <c r="AQ288" s="280"/>
      <c r="AR288" s="280"/>
      <c r="AS288" s="280"/>
      <c r="AT288" s="280"/>
      <c r="AU288" s="280"/>
      <c r="AV288" s="280"/>
      <c r="AW288" s="280"/>
      <c r="AX288" s="280"/>
      <c r="AY288" s="280"/>
      <c r="AZ288" s="280"/>
    </row>
    <row r="289" spans="1:52" ht="12.75" x14ac:dyDescent="0.2">
      <c r="A289" s="280"/>
      <c r="B289" s="280"/>
      <c r="C289" s="280"/>
      <c r="D289" s="280"/>
      <c r="E289" s="280"/>
      <c r="F289" s="280"/>
      <c r="G289" s="280"/>
      <c r="H289" s="280"/>
      <c r="I289" s="280"/>
      <c r="J289" s="280"/>
      <c r="K289" s="280"/>
      <c r="L289" s="280"/>
      <c r="M289" s="280"/>
      <c r="N289" s="280"/>
      <c r="O289" s="280"/>
      <c r="P289" s="280"/>
      <c r="Q289" s="280"/>
      <c r="R289" s="280"/>
      <c r="S289" s="280"/>
      <c r="T289" s="280"/>
      <c r="U289" s="280"/>
      <c r="V289" s="280"/>
      <c r="W289" s="280"/>
      <c r="X289" s="280"/>
      <c r="Y289" s="280"/>
      <c r="Z289" s="280"/>
      <c r="AA289" s="280"/>
      <c r="AB289" s="280"/>
      <c r="AC289" s="280"/>
      <c r="AD289" s="280"/>
      <c r="AE289" s="280"/>
      <c r="AF289" s="280"/>
      <c r="AG289" s="280"/>
      <c r="AH289" s="280"/>
      <c r="AI289" s="280"/>
      <c r="AJ289" s="280"/>
      <c r="AK289" s="280"/>
      <c r="AL289" s="280"/>
      <c r="AM289" s="280"/>
      <c r="AN289" s="280"/>
      <c r="AO289" s="280"/>
      <c r="AP289" s="280"/>
      <c r="AQ289" s="280"/>
      <c r="AR289" s="280"/>
      <c r="AS289" s="280"/>
      <c r="AT289" s="280"/>
      <c r="AU289" s="280"/>
      <c r="AV289" s="280"/>
      <c r="AW289" s="280"/>
      <c r="AX289" s="280"/>
      <c r="AY289" s="280"/>
      <c r="AZ289" s="280"/>
    </row>
    <row r="290" spans="1:52" ht="12.75" x14ac:dyDescent="0.2">
      <c r="A290" s="280"/>
      <c r="B290" s="280"/>
      <c r="C290" s="280"/>
      <c r="D290" s="280"/>
      <c r="E290" s="280"/>
      <c r="F290" s="280"/>
      <c r="G290" s="280"/>
      <c r="H290" s="280"/>
      <c r="I290" s="280"/>
      <c r="J290" s="280"/>
      <c r="K290" s="280"/>
      <c r="L290" s="280"/>
      <c r="M290" s="280"/>
      <c r="N290" s="280"/>
      <c r="O290" s="280"/>
      <c r="P290" s="280"/>
      <c r="Q290" s="280"/>
      <c r="R290" s="280"/>
      <c r="S290" s="280"/>
      <c r="T290" s="280"/>
      <c r="U290" s="280"/>
      <c r="V290" s="280"/>
      <c r="W290" s="280"/>
      <c r="X290" s="280"/>
      <c r="Y290" s="280"/>
      <c r="Z290" s="280"/>
      <c r="AA290" s="280"/>
      <c r="AB290" s="280"/>
      <c r="AC290" s="280"/>
      <c r="AD290" s="280"/>
      <c r="AE290" s="280"/>
      <c r="AF290" s="280"/>
      <c r="AG290" s="280"/>
      <c r="AH290" s="280"/>
      <c r="AI290" s="280"/>
      <c r="AJ290" s="280"/>
      <c r="AK290" s="280"/>
      <c r="AL290" s="280"/>
      <c r="AM290" s="280"/>
      <c r="AN290" s="280"/>
      <c r="AO290" s="280"/>
      <c r="AP290" s="280"/>
      <c r="AQ290" s="280"/>
      <c r="AR290" s="280"/>
      <c r="AS290" s="280"/>
      <c r="AT290" s="280"/>
      <c r="AU290" s="280"/>
      <c r="AV290" s="280"/>
      <c r="AW290" s="280"/>
      <c r="AX290" s="280"/>
      <c r="AY290" s="280"/>
      <c r="AZ290" s="280"/>
    </row>
    <row r="291" spans="1:52" ht="12.75" x14ac:dyDescent="0.2">
      <c r="A291" s="280"/>
      <c r="B291" s="280"/>
      <c r="C291" s="280"/>
      <c r="D291" s="280"/>
      <c r="E291" s="280"/>
      <c r="F291" s="280"/>
      <c r="G291" s="280"/>
      <c r="H291" s="280"/>
      <c r="I291" s="280"/>
      <c r="J291" s="280"/>
      <c r="K291" s="280"/>
      <c r="L291" s="280"/>
      <c r="M291" s="280"/>
      <c r="N291" s="280"/>
      <c r="O291" s="280"/>
      <c r="P291" s="280"/>
      <c r="Q291" s="280"/>
      <c r="R291" s="280"/>
      <c r="S291" s="280"/>
      <c r="T291" s="280"/>
      <c r="U291" s="280"/>
      <c r="V291" s="280"/>
      <c r="W291" s="280"/>
      <c r="X291" s="280"/>
      <c r="Y291" s="280"/>
      <c r="Z291" s="280"/>
      <c r="AA291" s="280"/>
      <c r="AB291" s="280"/>
      <c r="AC291" s="280"/>
      <c r="AD291" s="280"/>
      <c r="AE291" s="280"/>
      <c r="AF291" s="280"/>
      <c r="AG291" s="280"/>
      <c r="AH291" s="280"/>
      <c r="AI291" s="280"/>
      <c r="AJ291" s="280"/>
      <c r="AK291" s="280"/>
      <c r="AL291" s="280"/>
      <c r="AM291" s="280"/>
      <c r="AN291" s="280"/>
      <c r="AO291" s="280"/>
      <c r="AP291" s="280"/>
      <c r="AQ291" s="280"/>
      <c r="AR291" s="280"/>
      <c r="AS291" s="280"/>
      <c r="AT291" s="280"/>
      <c r="AU291" s="280"/>
      <c r="AV291" s="280"/>
      <c r="AW291" s="280"/>
      <c r="AX291" s="280"/>
      <c r="AY291" s="280"/>
      <c r="AZ291" s="280"/>
    </row>
    <row r="292" spans="1:52" ht="12.75" x14ac:dyDescent="0.2">
      <c r="A292" s="280"/>
      <c r="B292" s="280"/>
      <c r="C292" s="280"/>
      <c r="D292" s="280"/>
      <c r="E292" s="280"/>
      <c r="F292" s="280"/>
      <c r="G292" s="280"/>
      <c r="H292" s="280"/>
      <c r="I292" s="280"/>
      <c r="J292" s="280"/>
      <c r="K292" s="280"/>
      <c r="L292" s="280"/>
      <c r="M292" s="280"/>
      <c r="N292" s="280"/>
      <c r="O292" s="280"/>
      <c r="P292" s="280"/>
      <c r="Q292" s="280"/>
      <c r="R292" s="280"/>
      <c r="S292" s="280"/>
      <c r="T292" s="280"/>
      <c r="U292" s="280"/>
      <c r="V292" s="280"/>
      <c r="W292" s="280"/>
      <c r="X292" s="280"/>
      <c r="Y292" s="280"/>
      <c r="Z292" s="280"/>
      <c r="AA292" s="280"/>
      <c r="AB292" s="280"/>
      <c r="AC292" s="280"/>
      <c r="AD292" s="280"/>
      <c r="AE292" s="280"/>
      <c r="AF292" s="280"/>
      <c r="AG292" s="280"/>
      <c r="AH292" s="280"/>
      <c r="AI292" s="280"/>
      <c r="AJ292" s="280"/>
      <c r="AK292" s="280"/>
      <c r="AL292" s="280"/>
      <c r="AM292" s="280"/>
      <c r="AN292" s="280"/>
      <c r="AO292" s="280"/>
      <c r="AP292" s="280"/>
      <c r="AQ292" s="280"/>
      <c r="AR292" s="280"/>
      <c r="AS292" s="280"/>
      <c r="AT292" s="280"/>
      <c r="AU292" s="280"/>
      <c r="AV292" s="280"/>
      <c r="AW292" s="280"/>
      <c r="AX292" s="280"/>
      <c r="AY292" s="280"/>
      <c r="AZ292" s="280"/>
    </row>
    <row r="293" spans="1:52" ht="12.75" x14ac:dyDescent="0.2">
      <c r="A293" s="280"/>
      <c r="B293" s="280"/>
      <c r="C293" s="280"/>
      <c r="D293" s="280"/>
      <c r="E293" s="280"/>
      <c r="F293" s="280"/>
      <c r="G293" s="280"/>
      <c r="H293" s="280"/>
      <c r="I293" s="280"/>
      <c r="J293" s="280"/>
      <c r="K293" s="280"/>
      <c r="L293" s="280"/>
      <c r="M293" s="280"/>
      <c r="N293" s="280"/>
      <c r="O293" s="280"/>
      <c r="P293" s="280"/>
      <c r="Q293" s="280"/>
      <c r="R293" s="280"/>
      <c r="S293" s="280"/>
      <c r="T293" s="280"/>
      <c r="U293" s="280"/>
      <c r="V293" s="280"/>
      <c r="W293" s="280"/>
      <c r="X293" s="280"/>
      <c r="Y293" s="280"/>
      <c r="Z293" s="280"/>
      <c r="AA293" s="280"/>
      <c r="AB293" s="280"/>
      <c r="AC293" s="280"/>
      <c r="AD293" s="280"/>
      <c r="AE293" s="280"/>
      <c r="AF293" s="280"/>
      <c r="AG293" s="280"/>
      <c r="AH293" s="280"/>
      <c r="AI293" s="280"/>
      <c r="AJ293" s="280"/>
      <c r="AK293" s="280"/>
      <c r="AL293" s="280"/>
      <c r="AM293" s="280"/>
      <c r="AN293" s="280"/>
      <c r="AO293" s="280"/>
      <c r="AP293" s="280"/>
      <c r="AQ293" s="280"/>
      <c r="AR293" s="280"/>
      <c r="AS293" s="280"/>
      <c r="AT293" s="280"/>
      <c r="AU293" s="280"/>
      <c r="AV293" s="280"/>
      <c r="AW293" s="280"/>
      <c r="AX293" s="280"/>
      <c r="AY293" s="280"/>
      <c r="AZ293" s="280"/>
    </row>
    <row r="294" spans="1:52" ht="12.75" x14ac:dyDescent="0.2">
      <c r="A294" s="280"/>
      <c r="B294" s="280"/>
      <c r="C294" s="280"/>
      <c r="D294" s="280"/>
      <c r="E294" s="280"/>
      <c r="F294" s="280"/>
      <c r="G294" s="280"/>
      <c r="H294" s="280"/>
      <c r="I294" s="280"/>
      <c r="J294" s="280"/>
      <c r="K294" s="280"/>
      <c r="L294" s="280"/>
      <c r="M294" s="280"/>
      <c r="N294" s="280"/>
      <c r="O294" s="280"/>
      <c r="P294" s="280"/>
      <c r="Q294" s="280"/>
      <c r="R294" s="280"/>
      <c r="S294" s="280"/>
      <c r="T294" s="280"/>
      <c r="U294" s="280"/>
      <c r="V294" s="280"/>
      <c r="W294" s="280"/>
      <c r="X294" s="280"/>
      <c r="Y294" s="280"/>
      <c r="Z294" s="280"/>
      <c r="AA294" s="280"/>
      <c r="AB294" s="280"/>
      <c r="AC294" s="280"/>
      <c r="AD294" s="280"/>
      <c r="AE294" s="280"/>
      <c r="AF294" s="280"/>
      <c r="AG294" s="280"/>
      <c r="AH294" s="280"/>
      <c r="AI294" s="280"/>
      <c r="AJ294" s="280"/>
      <c r="AK294" s="280"/>
      <c r="AL294" s="280"/>
      <c r="AM294" s="280"/>
      <c r="AN294" s="280"/>
      <c r="AO294" s="280"/>
      <c r="AP294" s="280"/>
      <c r="AQ294" s="280"/>
      <c r="AR294" s="280"/>
      <c r="AS294" s="280"/>
      <c r="AT294" s="280"/>
      <c r="AU294" s="280"/>
      <c r="AV294" s="280"/>
      <c r="AW294" s="280"/>
      <c r="AX294" s="280"/>
      <c r="AY294" s="280"/>
      <c r="AZ294" s="280"/>
    </row>
    <row r="295" spans="1:52" ht="12.75" x14ac:dyDescent="0.2">
      <c r="A295" s="280"/>
      <c r="B295" s="280"/>
      <c r="C295" s="280"/>
      <c r="D295" s="280"/>
      <c r="E295" s="280"/>
      <c r="F295" s="280"/>
      <c r="G295" s="280"/>
      <c r="H295" s="280"/>
      <c r="I295" s="280"/>
      <c r="J295" s="280"/>
      <c r="K295" s="280"/>
      <c r="L295" s="280"/>
      <c r="M295" s="280"/>
      <c r="N295" s="280"/>
      <c r="O295" s="280"/>
      <c r="P295" s="280"/>
      <c r="Q295" s="280"/>
      <c r="R295" s="280"/>
      <c r="S295" s="280"/>
      <c r="T295" s="280"/>
      <c r="U295" s="280"/>
      <c r="V295" s="280"/>
      <c r="W295" s="280"/>
      <c r="X295" s="280"/>
      <c r="Y295" s="280"/>
      <c r="Z295" s="280"/>
      <c r="AA295" s="280"/>
      <c r="AB295" s="280"/>
      <c r="AC295" s="280"/>
      <c r="AD295" s="280"/>
      <c r="AE295" s="280"/>
      <c r="AF295" s="280"/>
      <c r="AG295" s="280"/>
      <c r="AH295" s="280"/>
      <c r="AI295" s="280"/>
      <c r="AJ295" s="280"/>
      <c r="AK295" s="280"/>
      <c r="AL295" s="280"/>
      <c r="AM295" s="280"/>
      <c r="AN295" s="280"/>
      <c r="AO295" s="280"/>
      <c r="AP295" s="280"/>
      <c r="AQ295" s="280"/>
      <c r="AR295" s="280"/>
      <c r="AS295" s="280"/>
      <c r="AT295" s="280"/>
      <c r="AU295" s="280"/>
      <c r="AV295" s="280"/>
      <c r="AW295" s="280"/>
      <c r="AX295" s="280"/>
      <c r="AY295" s="280"/>
      <c r="AZ295" s="280"/>
    </row>
    <row r="296" spans="1:52" ht="12.75" x14ac:dyDescent="0.2">
      <c r="A296" s="280"/>
      <c r="B296" s="280"/>
      <c r="C296" s="280"/>
      <c r="D296" s="280"/>
      <c r="E296" s="280"/>
      <c r="F296" s="280"/>
      <c r="G296" s="280"/>
      <c r="H296" s="280"/>
      <c r="I296" s="280"/>
      <c r="J296" s="280"/>
      <c r="K296" s="280"/>
      <c r="L296" s="280"/>
      <c r="M296" s="280"/>
      <c r="N296" s="280"/>
      <c r="O296" s="280"/>
      <c r="P296" s="280"/>
      <c r="Q296" s="280"/>
      <c r="R296" s="280"/>
      <c r="S296" s="280"/>
      <c r="T296" s="280"/>
      <c r="U296" s="280"/>
      <c r="V296" s="280"/>
      <c r="W296" s="280"/>
      <c r="X296" s="280"/>
      <c r="Y296" s="280"/>
      <c r="Z296" s="280"/>
      <c r="AA296" s="280"/>
      <c r="AB296" s="280"/>
      <c r="AC296" s="280"/>
      <c r="AD296" s="280"/>
      <c r="AE296" s="280"/>
      <c r="AF296" s="280"/>
      <c r="AG296" s="280"/>
      <c r="AH296" s="280"/>
      <c r="AI296" s="280"/>
      <c r="AJ296" s="280"/>
      <c r="AK296" s="280"/>
      <c r="AL296" s="280"/>
      <c r="AM296" s="280"/>
      <c r="AN296" s="280"/>
      <c r="AO296" s="280"/>
      <c r="AP296" s="280"/>
      <c r="AQ296" s="280"/>
      <c r="AR296" s="280"/>
      <c r="AS296" s="280"/>
      <c r="AT296" s="280"/>
      <c r="AU296" s="280"/>
      <c r="AV296" s="280"/>
      <c r="AW296" s="280"/>
      <c r="AX296" s="280"/>
      <c r="AY296" s="280"/>
      <c r="AZ296" s="280"/>
    </row>
    <row r="297" spans="1:52" ht="12.75" x14ac:dyDescent="0.2">
      <c r="A297" s="280"/>
      <c r="B297" s="280"/>
      <c r="C297" s="280"/>
      <c r="D297" s="280"/>
      <c r="E297" s="280"/>
      <c r="F297" s="280"/>
      <c r="G297" s="280"/>
      <c r="H297" s="280"/>
      <c r="I297" s="280"/>
      <c r="J297" s="280"/>
      <c r="K297" s="280"/>
      <c r="L297" s="280"/>
      <c r="M297" s="280"/>
      <c r="N297" s="280"/>
      <c r="O297" s="280"/>
      <c r="P297" s="280"/>
      <c r="Q297" s="280"/>
      <c r="R297" s="280"/>
      <c r="S297" s="280"/>
      <c r="T297" s="280"/>
      <c r="U297" s="280"/>
      <c r="V297" s="280"/>
      <c r="W297" s="280"/>
      <c r="X297" s="280"/>
      <c r="Y297" s="280"/>
      <c r="Z297" s="280"/>
      <c r="AA297" s="280"/>
      <c r="AB297" s="280"/>
      <c r="AC297" s="280"/>
      <c r="AD297" s="280"/>
      <c r="AE297" s="280"/>
      <c r="AF297" s="280"/>
      <c r="AG297" s="280"/>
      <c r="AH297" s="280"/>
      <c r="AI297" s="280"/>
      <c r="AJ297" s="280"/>
      <c r="AK297" s="280"/>
      <c r="AL297" s="280"/>
      <c r="AM297" s="280"/>
      <c r="AN297" s="280"/>
      <c r="AO297" s="280"/>
      <c r="AP297" s="280"/>
      <c r="AQ297" s="280"/>
      <c r="AR297" s="280"/>
      <c r="AS297" s="280"/>
      <c r="AT297" s="280"/>
      <c r="AU297" s="280"/>
      <c r="AV297" s="280"/>
      <c r="AW297" s="280"/>
      <c r="AX297" s="280"/>
      <c r="AY297" s="280"/>
      <c r="AZ297" s="280"/>
    </row>
    <row r="298" spans="1:52" ht="12.75" x14ac:dyDescent="0.2">
      <c r="A298" s="280"/>
      <c r="B298" s="280"/>
      <c r="C298" s="280"/>
      <c r="D298" s="280"/>
      <c r="E298" s="280"/>
      <c r="F298" s="280"/>
      <c r="G298" s="280"/>
      <c r="H298" s="280"/>
      <c r="I298" s="280"/>
      <c r="J298" s="280"/>
      <c r="K298" s="280"/>
      <c r="L298" s="280"/>
      <c r="M298" s="280"/>
      <c r="N298" s="280"/>
      <c r="O298" s="280"/>
      <c r="P298" s="280"/>
      <c r="Q298" s="280"/>
      <c r="R298" s="280"/>
      <c r="S298" s="280"/>
      <c r="T298" s="280"/>
      <c r="U298" s="280"/>
      <c r="V298" s="280"/>
      <c r="W298" s="280"/>
      <c r="X298" s="280"/>
      <c r="Y298" s="280"/>
      <c r="Z298" s="280"/>
      <c r="AA298" s="280"/>
      <c r="AB298" s="280"/>
      <c r="AC298" s="280"/>
      <c r="AD298" s="280"/>
      <c r="AE298" s="280"/>
      <c r="AF298" s="280"/>
      <c r="AG298" s="280"/>
      <c r="AH298" s="280"/>
      <c r="AI298" s="280"/>
      <c r="AJ298" s="280"/>
      <c r="AK298" s="280"/>
      <c r="AL298" s="280"/>
      <c r="AM298" s="280"/>
      <c r="AN298" s="280"/>
      <c r="AO298" s="280"/>
      <c r="AP298" s="280"/>
      <c r="AQ298" s="280"/>
      <c r="AR298" s="280"/>
      <c r="AS298" s="280"/>
      <c r="AT298" s="280"/>
      <c r="AU298" s="280"/>
      <c r="AV298" s="280"/>
      <c r="AW298" s="280"/>
      <c r="AX298" s="280"/>
      <c r="AY298" s="280"/>
      <c r="AZ298" s="280"/>
    </row>
    <row r="299" spans="1:52" ht="12.75" x14ac:dyDescent="0.2">
      <c r="A299" s="280"/>
      <c r="B299" s="280"/>
      <c r="C299" s="280"/>
      <c r="D299" s="280"/>
      <c r="E299" s="280"/>
      <c r="F299" s="280"/>
      <c r="G299" s="280"/>
      <c r="H299" s="280"/>
      <c r="I299" s="280"/>
      <c r="J299" s="280"/>
      <c r="K299" s="280"/>
      <c r="L299" s="280"/>
      <c r="M299" s="280"/>
      <c r="N299" s="280"/>
      <c r="O299" s="280"/>
      <c r="P299" s="280"/>
      <c r="Q299" s="280"/>
      <c r="R299" s="280"/>
      <c r="S299" s="280"/>
      <c r="T299" s="280"/>
      <c r="U299" s="280"/>
      <c r="V299" s="280"/>
      <c r="W299" s="280"/>
      <c r="X299" s="280"/>
      <c r="Y299" s="280"/>
      <c r="Z299" s="280"/>
      <c r="AA299" s="280"/>
      <c r="AB299" s="280"/>
      <c r="AC299" s="280"/>
      <c r="AD299" s="280"/>
      <c r="AE299" s="280"/>
      <c r="AF299" s="280"/>
      <c r="AG299" s="280"/>
      <c r="AH299" s="280"/>
      <c r="AI299" s="280"/>
      <c r="AJ299" s="280"/>
      <c r="AK299" s="280"/>
      <c r="AL299" s="280"/>
      <c r="AM299" s="280"/>
      <c r="AN299" s="280"/>
      <c r="AO299" s="280"/>
      <c r="AP299" s="280"/>
      <c r="AQ299" s="280"/>
      <c r="AR299" s="280"/>
      <c r="AS299" s="280"/>
      <c r="AT299" s="280"/>
      <c r="AU299" s="280"/>
      <c r="AV299" s="280"/>
      <c r="AW299" s="280"/>
      <c r="AX299" s="280"/>
      <c r="AY299" s="280"/>
      <c r="AZ299" s="280"/>
    </row>
    <row r="300" spans="1:52" ht="12.75" x14ac:dyDescent="0.2">
      <c r="A300" s="280"/>
      <c r="B300" s="280"/>
      <c r="C300" s="280"/>
      <c r="D300" s="280"/>
      <c r="E300" s="280"/>
      <c r="F300" s="280"/>
      <c r="G300" s="280"/>
      <c r="H300" s="280"/>
      <c r="I300" s="280"/>
      <c r="J300" s="280"/>
      <c r="K300" s="280"/>
      <c r="L300" s="280"/>
      <c r="M300" s="280"/>
      <c r="N300" s="280"/>
      <c r="O300" s="280"/>
      <c r="P300" s="280"/>
      <c r="Q300" s="280"/>
      <c r="R300" s="280"/>
      <c r="S300" s="280"/>
      <c r="T300" s="280"/>
      <c r="U300" s="280"/>
      <c r="V300" s="280"/>
      <c r="W300" s="280"/>
      <c r="X300" s="280"/>
      <c r="Y300" s="280"/>
      <c r="Z300" s="280"/>
      <c r="AA300" s="280"/>
      <c r="AB300" s="280"/>
      <c r="AC300" s="280"/>
      <c r="AD300" s="280"/>
      <c r="AE300" s="280"/>
      <c r="AF300" s="280"/>
      <c r="AG300" s="280"/>
      <c r="AH300" s="280"/>
      <c r="AI300" s="280"/>
      <c r="AJ300" s="280"/>
      <c r="AK300" s="280"/>
      <c r="AL300" s="280"/>
      <c r="AM300" s="280"/>
      <c r="AN300" s="280"/>
      <c r="AO300" s="280"/>
      <c r="AP300" s="280"/>
      <c r="AQ300" s="280"/>
      <c r="AR300" s="280"/>
      <c r="AS300" s="280"/>
      <c r="AT300" s="280"/>
      <c r="AU300" s="280"/>
      <c r="AV300" s="280"/>
      <c r="AW300" s="280"/>
      <c r="AX300" s="280"/>
      <c r="AY300" s="280"/>
      <c r="AZ300" s="280"/>
    </row>
    <row r="301" spans="1:52" ht="12.75" x14ac:dyDescent="0.2">
      <c r="A301" s="280"/>
      <c r="B301" s="280"/>
      <c r="C301" s="280"/>
      <c r="D301" s="280"/>
      <c r="E301" s="280"/>
      <c r="F301" s="280"/>
      <c r="G301" s="280"/>
      <c r="H301" s="280"/>
      <c r="I301" s="280"/>
      <c r="J301" s="280"/>
      <c r="K301" s="280"/>
      <c r="L301" s="280"/>
      <c r="M301" s="280"/>
      <c r="N301" s="280"/>
      <c r="O301" s="280"/>
      <c r="P301" s="280"/>
      <c r="Q301" s="280"/>
      <c r="R301" s="280"/>
      <c r="S301" s="280"/>
      <c r="T301" s="280"/>
      <c r="U301" s="280"/>
      <c r="V301" s="280"/>
      <c r="W301" s="280"/>
      <c r="X301" s="280"/>
      <c r="Y301" s="280"/>
      <c r="Z301" s="280"/>
      <c r="AA301" s="280"/>
      <c r="AB301" s="280"/>
      <c r="AC301" s="280"/>
      <c r="AD301" s="280"/>
      <c r="AE301" s="280"/>
      <c r="AF301" s="280"/>
      <c r="AG301" s="280"/>
      <c r="AH301" s="280"/>
      <c r="AI301" s="280"/>
      <c r="AJ301" s="280"/>
      <c r="AK301" s="280"/>
      <c r="AL301" s="280"/>
      <c r="AM301" s="280"/>
      <c r="AN301" s="280"/>
      <c r="AO301" s="280"/>
      <c r="AP301" s="280"/>
      <c r="AQ301" s="280"/>
      <c r="AR301" s="280"/>
      <c r="AS301" s="280"/>
      <c r="AT301" s="280"/>
      <c r="AU301" s="280"/>
      <c r="AV301" s="280"/>
      <c r="AW301" s="280"/>
      <c r="AX301" s="280"/>
      <c r="AY301" s="280"/>
      <c r="AZ301" s="280"/>
    </row>
    <row r="302" spans="1:52" ht="12.75" x14ac:dyDescent="0.2">
      <c r="A302" s="280"/>
      <c r="B302" s="280"/>
      <c r="C302" s="280"/>
      <c r="D302" s="280"/>
      <c r="E302" s="280"/>
      <c r="F302" s="280"/>
      <c r="G302" s="280"/>
      <c r="H302" s="280"/>
      <c r="I302" s="280"/>
      <c r="J302" s="280"/>
      <c r="K302" s="280"/>
      <c r="L302" s="280"/>
      <c r="M302" s="280"/>
      <c r="N302" s="280"/>
      <c r="O302" s="280"/>
      <c r="P302" s="280"/>
      <c r="Q302" s="280"/>
      <c r="R302" s="280"/>
      <c r="S302" s="280"/>
      <c r="T302" s="280"/>
      <c r="U302" s="280"/>
      <c r="V302" s="280"/>
      <c r="W302" s="280"/>
      <c r="X302" s="280"/>
      <c r="Y302" s="280"/>
      <c r="Z302" s="280"/>
      <c r="AA302" s="280"/>
      <c r="AB302" s="280"/>
      <c r="AC302" s="280"/>
      <c r="AD302" s="280"/>
      <c r="AE302" s="280"/>
      <c r="AF302" s="280"/>
      <c r="AG302" s="280"/>
      <c r="AH302" s="280"/>
      <c r="AI302" s="280"/>
      <c r="AJ302" s="280"/>
      <c r="AK302" s="280"/>
      <c r="AL302" s="280"/>
      <c r="AM302" s="280"/>
      <c r="AN302" s="280"/>
      <c r="AO302" s="280"/>
      <c r="AP302" s="280"/>
      <c r="AQ302" s="280"/>
      <c r="AR302" s="280"/>
      <c r="AS302" s="280"/>
      <c r="AT302" s="280"/>
      <c r="AU302" s="280"/>
      <c r="AV302" s="280"/>
      <c r="AW302" s="280"/>
      <c r="AX302" s="280"/>
      <c r="AY302" s="280"/>
      <c r="AZ302" s="280"/>
    </row>
    <row r="303" spans="1:52" ht="12.75" x14ac:dyDescent="0.2">
      <c r="A303" s="280"/>
      <c r="B303" s="280"/>
      <c r="C303" s="280"/>
      <c r="D303" s="280"/>
      <c r="E303" s="280"/>
      <c r="F303" s="280"/>
      <c r="G303" s="280"/>
      <c r="H303" s="280"/>
      <c r="I303" s="280"/>
      <c r="J303" s="280"/>
      <c r="K303" s="280"/>
      <c r="L303" s="280"/>
      <c r="M303" s="280"/>
      <c r="N303" s="280"/>
      <c r="O303" s="280"/>
      <c r="P303" s="280"/>
      <c r="Q303" s="280"/>
      <c r="R303" s="280"/>
      <c r="S303" s="280"/>
      <c r="T303" s="280"/>
      <c r="U303" s="280"/>
      <c r="V303" s="280"/>
      <c r="W303" s="280"/>
      <c r="X303" s="280"/>
      <c r="Y303" s="280"/>
      <c r="Z303" s="280"/>
      <c r="AA303" s="280"/>
      <c r="AB303" s="280"/>
      <c r="AC303" s="280"/>
      <c r="AD303" s="280"/>
      <c r="AE303" s="280"/>
      <c r="AF303" s="280"/>
      <c r="AG303" s="280"/>
      <c r="AH303" s="280"/>
      <c r="AI303" s="280"/>
      <c r="AJ303" s="280"/>
      <c r="AK303" s="280"/>
      <c r="AL303" s="280"/>
      <c r="AM303" s="280"/>
      <c r="AN303" s="280"/>
      <c r="AO303" s="280"/>
      <c r="AP303" s="280"/>
      <c r="AQ303" s="280"/>
      <c r="AR303" s="280"/>
      <c r="AS303" s="280"/>
      <c r="AT303" s="280"/>
      <c r="AU303" s="280"/>
      <c r="AV303" s="280"/>
      <c r="AW303" s="280"/>
      <c r="AX303" s="280"/>
      <c r="AY303" s="280"/>
      <c r="AZ303" s="280"/>
    </row>
    <row r="304" spans="1:52" ht="12.75" x14ac:dyDescent="0.2">
      <c r="A304" s="280"/>
      <c r="B304" s="280"/>
      <c r="C304" s="280"/>
      <c r="D304" s="280"/>
      <c r="E304" s="280"/>
      <c r="F304" s="280"/>
      <c r="G304" s="280"/>
      <c r="H304" s="280"/>
      <c r="I304" s="280"/>
      <c r="J304" s="280"/>
      <c r="K304" s="280"/>
      <c r="L304" s="280"/>
      <c r="M304" s="280"/>
      <c r="N304" s="280"/>
      <c r="O304" s="280"/>
      <c r="P304" s="280"/>
      <c r="Q304" s="280"/>
      <c r="R304" s="280"/>
      <c r="S304" s="280"/>
      <c r="T304" s="280"/>
      <c r="U304" s="280"/>
      <c r="V304" s="280"/>
      <c r="W304" s="280"/>
      <c r="X304" s="280"/>
      <c r="Y304" s="280"/>
      <c r="Z304" s="280"/>
      <c r="AA304" s="280"/>
      <c r="AB304" s="280"/>
      <c r="AC304" s="280"/>
      <c r="AD304" s="280"/>
      <c r="AE304" s="280"/>
      <c r="AF304" s="280"/>
      <c r="AG304" s="280"/>
      <c r="AH304" s="280"/>
      <c r="AI304" s="280"/>
      <c r="AJ304" s="280"/>
      <c r="AK304" s="280"/>
      <c r="AL304" s="280"/>
      <c r="AM304" s="280"/>
      <c r="AN304" s="280"/>
      <c r="AO304" s="280"/>
      <c r="AP304" s="280"/>
      <c r="AQ304" s="280"/>
      <c r="AR304" s="280"/>
      <c r="AS304" s="280"/>
      <c r="AT304" s="280"/>
      <c r="AU304" s="280"/>
      <c r="AV304" s="280"/>
      <c r="AW304" s="280"/>
      <c r="AX304" s="280"/>
      <c r="AY304" s="280"/>
      <c r="AZ304" s="280"/>
    </row>
    <row r="305" spans="1:52" ht="12.75" x14ac:dyDescent="0.2">
      <c r="A305" s="280"/>
      <c r="B305" s="280"/>
      <c r="C305" s="280"/>
      <c r="D305" s="280"/>
      <c r="E305" s="280"/>
      <c r="F305" s="280"/>
      <c r="G305" s="280"/>
      <c r="H305" s="280"/>
      <c r="I305" s="280"/>
      <c r="J305" s="280"/>
      <c r="K305" s="280"/>
      <c r="L305" s="280"/>
      <c r="M305" s="280"/>
      <c r="N305" s="280"/>
      <c r="O305" s="280"/>
      <c r="P305" s="280"/>
      <c r="Q305" s="280"/>
      <c r="R305" s="280"/>
      <c r="S305" s="280"/>
      <c r="T305" s="280"/>
      <c r="U305" s="280"/>
      <c r="V305" s="280"/>
      <c r="W305" s="280"/>
      <c r="X305" s="280"/>
      <c r="Y305" s="280"/>
      <c r="Z305" s="280"/>
      <c r="AA305" s="280"/>
      <c r="AB305" s="280"/>
      <c r="AC305" s="280"/>
      <c r="AD305" s="280"/>
      <c r="AE305" s="280"/>
      <c r="AF305" s="280"/>
      <c r="AG305" s="280"/>
      <c r="AH305" s="280"/>
      <c r="AI305" s="280"/>
      <c r="AJ305" s="280"/>
      <c r="AK305" s="280"/>
      <c r="AL305" s="280"/>
      <c r="AM305" s="280"/>
      <c r="AN305" s="280"/>
      <c r="AO305" s="280"/>
      <c r="AP305" s="280"/>
      <c r="AQ305" s="280"/>
      <c r="AR305" s="280"/>
      <c r="AS305" s="280"/>
      <c r="AT305" s="280"/>
      <c r="AU305" s="280"/>
      <c r="AV305" s="280"/>
      <c r="AW305" s="280"/>
      <c r="AX305" s="280"/>
      <c r="AY305" s="280"/>
      <c r="AZ305" s="280"/>
    </row>
    <row r="306" spans="1:52" ht="12.75" x14ac:dyDescent="0.2">
      <c r="A306" s="280"/>
      <c r="B306" s="280"/>
      <c r="C306" s="280"/>
      <c r="D306" s="280"/>
      <c r="E306" s="280"/>
      <c r="F306" s="280"/>
      <c r="G306" s="280"/>
      <c r="H306" s="280"/>
      <c r="I306" s="280"/>
      <c r="J306" s="280"/>
      <c r="K306" s="280"/>
      <c r="L306" s="280"/>
      <c r="M306" s="280"/>
      <c r="N306" s="280"/>
      <c r="O306" s="280"/>
      <c r="P306" s="280"/>
      <c r="Q306" s="280"/>
      <c r="R306" s="280"/>
      <c r="S306" s="280"/>
      <c r="T306" s="280"/>
      <c r="U306" s="280"/>
      <c r="V306" s="280"/>
      <c r="W306" s="280"/>
      <c r="X306" s="280"/>
      <c r="Y306" s="280"/>
      <c r="Z306" s="280"/>
      <c r="AA306" s="280"/>
      <c r="AB306" s="280"/>
      <c r="AC306" s="280"/>
      <c r="AD306" s="280"/>
      <c r="AE306" s="280"/>
      <c r="AF306" s="280"/>
      <c r="AG306" s="280"/>
      <c r="AH306" s="280"/>
      <c r="AI306" s="280"/>
      <c r="AJ306" s="280"/>
      <c r="AK306" s="280"/>
      <c r="AL306" s="280"/>
      <c r="AM306" s="280"/>
      <c r="AN306" s="280"/>
      <c r="AO306" s="280"/>
      <c r="AP306" s="280"/>
      <c r="AQ306" s="280"/>
      <c r="AR306" s="280"/>
      <c r="AS306" s="280"/>
      <c r="AT306" s="280"/>
      <c r="AU306" s="280"/>
      <c r="AV306" s="280"/>
      <c r="AW306" s="280"/>
      <c r="AX306" s="280"/>
      <c r="AY306" s="280"/>
      <c r="AZ306" s="280"/>
    </row>
    <row r="307" spans="1:52" ht="12.75" x14ac:dyDescent="0.2">
      <c r="A307" s="280"/>
      <c r="B307" s="280"/>
      <c r="C307" s="280"/>
      <c r="D307" s="280"/>
      <c r="E307" s="280"/>
      <c r="F307" s="280"/>
      <c r="G307" s="280"/>
      <c r="H307" s="280"/>
      <c r="I307" s="280"/>
      <c r="J307" s="280"/>
      <c r="K307" s="280"/>
      <c r="L307" s="280"/>
      <c r="M307" s="280"/>
      <c r="N307" s="280"/>
      <c r="O307" s="280"/>
      <c r="P307" s="280"/>
      <c r="Q307" s="280"/>
      <c r="R307" s="280"/>
      <c r="S307" s="280"/>
      <c r="T307" s="280"/>
      <c r="U307" s="280"/>
      <c r="V307" s="280"/>
      <c r="W307" s="280"/>
      <c r="X307" s="280"/>
      <c r="Y307" s="280"/>
      <c r="Z307" s="280"/>
      <c r="AA307" s="280"/>
      <c r="AB307" s="280"/>
      <c r="AC307" s="280"/>
      <c r="AD307" s="280"/>
      <c r="AE307" s="280"/>
      <c r="AF307" s="280"/>
      <c r="AG307" s="280"/>
      <c r="AH307" s="280"/>
      <c r="AI307" s="280"/>
      <c r="AJ307" s="280"/>
      <c r="AK307" s="280"/>
      <c r="AL307" s="280"/>
      <c r="AM307" s="280"/>
      <c r="AN307" s="280"/>
      <c r="AO307" s="280"/>
      <c r="AP307" s="280"/>
      <c r="AQ307" s="280"/>
      <c r="AR307" s="280"/>
      <c r="AS307" s="280"/>
      <c r="AT307" s="280"/>
      <c r="AU307" s="280"/>
      <c r="AV307" s="280"/>
      <c r="AW307" s="280"/>
      <c r="AX307" s="280"/>
      <c r="AY307" s="280"/>
      <c r="AZ307" s="280"/>
    </row>
    <row r="308" spans="1:52" ht="12.75" x14ac:dyDescent="0.2">
      <c r="A308" s="280"/>
      <c r="B308" s="280"/>
      <c r="C308" s="280"/>
      <c r="D308" s="280"/>
      <c r="E308" s="280"/>
      <c r="F308" s="280"/>
      <c r="G308" s="280"/>
      <c r="H308" s="280"/>
      <c r="I308" s="280"/>
      <c r="J308" s="280"/>
      <c r="K308" s="280"/>
      <c r="L308" s="280"/>
      <c r="M308" s="280"/>
      <c r="N308" s="280"/>
      <c r="O308" s="280"/>
      <c r="P308" s="280"/>
      <c r="Q308" s="280"/>
      <c r="R308" s="280"/>
      <c r="S308" s="280"/>
      <c r="T308" s="280"/>
      <c r="U308" s="280"/>
      <c r="V308" s="280"/>
      <c r="W308" s="280"/>
      <c r="X308" s="280"/>
      <c r="Y308" s="280"/>
      <c r="Z308" s="280"/>
      <c r="AA308" s="280"/>
      <c r="AB308" s="280"/>
      <c r="AC308" s="280"/>
      <c r="AD308" s="280"/>
      <c r="AE308" s="280"/>
      <c r="AF308" s="280"/>
      <c r="AG308" s="280"/>
      <c r="AH308" s="280"/>
      <c r="AI308" s="280"/>
      <c r="AJ308" s="280"/>
      <c r="AK308" s="280"/>
      <c r="AL308" s="280"/>
      <c r="AM308" s="280"/>
      <c r="AN308" s="280"/>
      <c r="AO308" s="280"/>
      <c r="AP308" s="280"/>
      <c r="AQ308" s="280"/>
      <c r="AR308" s="280"/>
      <c r="AS308" s="280"/>
      <c r="AT308" s="280"/>
      <c r="AU308" s="280"/>
      <c r="AV308" s="280"/>
      <c r="AW308" s="280"/>
      <c r="AX308" s="280"/>
      <c r="AY308" s="280"/>
      <c r="AZ308" s="280"/>
    </row>
    <row r="309" spans="1:52" ht="12.75" x14ac:dyDescent="0.2">
      <c r="A309" s="280"/>
      <c r="B309" s="280"/>
      <c r="C309" s="280"/>
      <c r="D309" s="280"/>
      <c r="E309" s="280"/>
      <c r="F309" s="280"/>
      <c r="G309" s="280"/>
      <c r="H309" s="280"/>
      <c r="I309" s="280"/>
      <c r="J309" s="280"/>
      <c r="K309" s="280"/>
      <c r="L309" s="280"/>
      <c r="M309" s="280"/>
      <c r="N309" s="280"/>
      <c r="O309" s="280"/>
      <c r="P309" s="280"/>
      <c r="Q309" s="280"/>
      <c r="R309" s="280"/>
      <c r="S309" s="280"/>
      <c r="T309" s="280"/>
      <c r="U309" s="280"/>
      <c r="V309" s="280"/>
      <c r="W309" s="280"/>
      <c r="X309" s="280"/>
      <c r="Y309" s="280"/>
      <c r="Z309" s="280"/>
      <c r="AA309" s="280"/>
      <c r="AB309" s="280"/>
      <c r="AC309" s="280"/>
      <c r="AD309" s="280"/>
      <c r="AE309" s="280"/>
      <c r="AF309" s="280"/>
      <c r="AG309" s="280"/>
      <c r="AH309" s="280"/>
      <c r="AI309" s="280"/>
      <c r="AJ309" s="280"/>
      <c r="AK309" s="280"/>
      <c r="AL309" s="280"/>
      <c r="AM309" s="280"/>
      <c r="AN309" s="280"/>
      <c r="AO309" s="280"/>
      <c r="AP309" s="280"/>
      <c r="AQ309" s="280"/>
      <c r="AR309" s="280"/>
      <c r="AS309" s="280"/>
      <c r="AT309" s="280"/>
      <c r="AU309" s="280"/>
      <c r="AV309" s="280"/>
      <c r="AW309" s="280"/>
      <c r="AX309" s="280"/>
      <c r="AY309" s="280"/>
      <c r="AZ309" s="280"/>
    </row>
    <row r="310" spans="1:52" ht="12.75" x14ac:dyDescent="0.2">
      <c r="A310" s="280"/>
      <c r="B310" s="280"/>
      <c r="C310" s="280"/>
      <c r="D310" s="280"/>
      <c r="E310" s="280"/>
      <c r="F310" s="280"/>
      <c r="G310" s="280"/>
      <c r="H310" s="280"/>
      <c r="I310" s="280"/>
      <c r="J310" s="280"/>
      <c r="K310" s="280"/>
      <c r="L310" s="280"/>
      <c r="M310" s="280"/>
      <c r="N310" s="280"/>
      <c r="O310" s="280"/>
      <c r="P310" s="280"/>
      <c r="Q310" s="280"/>
      <c r="R310" s="280"/>
      <c r="S310" s="280"/>
      <c r="T310" s="280"/>
      <c r="U310" s="280"/>
      <c r="V310" s="280"/>
      <c r="W310" s="280"/>
      <c r="X310" s="280"/>
      <c r="Y310" s="280"/>
      <c r="Z310" s="280"/>
      <c r="AA310" s="280"/>
      <c r="AB310" s="280"/>
      <c r="AC310" s="280"/>
      <c r="AD310" s="280"/>
      <c r="AE310" s="280"/>
      <c r="AF310" s="280"/>
      <c r="AG310" s="280"/>
      <c r="AH310" s="280"/>
      <c r="AI310" s="280"/>
      <c r="AJ310" s="280"/>
      <c r="AK310" s="280"/>
      <c r="AL310" s="280"/>
      <c r="AM310" s="280"/>
      <c r="AN310" s="280"/>
      <c r="AO310" s="280"/>
      <c r="AP310" s="280"/>
      <c r="AQ310" s="280"/>
      <c r="AR310" s="280"/>
      <c r="AS310" s="280"/>
      <c r="AT310" s="280"/>
      <c r="AU310" s="280"/>
      <c r="AV310" s="280"/>
      <c r="AW310" s="280"/>
      <c r="AX310" s="280"/>
      <c r="AY310" s="280"/>
      <c r="AZ310" s="280"/>
    </row>
    <row r="311" spans="1:52" ht="12.75" x14ac:dyDescent="0.2">
      <c r="A311" s="280"/>
      <c r="B311" s="280"/>
      <c r="C311" s="280"/>
      <c r="D311" s="280"/>
      <c r="E311" s="280"/>
      <c r="F311" s="280"/>
      <c r="G311" s="280"/>
      <c r="H311" s="280"/>
      <c r="I311" s="280"/>
      <c r="J311" s="280"/>
      <c r="K311" s="280"/>
      <c r="L311" s="280"/>
      <c r="M311" s="280"/>
      <c r="N311" s="280"/>
      <c r="O311" s="280"/>
      <c r="P311" s="280"/>
      <c r="Q311" s="280"/>
      <c r="R311" s="280"/>
      <c r="S311" s="280"/>
      <c r="T311" s="280"/>
      <c r="U311" s="280"/>
      <c r="V311" s="280"/>
      <c r="W311" s="280"/>
      <c r="X311" s="280"/>
      <c r="Y311" s="280"/>
      <c r="Z311" s="280"/>
      <c r="AA311" s="280"/>
      <c r="AB311" s="280"/>
      <c r="AC311" s="280"/>
      <c r="AD311" s="280"/>
      <c r="AE311" s="280"/>
      <c r="AF311" s="280"/>
      <c r="AG311" s="280"/>
      <c r="AH311" s="280"/>
      <c r="AI311" s="280"/>
      <c r="AJ311" s="280"/>
      <c r="AK311" s="280"/>
      <c r="AL311" s="280"/>
      <c r="AM311" s="280"/>
      <c r="AN311" s="280"/>
      <c r="AO311" s="280"/>
      <c r="AP311" s="280"/>
      <c r="AQ311" s="280"/>
      <c r="AR311" s="280"/>
      <c r="AS311" s="280"/>
      <c r="AT311" s="280"/>
      <c r="AU311" s="280"/>
      <c r="AV311" s="280"/>
      <c r="AW311" s="280"/>
      <c r="AX311" s="280"/>
      <c r="AY311" s="280"/>
      <c r="AZ311" s="280"/>
    </row>
    <row r="312" spans="1:52" ht="12.75" x14ac:dyDescent="0.2">
      <c r="A312" s="280"/>
      <c r="B312" s="280"/>
      <c r="C312" s="280"/>
      <c r="D312" s="280"/>
      <c r="E312" s="280"/>
      <c r="F312" s="280"/>
      <c r="G312" s="280"/>
      <c r="H312" s="280"/>
      <c r="I312" s="280"/>
      <c r="J312" s="280"/>
      <c r="K312" s="280"/>
      <c r="L312" s="280"/>
      <c r="M312" s="280"/>
      <c r="N312" s="280"/>
      <c r="O312" s="280"/>
      <c r="P312" s="280"/>
      <c r="Q312" s="280"/>
      <c r="R312" s="280"/>
      <c r="S312" s="280"/>
      <c r="T312" s="280"/>
      <c r="U312" s="280"/>
      <c r="V312" s="280"/>
      <c r="W312" s="280"/>
      <c r="X312" s="280"/>
      <c r="Y312" s="280"/>
      <c r="Z312" s="280"/>
      <c r="AA312" s="280"/>
      <c r="AB312" s="280"/>
      <c r="AC312" s="280"/>
      <c r="AD312" s="280"/>
      <c r="AE312" s="280"/>
      <c r="AF312" s="280"/>
      <c r="AG312" s="280"/>
      <c r="AH312" s="280"/>
      <c r="AI312" s="280"/>
      <c r="AJ312" s="280"/>
      <c r="AK312" s="280"/>
      <c r="AL312" s="280"/>
      <c r="AM312" s="280"/>
      <c r="AN312" s="280"/>
      <c r="AO312" s="280"/>
      <c r="AP312" s="280"/>
      <c r="AQ312" s="280"/>
      <c r="AR312" s="280"/>
      <c r="AS312" s="280"/>
      <c r="AT312" s="280"/>
      <c r="AU312" s="280"/>
      <c r="AV312" s="280"/>
      <c r="AW312" s="280"/>
      <c r="AX312" s="280"/>
      <c r="AY312" s="280"/>
      <c r="AZ312" s="280"/>
    </row>
    <row r="313" spans="1:52" ht="12.75" x14ac:dyDescent="0.2">
      <c r="A313" s="280"/>
      <c r="B313" s="280"/>
      <c r="C313" s="280"/>
      <c r="D313" s="280"/>
      <c r="E313" s="280"/>
      <c r="F313" s="280"/>
      <c r="G313" s="280"/>
      <c r="H313" s="280"/>
      <c r="I313" s="280"/>
      <c r="J313" s="280"/>
      <c r="K313" s="280"/>
      <c r="L313" s="280"/>
      <c r="M313" s="280"/>
      <c r="N313" s="280"/>
      <c r="O313" s="280"/>
      <c r="P313" s="280"/>
      <c r="Q313" s="280"/>
      <c r="R313" s="280"/>
      <c r="S313" s="280"/>
      <c r="T313" s="280"/>
      <c r="U313" s="280"/>
      <c r="V313" s="280"/>
      <c r="W313" s="280"/>
      <c r="X313" s="280"/>
      <c r="Y313" s="280"/>
      <c r="Z313" s="280"/>
      <c r="AA313" s="280"/>
      <c r="AB313" s="280"/>
      <c r="AC313" s="280"/>
      <c r="AD313" s="280"/>
      <c r="AE313" s="280"/>
      <c r="AF313" s="280"/>
      <c r="AG313" s="280"/>
      <c r="AH313" s="280"/>
      <c r="AI313" s="280"/>
      <c r="AJ313" s="280"/>
      <c r="AK313" s="280"/>
      <c r="AL313" s="280"/>
      <c r="AM313" s="280"/>
      <c r="AN313" s="280"/>
      <c r="AO313" s="280"/>
      <c r="AP313" s="280"/>
      <c r="AQ313" s="280"/>
      <c r="AR313" s="280"/>
      <c r="AS313" s="280"/>
      <c r="AT313" s="280"/>
      <c r="AU313" s="280"/>
      <c r="AV313" s="280"/>
      <c r="AW313" s="280"/>
      <c r="AX313" s="280"/>
      <c r="AY313" s="280"/>
      <c r="AZ313" s="280"/>
    </row>
    <row r="314" spans="1:52" ht="12.75" x14ac:dyDescent="0.2">
      <c r="A314" s="280"/>
      <c r="B314" s="280"/>
      <c r="C314" s="280"/>
      <c r="D314" s="280"/>
      <c r="E314" s="280"/>
      <c r="F314" s="280"/>
      <c r="G314" s="280"/>
      <c r="H314" s="280"/>
      <c r="I314" s="280"/>
      <c r="J314" s="280"/>
      <c r="K314" s="280"/>
      <c r="L314" s="280"/>
      <c r="M314" s="280"/>
      <c r="N314" s="280"/>
      <c r="O314" s="280"/>
      <c r="P314" s="280"/>
      <c r="Q314" s="280"/>
      <c r="R314" s="280"/>
      <c r="S314" s="280"/>
      <c r="T314" s="280"/>
      <c r="U314" s="280"/>
      <c r="V314" s="280"/>
      <c r="W314" s="280"/>
      <c r="X314" s="280"/>
      <c r="Y314" s="280"/>
      <c r="Z314" s="280"/>
      <c r="AA314" s="280"/>
      <c r="AB314" s="280"/>
      <c r="AC314" s="280"/>
      <c r="AD314" s="280"/>
      <c r="AE314" s="280"/>
      <c r="AF314" s="280"/>
      <c r="AG314" s="280"/>
      <c r="AH314" s="280"/>
      <c r="AI314" s="280"/>
      <c r="AJ314" s="280"/>
      <c r="AK314" s="280"/>
      <c r="AL314" s="280"/>
      <c r="AM314" s="280"/>
      <c r="AN314" s="280"/>
      <c r="AO314" s="280"/>
      <c r="AP314" s="280"/>
      <c r="AQ314" s="280"/>
      <c r="AR314" s="280"/>
      <c r="AS314" s="280"/>
      <c r="AT314" s="280"/>
      <c r="AU314" s="280"/>
      <c r="AV314" s="280"/>
      <c r="AW314" s="280"/>
      <c r="AX314" s="280"/>
      <c r="AY314" s="280"/>
      <c r="AZ314" s="280"/>
    </row>
    <row r="315" spans="1:52" ht="12.75" x14ac:dyDescent="0.2">
      <c r="A315" s="280"/>
      <c r="B315" s="280"/>
      <c r="C315" s="280"/>
      <c r="D315" s="280"/>
      <c r="E315" s="280"/>
      <c r="F315" s="280"/>
      <c r="G315" s="280"/>
      <c r="H315" s="280"/>
      <c r="I315" s="280"/>
      <c r="J315" s="280"/>
      <c r="K315" s="280"/>
      <c r="L315" s="280"/>
      <c r="M315" s="280"/>
      <c r="N315" s="280"/>
      <c r="O315" s="280"/>
      <c r="P315" s="280"/>
      <c r="Q315" s="280"/>
      <c r="R315" s="280"/>
      <c r="S315" s="280"/>
      <c r="T315" s="280"/>
      <c r="U315" s="280"/>
      <c r="V315" s="280"/>
      <c r="W315" s="280"/>
      <c r="X315" s="280"/>
      <c r="Y315" s="280"/>
      <c r="Z315" s="280"/>
      <c r="AA315" s="280"/>
      <c r="AB315" s="280"/>
      <c r="AC315" s="280"/>
      <c r="AD315" s="280"/>
      <c r="AE315" s="280"/>
      <c r="AF315" s="280"/>
      <c r="AG315" s="280"/>
      <c r="AH315" s="280"/>
      <c r="AI315" s="280"/>
      <c r="AJ315" s="280"/>
      <c r="AK315" s="280"/>
      <c r="AL315" s="280"/>
      <c r="AM315" s="280"/>
      <c r="AN315" s="280"/>
      <c r="AO315" s="280"/>
      <c r="AP315" s="280"/>
      <c r="AQ315" s="280"/>
      <c r="AR315" s="280"/>
      <c r="AS315" s="280"/>
      <c r="AT315" s="280"/>
      <c r="AU315" s="280"/>
      <c r="AV315" s="280"/>
      <c r="AW315" s="280"/>
      <c r="AX315" s="280"/>
      <c r="AY315" s="280"/>
      <c r="AZ315" s="280"/>
    </row>
    <row r="316" spans="1:52" ht="12.75" x14ac:dyDescent="0.2">
      <c r="A316" s="280"/>
      <c r="B316" s="280"/>
      <c r="C316" s="280"/>
      <c r="D316" s="280"/>
      <c r="E316" s="280"/>
      <c r="F316" s="280"/>
      <c r="G316" s="280"/>
      <c r="H316" s="280"/>
      <c r="I316" s="280"/>
      <c r="J316" s="280"/>
      <c r="K316" s="280"/>
      <c r="L316" s="280"/>
      <c r="M316" s="280"/>
      <c r="N316" s="280"/>
      <c r="O316" s="280"/>
      <c r="P316" s="280"/>
      <c r="Q316" s="280"/>
      <c r="R316" s="280"/>
      <c r="S316" s="280"/>
      <c r="T316" s="280"/>
      <c r="U316" s="280"/>
      <c r="V316" s="280"/>
      <c r="W316" s="280"/>
      <c r="X316" s="280"/>
      <c r="Y316" s="280"/>
      <c r="Z316" s="280"/>
      <c r="AA316" s="280"/>
      <c r="AB316" s="280"/>
      <c r="AC316" s="280"/>
      <c r="AD316" s="280"/>
      <c r="AE316" s="280"/>
      <c r="AF316" s="280"/>
      <c r="AG316" s="280"/>
      <c r="AH316" s="280"/>
      <c r="AI316" s="280"/>
      <c r="AJ316" s="280"/>
      <c r="AK316" s="280"/>
      <c r="AL316" s="280"/>
      <c r="AM316" s="280"/>
      <c r="AN316" s="280"/>
      <c r="AO316" s="280"/>
      <c r="AP316" s="280"/>
      <c r="AQ316" s="280"/>
      <c r="AR316" s="280"/>
      <c r="AS316" s="280"/>
      <c r="AT316" s="280"/>
      <c r="AU316" s="280"/>
      <c r="AV316" s="280"/>
      <c r="AW316" s="280"/>
      <c r="AX316" s="280"/>
      <c r="AY316" s="280"/>
      <c r="AZ316" s="280"/>
    </row>
    <row r="317" spans="1:52" ht="12.75" x14ac:dyDescent="0.2">
      <c r="A317" s="280"/>
      <c r="B317" s="280"/>
      <c r="C317" s="280"/>
      <c r="D317" s="280"/>
      <c r="E317" s="280"/>
      <c r="F317" s="280"/>
      <c r="G317" s="280"/>
      <c r="H317" s="280"/>
      <c r="I317" s="280"/>
      <c r="J317" s="280"/>
      <c r="K317" s="280"/>
      <c r="L317" s="280"/>
      <c r="M317" s="280"/>
      <c r="N317" s="280"/>
      <c r="O317" s="280"/>
      <c r="P317" s="280"/>
      <c r="Q317" s="280"/>
      <c r="R317" s="280"/>
      <c r="S317" s="280"/>
      <c r="T317" s="280"/>
      <c r="U317" s="280"/>
      <c r="V317" s="280"/>
      <c r="W317" s="280"/>
      <c r="X317" s="280"/>
      <c r="Y317" s="280"/>
      <c r="Z317" s="280"/>
      <c r="AA317" s="280"/>
      <c r="AB317" s="280"/>
      <c r="AC317" s="280"/>
      <c r="AD317" s="280"/>
      <c r="AE317" s="280"/>
      <c r="AF317" s="280"/>
      <c r="AG317" s="280"/>
      <c r="AH317" s="280"/>
      <c r="AI317" s="280"/>
      <c r="AJ317" s="280"/>
      <c r="AK317" s="280"/>
      <c r="AL317" s="280"/>
      <c r="AM317" s="280"/>
      <c r="AN317" s="280"/>
      <c r="AO317" s="280"/>
      <c r="AP317" s="280"/>
      <c r="AQ317" s="280"/>
      <c r="AR317" s="280"/>
      <c r="AS317" s="280"/>
      <c r="AT317" s="280"/>
      <c r="AU317" s="280"/>
      <c r="AV317" s="280"/>
      <c r="AW317" s="280"/>
      <c r="AX317" s="280"/>
      <c r="AY317" s="280"/>
      <c r="AZ317" s="280"/>
    </row>
    <row r="318" spans="1:52" ht="12.75" x14ac:dyDescent="0.2">
      <c r="A318" s="280"/>
      <c r="B318" s="280"/>
      <c r="C318" s="280"/>
      <c r="D318" s="280"/>
      <c r="E318" s="280"/>
      <c r="F318" s="280"/>
      <c r="G318" s="280"/>
      <c r="H318" s="280"/>
      <c r="I318" s="280"/>
      <c r="J318" s="280"/>
      <c r="K318" s="280"/>
      <c r="L318" s="280"/>
      <c r="M318" s="280"/>
      <c r="N318" s="280"/>
      <c r="O318" s="280"/>
      <c r="P318" s="280"/>
      <c r="Q318" s="280"/>
      <c r="R318" s="280"/>
      <c r="S318" s="280"/>
      <c r="T318" s="280"/>
      <c r="U318" s="280"/>
      <c r="V318" s="280"/>
      <c r="W318" s="280"/>
      <c r="X318" s="280"/>
      <c r="Y318" s="280"/>
      <c r="Z318" s="280"/>
      <c r="AA318" s="280"/>
      <c r="AB318" s="280"/>
      <c r="AC318" s="280"/>
      <c r="AD318" s="280"/>
      <c r="AE318" s="280"/>
      <c r="AF318" s="280"/>
      <c r="AG318" s="280"/>
      <c r="AH318" s="280"/>
      <c r="AI318" s="280"/>
      <c r="AJ318" s="280"/>
      <c r="AK318" s="280"/>
      <c r="AL318" s="280"/>
      <c r="AM318" s="280"/>
      <c r="AN318" s="280"/>
      <c r="AO318" s="280"/>
      <c r="AP318" s="280"/>
      <c r="AQ318" s="280"/>
      <c r="AR318" s="280"/>
      <c r="AS318" s="280"/>
      <c r="AT318" s="280"/>
      <c r="AU318" s="280"/>
      <c r="AV318" s="280"/>
      <c r="AW318" s="280"/>
      <c r="AX318" s="280"/>
      <c r="AY318" s="280"/>
      <c r="AZ318" s="280"/>
    </row>
    <row r="319" spans="1:52" ht="12.75" x14ac:dyDescent="0.2">
      <c r="A319" s="280"/>
      <c r="B319" s="280"/>
      <c r="C319" s="280"/>
      <c r="D319" s="280"/>
      <c r="E319" s="280"/>
      <c r="F319" s="280"/>
      <c r="G319" s="280"/>
      <c r="H319" s="280"/>
      <c r="I319" s="280"/>
      <c r="J319" s="280"/>
      <c r="K319" s="280"/>
      <c r="L319" s="280"/>
      <c r="M319" s="280"/>
      <c r="N319" s="280"/>
      <c r="O319" s="280"/>
      <c r="P319" s="280"/>
      <c r="Q319" s="280"/>
      <c r="R319" s="280"/>
      <c r="S319" s="280"/>
      <c r="T319" s="280"/>
      <c r="U319" s="280"/>
      <c r="V319" s="280"/>
      <c r="W319" s="280"/>
      <c r="X319" s="280"/>
      <c r="Y319" s="280"/>
      <c r="Z319" s="280"/>
      <c r="AA319" s="280"/>
      <c r="AB319" s="280"/>
      <c r="AC319" s="280"/>
      <c r="AD319" s="280"/>
      <c r="AE319" s="280"/>
      <c r="AF319" s="280"/>
      <c r="AG319" s="280"/>
      <c r="AH319" s="280"/>
      <c r="AI319" s="280"/>
      <c r="AJ319" s="280"/>
      <c r="AK319" s="280"/>
      <c r="AL319" s="280"/>
      <c r="AM319" s="280"/>
      <c r="AN319" s="280"/>
      <c r="AO319" s="280"/>
      <c r="AP319" s="280"/>
      <c r="AQ319" s="280"/>
      <c r="AR319" s="280"/>
      <c r="AS319" s="280"/>
      <c r="AT319" s="280"/>
      <c r="AU319" s="280"/>
      <c r="AV319" s="280"/>
      <c r="AW319" s="280"/>
      <c r="AX319" s="280"/>
      <c r="AY319" s="280"/>
      <c r="AZ319" s="280"/>
    </row>
    <row r="320" spans="1:52" ht="12.75" x14ac:dyDescent="0.2">
      <c r="A320" s="280"/>
      <c r="B320" s="280"/>
      <c r="C320" s="280"/>
      <c r="D320" s="280"/>
      <c r="E320" s="280"/>
      <c r="F320" s="280"/>
      <c r="G320" s="280"/>
      <c r="H320" s="280"/>
      <c r="I320" s="280"/>
      <c r="J320" s="280"/>
      <c r="K320" s="280"/>
      <c r="L320" s="280"/>
      <c r="M320" s="280"/>
      <c r="N320" s="280"/>
      <c r="O320" s="280"/>
      <c r="P320" s="280"/>
      <c r="Q320" s="280"/>
      <c r="R320" s="280"/>
      <c r="S320" s="280"/>
      <c r="T320" s="280"/>
      <c r="U320" s="280"/>
      <c r="V320" s="280"/>
      <c r="W320" s="280"/>
      <c r="X320" s="280"/>
      <c r="Y320" s="280"/>
      <c r="Z320" s="280"/>
      <c r="AA320" s="280"/>
      <c r="AB320" s="280"/>
      <c r="AC320" s="280"/>
      <c r="AD320" s="280"/>
      <c r="AE320" s="280"/>
      <c r="AF320" s="280"/>
      <c r="AG320" s="280"/>
      <c r="AH320" s="280"/>
      <c r="AI320" s="280"/>
      <c r="AJ320" s="280"/>
      <c r="AK320" s="280"/>
      <c r="AL320" s="280"/>
      <c r="AM320" s="280"/>
      <c r="AN320" s="280"/>
      <c r="AO320" s="280"/>
      <c r="AP320" s="280"/>
      <c r="AQ320" s="280"/>
      <c r="AR320" s="280"/>
      <c r="AS320" s="280"/>
      <c r="AT320" s="280"/>
      <c r="AU320" s="280"/>
      <c r="AV320" s="280"/>
      <c r="AW320" s="280"/>
      <c r="AX320" s="280"/>
      <c r="AY320" s="280"/>
      <c r="AZ320" s="280"/>
    </row>
    <row r="321" spans="1:52" ht="12.75" x14ac:dyDescent="0.2">
      <c r="A321" s="280"/>
      <c r="B321" s="280"/>
      <c r="C321" s="280"/>
      <c r="D321" s="280"/>
      <c r="E321" s="280"/>
      <c r="F321" s="280"/>
      <c r="G321" s="280"/>
      <c r="H321" s="280"/>
      <c r="I321" s="280"/>
      <c r="J321" s="280"/>
      <c r="K321" s="280"/>
      <c r="L321" s="280"/>
      <c r="M321" s="280"/>
      <c r="N321" s="280"/>
      <c r="O321" s="280"/>
      <c r="P321" s="280"/>
      <c r="Q321" s="280"/>
      <c r="R321" s="280"/>
      <c r="S321" s="280"/>
      <c r="T321" s="280"/>
      <c r="U321" s="280"/>
      <c r="V321" s="280"/>
      <c r="W321" s="280"/>
      <c r="X321" s="280"/>
      <c r="Y321" s="280"/>
      <c r="Z321" s="280"/>
      <c r="AA321" s="280"/>
      <c r="AB321" s="280"/>
      <c r="AC321" s="280"/>
      <c r="AD321" s="280"/>
      <c r="AE321" s="280"/>
      <c r="AF321" s="280"/>
      <c r="AG321" s="280"/>
      <c r="AH321" s="280"/>
      <c r="AI321" s="280"/>
      <c r="AJ321" s="280"/>
      <c r="AK321" s="280"/>
      <c r="AL321" s="280"/>
      <c r="AM321" s="280"/>
      <c r="AN321" s="280"/>
      <c r="AO321" s="280"/>
      <c r="AP321" s="280"/>
      <c r="AQ321" s="280"/>
      <c r="AR321" s="280"/>
      <c r="AS321" s="280"/>
      <c r="AT321" s="280"/>
      <c r="AU321" s="280"/>
      <c r="AV321" s="280"/>
      <c r="AW321" s="280"/>
      <c r="AX321" s="280"/>
      <c r="AY321" s="280"/>
      <c r="AZ321" s="280"/>
    </row>
    <row r="322" spans="1:52" ht="12.75" x14ac:dyDescent="0.2">
      <c r="A322" s="280"/>
      <c r="B322" s="280"/>
      <c r="C322" s="280"/>
      <c r="D322" s="280"/>
      <c r="E322" s="280"/>
      <c r="F322" s="280"/>
      <c r="G322" s="280"/>
      <c r="H322" s="280"/>
      <c r="I322" s="280"/>
      <c r="J322" s="280"/>
      <c r="K322" s="280"/>
      <c r="L322" s="280"/>
      <c r="M322" s="280"/>
      <c r="N322" s="280"/>
      <c r="O322" s="280"/>
      <c r="P322" s="280"/>
      <c r="Q322" s="280"/>
      <c r="R322" s="280"/>
      <c r="S322" s="280"/>
      <c r="T322" s="280"/>
      <c r="U322" s="280"/>
      <c r="V322" s="280"/>
      <c r="W322" s="280"/>
      <c r="X322" s="280"/>
      <c r="Y322" s="280"/>
      <c r="Z322" s="280"/>
      <c r="AA322" s="280"/>
      <c r="AB322" s="280"/>
      <c r="AC322" s="280"/>
      <c r="AD322" s="280"/>
      <c r="AE322" s="280"/>
      <c r="AF322" s="280"/>
      <c r="AG322" s="280"/>
      <c r="AH322" s="280"/>
      <c r="AI322" s="280"/>
      <c r="AJ322" s="280"/>
      <c r="AK322" s="280"/>
      <c r="AL322" s="280"/>
      <c r="AM322" s="280"/>
      <c r="AN322" s="280"/>
      <c r="AO322" s="280"/>
      <c r="AP322" s="280"/>
      <c r="AQ322" s="280"/>
      <c r="AR322" s="280"/>
      <c r="AS322" s="280"/>
      <c r="AT322" s="280"/>
      <c r="AU322" s="280"/>
      <c r="AV322" s="280"/>
      <c r="AW322" s="280"/>
      <c r="AX322" s="280"/>
      <c r="AY322" s="280"/>
      <c r="AZ322" s="280"/>
    </row>
    <row r="323" spans="1:52" ht="12.75" x14ac:dyDescent="0.2">
      <c r="A323" s="280"/>
      <c r="B323" s="280"/>
      <c r="C323" s="280"/>
      <c r="D323" s="280"/>
      <c r="E323" s="280"/>
      <c r="F323" s="280"/>
      <c r="G323" s="280"/>
      <c r="H323" s="280"/>
      <c r="I323" s="280"/>
      <c r="J323" s="280"/>
      <c r="K323" s="280"/>
      <c r="L323" s="280"/>
      <c r="M323" s="280"/>
      <c r="N323" s="280"/>
      <c r="O323" s="280"/>
      <c r="P323" s="280"/>
      <c r="Q323" s="280"/>
      <c r="R323" s="280"/>
      <c r="S323" s="280"/>
      <c r="T323" s="280"/>
      <c r="U323" s="280"/>
      <c r="V323" s="280"/>
      <c r="W323" s="280"/>
      <c r="X323" s="280"/>
      <c r="Y323" s="280"/>
      <c r="Z323" s="280"/>
      <c r="AA323" s="280"/>
      <c r="AB323" s="280"/>
      <c r="AC323" s="280"/>
      <c r="AD323" s="280"/>
      <c r="AE323" s="280"/>
      <c r="AF323" s="280"/>
      <c r="AG323" s="280"/>
      <c r="AH323" s="280"/>
      <c r="AI323" s="280"/>
      <c r="AJ323" s="280"/>
      <c r="AK323" s="280"/>
      <c r="AL323" s="280"/>
      <c r="AM323" s="280"/>
      <c r="AN323" s="280"/>
      <c r="AO323" s="280"/>
      <c r="AP323" s="280"/>
      <c r="AQ323" s="280"/>
      <c r="AR323" s="280"/>
      <c r="AS323" s="280"/>
      <c r="AT323" s="280"/>
      <c r="AU323" s="280"/>
      <c r="AV323" s="280"/>
      <c r="AW323" s="280"/>
      <c r="AX323" s="280"/>
      <c r="AY323" s="280"/>
      <c r="AZ323" s="280"/>
    </row>
    <row r="324" spans="1:52" ht="12.75" x14ac:dyDescent="0.2">
      <c r="A324" s="280"/>
      <c r="B324" s="280"/>
      <c r="C324" s="280"/>
      <c r="D324" s="280"/>
      <c r="E324" s="280"/>
      <c r="F324" s="280"/>
      <c r="G324" s="280"/>
      <c r="H324" s="280"/>
      <c r="I324" s="280"/>
      <c r="J324" s="280"/>
      <c r="K324" s="280"/>
      <c r="L324" s="280"/>
      <c r="M324" s="280"/>
      <c r="N324" s="280"/>
      <c r="O324" s="280"/>
      <c r="P324" s="280"/>
      <c r="Q324" s="280"/>
      <c r="R324" s="280"/>
      <c r="S324" s="280"/>
      <c r="T324" s="280"/>
      <c r="U324" s="280"/>
      <c r="V324" s="280"/>
      <c r="W324" s="280"/>
      <c r="X324" s="280"/>
      <c r="Y324" s="280"/>
      <c r="Z324" s="280"/>
      <c r="AA324" s="280"/>
      <c r="AB324" s="280"/>
      <c r="AC324" s="280"/>
      <c r="AD324" s="280"/>
      <c r="AE324" s="280"/>
      <c r="AF324" s="280"/>
      <c r="AG324" s="280"/>
      <c r="AH324" s="280"/>
      <c r="AI324" s="280"/>
      <c r="AJ324" s="280"/>
      <c r="AK324" s="280"/>
      <c r="AL324" s="280"/>
      <c r="AM324" s="280"/>
      <c r="AN324" s="280"/>
      <c r="AO324" s="280"/>
      <c r="AP324" s="280"/>
      <c r="AQ324" s="280"/>
      <c r="AR324" s="280"/>
      <c r="AS324" s="280"/>
      <c r="AT324" s="280"/>
      <c r="AU324" s="280"/>
      <c r="AV324" s="280"/>
      <c r="AW324" s="280"/>
      <c r="AX324" s="280"/>
      <c r="AY324" s="280"/>
      <c r="AZ324" s="280"/>
    </row>
    <row r="325" spans="1:52" ht="12.75" x14ac:dyDescent="0.2">
      <c r="A325" s="280"/>
      <c r="B325" s="280"/>
      <c r="C325" s="280"/>
      <c r="D325" s="280"/>
      <c r="E325" s="280"/>
      <c r="F325" s="280"/>
      <c r="G325" s="280"/>
      <c r="H325" s="280"/>
      <c r="I325" s="280"/>
      <c r="J325" s="280"/>
      <c r="K325" s="280"/>
      <c r="L325" s="280"/>
      <c r="M325" s="280"/>
      <c r="N325" s="280"/>
      <c r="O325" s="280"/>
      <c r="P325" s="280"/>
      <c r="Q325" s="280"/>
      <c r="R325" s="280"/>
      <c r="S325" s="280"/>
      <c r="T325" s="280"/>
      <c r="U325" s="280"/>
      <c r="V325" s="280"/>
      <c r="W325" s="280"/>
      <c r="X325" s="280"/>
      <c r="Y325" s="280"/>
      <c r="Z325" s="280"/>
      <c r="AA325" s="280"/>
      <c r="AB325" s="280"/>
      <c r="AC325" s="280"/>
      <c r="AD325" s="280"/>
      <c r="AE325" s="280"/>
      <c r="AF325" s="280"/>
      <c r="AG325" s="280"/>
      <c r="AH325" s="280"/>
      <c r="AI325" s="280"/>
      <c r="AJ325" s="280"/>
      <c r="AK325" s="280"/>
      <c r="AL325" s="280"/>
      <c r="AM325" s="280"/>
      <c r="AN325" s="280"/>
      <c r="AO325" s="280"/>
      <c r="AP325" s="280"/>
      <c r="AQ325" s="280"/>
      <c r="AR325" s="280"/>
      <c r="AS325" s="280"/>
      <c r="AT325" s="280"/>
      <c r="AU325" s="280"/>
      <c r="AV325" s="280"/>
      <c r="AW325" s="280"/>
      <c r="AX325" s="280"/>
      <c r="AY325" s="280"/>
      <c r="AZ325" s="280"/>
    </row>
    <row r="326" spans="1:52" ht="12.75" x14ac:dyDescent="0.2">
      <c r="A326" s="280"/>
      <c r="B326" s="280"/>
      <c r="C326" s="280"/>
      <c r="D326" s="280"/>
      <c r="E326" s="280"/>
      <c r="F326" s="280"/>
      <c r="G326" s="280"/>
      <c r="H326" s="280"/>
      <c r="I326" s="280"/>
      <c r="J326" s="280"/>
      <c r="K326" s="280"/>
      <c r="L326" s="280"/>
      <c r="M326" s="280"/>
      <c r="N326" s="280"/>
      <c r="O326" s="280"/>
      <c r="P326" s="280"/>
      <c r="Q326" s="280"/>
      <c r="R326" s="280"/>
      <c r="S326" s="280"/>
      <c r="T326" s="280"/>
      <c r="U326" s="280"/>
      <c r="V326" s="280"/>
      <c r="W326" s="280"/>
      <c r="X326" s="280"/>
      <c r="Y326" s="280"/>
      <c r="Z326" s="280"/>
      <c r="AA326" s="280"/>
      <c r="AB326" s="280"/>
      <c r="AC326" s="280"/>
      <c r="AD326" s="280"/>
      <c r="AE326" s="280"/>
      <c r="AF326" s="280"/>
      <c r="AG326" s="280"/>
      <c r="AH326" s="280"/>
      <c r="AI326" s="280"/>
      <c r="AJ326" s="280"/>
      <c r="AK326" s="280"/>
      <c r="AL326" s="280"/>
      <c r="AM326" s="280"/>
      <c r="AN326" s="280"/>
      <c r="AO326" s="280"/>
      <c r="AP326" s="280"/>
      <c r="AQ326" s="280"/>
      <c r="AR326" s="280"/>
      <c r="AS326" s="280"/>
      <c r="AT326" s="280"/>
      <c r="AU326" s="280"/>
      <c r="AV326" s="280"/>
      <c r="AW326" s="280"/>
      <c r="AX326" s="280"/>
      <c r="AY326" s="280"/>
      <c r="AZ326" s="280"/>
    </row>
    <row r="327" spans="1:52" ht="12.75" x14ac:dyDescent="0.2">
      <c r="A327" s="280"/>
      <c r="B327" s="280"/>
      <c r="C327" s="280"/>
      <c r="D327" s="280"/>
      <c r="E327" s="280"/>
      <c r="F327" s="280"/>
      <c r="G327" s="280"/>
      <c r="H327" s="280"/>
      <c r="I327" s="280"/>
      <c r="J327" s="280"/>
      <c r="K327" s="280"/>
      <c r="L327" s="280"/>
      <c r="M327" s="280"/>
      <c r="N327" s="280"/>
      <c r="O327" s="280"/>
      <c r="P327" s="280"/>
      <c r="Q327" s="280"/>
      <c r="R327" s="280"/>
      <c r="S327" s="280"/>
      <c r="T327" s="280"/>
      <c r="U327" s="280"/>
      <c r="V327" s="280"/>
      <c r="W327" s="280"/>
      <c r="X327" s="280"/>
      <c r="Y327" s="280"/>
      <c r="Z327" s="280"/>
      <c r="AA327" s="280"/>
      <c r="AB327" s="280"/>
      <c r="AC327" s="280"/>
      <c r="AD327" s="280"/>
      <c r="AE327" s="280"/>
      <c r="AF327" s="280"/>
      <c r="AG327" s="280"/>
      <c r="AH327" s="280"/>
      <c r="AI327" s="280"/>
      <c r="AJ327" s="280"/>
      <c r="AK327" s="280"/>
      <c r="AL327" s="280"/>
      <c r="AM327" s="280"/>
      <c r="AN327" s="280"/>
      <c r="AO327" s="280"/>
      <c r="AP327" s="280"/>
      <c r="AQ327" s="280"/>
      <c r="AR327" s="280"/>
      <c r="AS327" s="280"/>
      <c r="AT327" s="280"/>
      <c r="AU327" s="280"/>
      <c r="AV327" s="280"/>
      <c r="AW327" s="280"/>
      <c r="AX327" s="280"/>
      <c r="AY327" s="280"/>
      <c r="AZ327" s="280"/>
    </row>
    <row r="328" spans="1:52" ht="12.75" x14ac:dyDescent="0.2">
      <c r="A328" s="280"/>
      <c r="B328" s="280"/>
      <c r="C328" s="280"/>
      <c r="D328" s="280"/>
      <c r="E328" s="280"/>
      <c r="F328" s="280"/>
      <c r="G328" s="280"/>
      <c r="H328" s="280"/>
      <c r="I328" s="280"/>
      <c r="J328" s="280"/>
      <c r="K328" s="280"/>
      <c r="L328" s="280"/>
      <c r="M328" s="280"/>
      <c r="N328" s="280"/>
      <c r="O328" s="280"/>
      <c r="P328" s="280"/>
      <c r="Q328" s="280"/>
      <c r="R328" s="280"/>
      <c r="S328" s="280"/>
      <c r="T328" s="280"/>
      <c r="U328" s="280"/>
      <c r="V328" s="280"/>
      <c r="W328" s="280"/>
      <c r="X328" s="280"/>
      <c r="Y328" s="280"/>
      <c r="Z328" s="280"/>
      <c r="AA328" s="280"/>
      <c r="AB328" s="280"/>
      <c r="AC328" s="280"/>
      <c r="AD328" s="280"/>
      <c r="AE328" s="280"/>
      <c r="AF328" s="280"/>
      <c r="AG328" s="280"/>
      <c r="AH328" s="280"/>
      <c r="AI328" s="280"/>
      <c r="AJ328" s="280"/>
      <c r="AK328" s="280"/>
      <c r="AL328" s="280"/>
      <c r="AM328" s="280"/>
      <c r="AN328" s="280"/>
      <c r="AO328" s="280"/>
      <c r="AP328" s="280"/>
      <c r="AQ328" s="280"/>
      <c r="AR328" s="280"/>
      <c r="AS328" s="280"/>
      <c r="AT328" s="280"/>
      <c r="AU328" s="280"/>
      <c r="AV328" s="280"/>
      <c r="AW328" s="280"/>
      <c r="AX328" s="280"/>
      <c r="AY328" s="280"/>
      <c r="AZ328" s="280"/>
    </row>
    <row r="329" spans="1:52" ht="12.75" x14ac:dyDescent="0.2">
      <c r="A329" s="280"/>
      <c r="B329" s="280"/>
      <c r="C329" s="280"/>
      <c r="D329" s="280"/>
      <c r="E329" s="280"/>
      <c r="F329" s="280"/>
      <c r="G329" s="280"/>
      <c r="H329" s="280"/>
      <c r="I329" s="280"/>
      <c r="J329" s="280"/>
      <c r="K329" s="280"/>
      <c r="L329" s="280"/>
      <c r="M329" s="280"/>
      <c r="N329" s="280"/>
      <c r="O329" s="280"/>
      <c r="P329" s="280"/>
      <c r="Q329" s="280"/>
      <c r="R329" s="280"/>
      <c r="S329" s="280"/>
      <c r="T329" s="280"/>
      <c r="U329" s="280"/>
      <c r="V329" s="280"/>
      <c r="W329" s="280"/>
      <c r="X329" s="280"/>
      <c r="Y329" s="280"/>
      <c r="Z329" s="280"/>
      <c r="AA329" s="280"/>
      <c r="AB329" s="280"/>
      <c r="AC329" s="280"/>
      <c r="AD329" s="280"/>
      <c r="AE329" s="280"/>
      <c r="AF329" s="280"/>
      <c r="AG329" s="280"/>
      <c r="AH329" s="280"/>
      <c r="AI329" s="280"/>
      <c r="AJ329" s="280"/>
      <c r="AK329" s="280"/>
      <c r="AL329" s="280"/>
      <c r="AM329" s="280"/>
      <c r="AN329" s="280"/>
      <c r="AO329" s="280"/>
      <c r="AP329" s="280"/>
      <c r="AQ329" s="280"/>
      <c r="AR329" s="280"/>
      <c r="AS329" s="280"/>
      <c r="AT329" s="280"/>
      <c r="AU329" s="280"/>
      <c r="AV329" s="280"/>
      <c r="AW329" s="280"/>
      <c r="AX329" s="280"/>
      <c r="AY329" s="280"/>
      <c r="AZ329" s="280"/>
    </row>
    <row r="330" spans="1:52" ht="12.75" x14ac:dyDescent="0.2">
      <c r="A330" s="280"/>
      <c r="B330" s="280"/>
      <c r="C330" s="280"/>
      <c r="D330" s="280"/>
      <c r="E330" s="280"/>
      <c r="F330" s="280"/>
      <c r="G330" s="280"/>
      <c r="H330" s="280"/>
      <c r="I330" s="280"/>
      <c r="J330" s="280"/>
      <c r="K330" s="280"/>
      <c r="L330" s="280"/>
      <c r="M330" s="280"/>
      <c r="N330" s="280"/>
      <c r="O330" s="280"/>
      <c r="P330" s="280"/>
      <c r="Q330" s="280"/>
      <c r="R330" s="280"/>
      <c r="S330" s="280"/>
      <c r="T330" s="280"/>
      <c r="U330" s="280"/>
      <c r="V330" s="280"/>
      <c r="W330" s="280"/>
      <c r="X330" s="280"/>
      <c r="Y330" s="280"/>
      <c r="Z330" s="280"/>
      <c r="AA330" s="280"/>
      <c r="AB330" s="280"/>
      <c r="AC330" s="280"/>
      <c r="AD330" s="280"/>
      <c r="AE330" s="280"/>
      <c r="AF330" s="280"/>
      <c r="AG330" s="280"/>
      <c r="AH330" s="280"/>
      <c r="AI330" s="280"/>
      <c r="AJ330" s="280"/>
      <c r="AK330" s="280"/>
      <c r="AL330" s="280"/>
      <c r="AM330" s="280"/>
      <c r="AN330" s="280"/>
      <c r="AO330" s="280"/>
      <c r="AP330" s="280"/>
      <c r="AQ330" s="280"/>
      <c r="AR330" s="280"/>
      <c r="AS330" s="280"/>
      <c r="AT330" s="280"/>
      <c r="AU330" s="280"/>
      <c r="AV330" s="280"/>
      <c r="AW330" s="280"/>
      <c r="AX330" s="280"/>
      <c r="AY330" s="280"/>
      <c r="AZ330" s="280"/>
    </row>
    <row r="331" spans="1:52" ht="12.75" x14ac:dyDescent="0.2">
      <c r="A331" s="280"/>
      <c r="B331" s="280"/>
      <c r="C331" s="280"/>
      <c r="D331" s="280"/>
      <c r="E331" s="280"/>
      <c r="F331" s="280"/>
      <c r="G331" s="280"/>
      <c r="H331" s="280"/>
      <c r="I331" s="280"/>
      <c r="J331" s="280"/>
      <c r="K331" s="280"/>
      <c r="L331" s="280"/>
      <c r="M331" s="280"/>
      <c r="N331" s="280"/>
      <c r="O331" s="280"/>
      <c r="P331" s="280"/>
      <c r="Q331" s="280"/>
      <c r="R331" s="280"/>
      <c r="S331" s="280"/>
      <c r="T331" s="280"/>
      <c r="U331" s="280"/>
      <c r="V331" s="280"/>
      <c r="W331" s="280"/>
      <c r="X331" s="280"/>
      <c r="Y331" s="280"/>
      <c r="Z331" s="280"/>
      <c r="AA331" s="280"/>
      <c r="AB331" s="280"/>
      <c r="AC331" s="280"/>
      <c r="AD331" s="280"/>
      <c r="AE331" s="280"/>
      <c r="AF331" s="280"/>
      <c r="AG331" s="280"/>
      <c r="AH331" s="280"/>
      <c r="AI331" s="280"/>
      <c r="AJ331" s="280"/>
      <c r="AK331" s="280"/>
      <c r="AL331" s="280"/>
      <c r="AM331" s="280"/>
      <c r="AN331" s="280"/>
      <c r="AO331" s="280"/>
      <c r="AP331" s="280"/>
      <c r="AQ331" s="280"/>
      <c r="AR331" s="280"/>
      <c r="AS331" s="280"/>
      <c r="AT331" s="280"/>
      <c r="AU331" s="280"/>
      <c r="AV331" s="280"/>
      <c r="AW331" s="280"/>
      <c r="AX331" s="280"/>
      <c r="AY331" s="280"/>
      <c r="AZ331" s="280"/>
    </row>
    <row r="332" spans="1:52" ht="12.75" x14ac:dyDescent="0.2">
      <c r="A332" s="280"/>
      <c r="B332" s="280"/>
      <c r="C332" s="280"/>
      <c r="D332" s="280"/>
      <c r="E332" s="280"/>
      <c r="F332" s="280"/>
      <c r="G332" s="280"/>
      <c r="H332" s="280"/>
      <c r="I332" s="280"/>
      <c r="J332" s="280"/>
      <c r="K332" s="280"/>
      <c r="L332" s="280"/>
      <c r="M332" s="280"/>
      <c r="N332" s="280"/>
      <c r="O332" s="280"/>
      <c r="P332" s="280"/>
      <c r="Q332" s="280"/>
      <c r="R332" s="280"/>
      <c r="S332" s="280"/>
      <c r="T332" s="280"/>
      <c r="U332" s="280"/>
      <c r="V332" s="280"/>
      <c r="W332" s="280"/>
      <c r="X332" s="280"/>
      <c r="Y332" s="280"/>
      <c r="Z332" s="280"/>
      <c r="AA332" s="280"/>
      <c r="AB332" s="280"/>
      <c r="AC332" s="280"/>
      <c r="AD332" s="280"/>
      <c r="AE332" s="280"/>
      <c r="AF332" s="280"/>
      <c r="AG332" s="280"/>
      <c r="AH332" s="280"/>
      <c r="AI332" s="280"/>
      <c r="AJ332" s="280"/>
      <c r="AK332" s="280"/>
      <c r="AL332" s="280"/>
      <c r="AM332" s="280"/>
      <c r="AN332" s="280"/>
      <c r="AO332" s="280"/>
      <c r="AP332" s="280"/>
      <c r="AQ332" s="280"/>
      <c r="AR332" s="280"/>
      <c r="AS332" s="280"/>
      <c r="AT332" s="280"/>
      <c r="AU332" s="280"/>
      <c r="AV332" s="280"/>
      <c r="AW332" s="280"/>
      <c r="AX332" s="280"/>
      <c r="AY332" s="280"/>
      <c r="AZ332" s="280"/>
    </row>
    <row r="333" spans="1:52" ht="12.75" x14ac:dyDescent="0.2">
      <c r="A333" s="280"/>
      <c r="B333" s="280"/>
      <c r="C333" s="280"/>
      <c r="D333" s="280"/>
      <c r="E333" s="280"/>
      <c r="F333" s="280"/>
      <c r="G333" s="280"/>
      <c r="H333" s="280"/>
      <c r="I333" s="280"/>
      <c r="J333" s="280"/>
      <c r="K333" s="280"/>
      <c r="L333" s="280"/>
      <c r="M333" s="280"/>
      <c r="N333" s="280"/>
      <c r="O333" s="280"/>
      <c r="P333" s="280"/>
      <c r="Q333" s="280"/>
      <c r="R333" s="280"/>
      <c r="S333" s="280"/>
      <c r="T333" s="280"/>
      <c r="U333" s="280"/>
      <c r="V333" s="280"/>
      <c r="W333" s="280"/>
      <c r="X333" s="280"/>
      <c r="Y333" s="280"/>
      <c r="Z333" s="280"/>
      <c r="AA333" s="280"/>
      <c r="AB333" s="280"/>
      <c r="AC333" s="280"/>
      <c r="AD333" s="280"/>
      <c r="AE333" s="280"/>
      <c r="AF333" s="280"/>
      <c r="AG333" s="280"/>
      <c r="AH333" s="280"/>
      <c r="AI333" s="280"/>
      <c r="AJ333" s="280"/>
      <c r="AK333" s="280"/>
      <c r="AL333" s="280"/>
      <c r="AM333" s="280"/>
      <c r="AN333" s="280"/>
      <c r="AO333" s="280"/>
      <c r="AP333" s="280"/>
      <c r="AQ333" s="280"/>
      <c r="AR333" s="280"/>
      <c r="AS333" s="280"/>
      <c r="AT333" s="280"/>
      <c r="AU333" s="280"/>
      <c r="AV333" s="280"/>
      <c r="AW333" s="280"/>
      <c r="AX333" s="280"/>
      <c r="AY333" s="280"/>
      <c r="AZ333" s="280"/>
    </row>
    <row r="334" spans="1:52" ht="12.75" x14ac:dyDescent="0.2">
      <c r="A334" s="280"/>
      <c r="B334" s="280"/>
      <c r="C334" s="280"/>
      <c r="D334" s="280"/>
      <c r="E334" s="280"/>
      <c r="F334" s="280"/>
      <c r="G334" s="280"/>
      <c r="H334" s="280"/>
      <c r="I334" s="280"/>
      <c r="J334" s="280"/>
      <c r="K334" s="280"/>
      <c r="L334" s="280"/>
      <c r="M334" s="280"/>
      <c r="N334" s="280"/>
      <c r="O334" s="280"/>
      <c r="P334" s="280"/>
      <c r="Q334" s="280"/>
      <c r="R334" s="280"/>
      <c r="S334" s="280"/>
      <c r="T334" s="280"/>
      <c r="U334" s="280"/>
      <c r="V334" s="280"/>
      <c r="W334" s="280"/>
      <c r="X334" s="280"/>
      <c r="Y334" s="280"/>
      <c r="Z334" s="280"/>
      <c r="AA334" s="280"/>
      <c r="AB334" s="280"/>
      <c r="AC334" s="280"/>
      <c r="AD334" s="280"/>
      <c r="AE334" s="280"/>
      <c r="AF334" s="280"/>
      <c r="AG334" s="280"/>
      <c r="AH334" s="280"/>
      <c r="AI334" s="280"/>
      <c r="AJ334" s="280"/>
      <c r="AK334" s="280"/>
      <c r="AL334" s="280"/>
      <c r="AM334" s="280"/>
      <c r="AN334" s="280"/>
      <c r="AO334" s="280"/>
      <c r="AP334" s="280"/>
      <c r="AQ334" s="280"/>
      <c r="AR334" s="280"/>
      <c r="AS334" s="280"/>
      <c r="AT334" s="280"/>
      <c r="AU334" s="280"/>
      <c r="AV334" s="280"/>
      <c r="AW334" s="280"/>
      <c r="AX334" s="280"/>
      <c r="AY334" s="280"/>
      <c r="AZ334" s="280"/>
    </row>
    <row r="335" spans="1:52" ht="12.75" x14ac:dyDescent="0.2">
      <c r="A335" s="280"/>
      <c r="B335" s="280"/>
      <c r="C335" s="280"/>
      <c r="D335" s="280"/>
      <c r="E335" s="280"/>
      <c r="F335" s="280"/>
      <c r="G335" s="280"/>
      <c r="H335" s="280"/>
      <c r="I335" s="280"/>
      <c r="J335" s="280"/>
      <c r="K335" s="280"/>
      <c r="L335" s="280"/>
      <c r="M335" s="280"/>
      <c r="N335" s="280"/>
      <c r="O335" s="280"/>
      <c r="P335" s="280"/>
      <c r="Q335" s="280"/>
      <c r="R335" s="280"/>
      <c r="S335" s="280"/>
      <c r="T335" s="280"/>
      <c r="U335" s="280"/>
      <c r="V335" s="280"/>
      <c r="W335" s="280"/>
      <c r="X335" s="280"/>
      <c r="Y335" s="280"/>
      <c r="Z335" s="280"/>
      <c r="AA335" s="280"/>
      <c r="AB335" s="280"/>
      <c r="AC335" s="280"/>
      <c r="AD335" s="280"/>
      <c r="AE335" s="280"/>
      <c r="AF335" s="280"/>
      <c r="AG335" s="280"/>
      <c r="AH335" s="280"/>
      <c r="AI335" s="280"/>
      <c r="AJ335" s="280"/>
      <c r="AK335" s="280"/>
      <c r="AL335" s="280"/>
      <c r="AM335" s="280"/>
      <c r="AN335" s="280"/>
      <c r="AO335" s="280"/>
      <c r="AP335" s="280"/>
      <c r="AQ335" s="280"/>
      <c r="AR335" s="280"/>
      <c r="AS335" s="280"/>
      <c r="AT335" s="280"/>
      <c r="AU335" s="280"/>
      <c r="AV335" s="280"/>
      <c r="AW335" s="280"/>
      <c r="AX335" s="280"/>
      <c r="AY335" s="280"/>
      <c r="AZ335" s="280"/>
    </row>
    <row r="336" spans="1:52" ht="12.75" x14ac:dyDescent="0.2">
      <c r="A336" s="280"/>
      <c r="B336" s="280"/>
      <c r="C336" s="280"/>
      <c r="D336" s="280"/>
      <c r="E336" s="280"/>
      <c r="F336" s="280"/>
      <c r="G336" s="280"/>
      <c r="H336" s="280"/>
      <c r="I336" s="280"/>
      <c r="J336" s="280"/>
      <c r="K336" s="280"/>
      <c r="L336" s="280"/>
      <c r="M336" s="280"/>
      <c r="N336" s="280"/>
      <c r="O336" s="280"/>
      <c r="P336" s="280"/>
      <c r="Q336" s="280"/>
      <c r="R336" s="280"/>
      <c r="S336" s="280"/>
      <c r="T336" s="280"/>
      <c r="U336" s="280"/>
      <c r="V336" s="280"/>
      <c r="W336" s="280"/>
      <c r="X336" s="280"/>
      <c r="Y336" s="280"/>
      <c r="Z336" s="280"/>
      <c r="AA336" s="280"/>
      <c r="AB336" s="280"/>
      <c r="AC336" s="280"/>
      <c r="AD336" s="280"/>
      <c r="AE336" s="280"/>
      <c r="AF336" s="280"/>
      <c r="AG336" s="280"/>
      <c r="AH336" s="280"/>
      <c r="AI336" s="280"/>
      <c r="AJ336" s="280"/>
      <c r="AK336" s="280"/>
      <c r="AL336" s="280"/>
      <c r="AM336" s="280"/>
      <c r="AN336" s="280"/>
      <c r="AO336" s="280"/>
      <c r="AP336" s="280"/>
      <c r="AQ336" s="280"/>
      <c r="AR336" s="280"/>
      <c r="AS336" s="280"/>
      <c r="AT336" s="280"/>
      <c r="AU336" s="280"/>
      <c r="AV336" s="280"/>
      <c r="AW336" s="280"/>
      <c r="AX336" s="280"/>
      <c r="AY336" s="280"/>
      <c r="AZ336" s="280"/>
    </row>
    <row r="337" spans="1:52" ht="12.75" x14ac:dyDescent="0.2">
      <c r="A337" s="280"/>
      <c r="B337" s="280"/>
      <c r="C337" s="280"/>
      <c r="D337" s="280"/>
      <c r="E337" s="280"/>
      <c r="F337" s="280"/>
      <c r="G337" s="280"/>
      <c r="H337" s="280"/>
      <c r="I337" s="280"/>
      <c r="J337" s="280"/>
      <c r="K337" s="280"/>
      <c r="L337" s="280"/>
      <c r="M337" s="280"/>
      <c r="N337" s="280"/>
      <c r="O337" s="280"/>
      <c r="P337" s="280"/>
      <c r="Q337" s="280"/>
      <c r="R337" s="280"/>
      <c r="S337" s="280"/>
      <c r="T337" s="280"/>
      <c r="U337" s="280"/>
      <c r="V337" s="280"/>
      <c r="W337" s="280"/>
      <c r="X337" s="280"/>
      <c r="Y337" s="280"/>
      <c r="Z337" s="280"/>
      <c r="AA337" s="280"/>
      <c r="AB337" s="280"/>
      <c r="AC337" s="280"/>
      <c r="AD337" s="280"/>
      <c r="AE337" s="280"/>
      <c r="AF337" s="280"/>
      <c r="AG337" s="280"/>
      <c r="AH337" s="280"/>
      <c r="AI337" s="280"/>
      <c r="AJ337" s="280"/>
      <c r="AK337" s="280"/>
      <c r="AL337" s="280"/>
      <c r="AM337" s="280"/>
      <c r="AN337" s="280"/>
      <c r="AO337" s="280"/>
      <c r="AP337" s="280"/>
      <c r="AQ337" s="280"/>
      <c r="AR337" s="280"/>
      <c r="AS337" s="280"/>
      <c r="AT337" s="280"/>
      <c r="AU337" s="280"/>
      <c r="AV337" s="280"/>
      <c r="AW337" s="280"/>
      <c r="AX337" s="280"/>
      <c r="AY337" s="280"/>
      <c r="AZ337" s="280"/>
    </row>
    <row r="338" spans="1:52" ht="12.75" x14ac:dyDescent="0.2">
      <c r="A338" s="280"/>
      <c r="B338" s="280"/>
      <c r="C338" s="280"/>
      <c r="D338" s="280"/>
      <c r="E338" s="280"/>
      <c r="F338" s="280"/>
      <c r="G338" s="280"/>
      <c r="H338" s="280"/>
      <c r="I338" s="280"/>
      <c r="J338" s="280"/>
      <c r="K338" s="280"/>
      <c r="L338" s="280"/>
      <c r="M338" s="280"/>
      <c r="N338" s="280"/>
      <c r="O338" s="280"/>
      <c r="P338" s="280"/>
      <c r="Q338" s="280"/>
      <c r="R338" s="280"/>
      <c r="S338" s="280"/>
      <c r="T338" s="280"/>
      <c r="U338" s="280"/>
      <c r="V338" s="280"/>
      <c r="W338" s="280"/>
      <c r="X338" s="280"/>
      <c r="Y338" s="280"/>
      <c r="Z338" s="280"/>
      <c r="AA338" s="280"/>
      <c r="AB338" s="280"/>
      <c r="AC338" s="280"/>
      <c r="AD338" s="280"/>
      <c r="AE338" s="280"/>
      <c r="AF338" s="280"/>
      <c r="AG338" s="280"/>
      <c r="AH338" s="280"/>
      <c r="AI338" s="280"/>
      <c r="AJ338" s="280"/>
      <c r="AK338" s="280"/>
      <c r="AL338" s="280"/>
      <c r="AM338" s="280"/>
      <c r="AN338" s="280"/>
      <c r="AO338" s="280"/>
      <c r="AP338" s="280"/>
      <c r="AQ338" s="280"/>
      <c r="AR338" s="280"/>
      <c r="AS338" s="280"/>
      <c r="AT338" s="280"/>
      <c r="AU338" s="280"/>
      <c r="AV338" s="280"/>
      <c r="AW338" s="280"/>
      <c r="AX338" s="280"/>
      <c r="AY338" s="280"/>
      <c r="AZ338" s="280"/>
    </row>
    <row r="339" spans="1:52" ht="12.75" x14ac:dyDescent="0.2">
      <c r="A339" s="280"/>
      <c r="B339" s="280"/>
      <c r="C339" s="280"/>
      <c r="D339" s="280"/>
      <c r="E339" s="280"/>
      <c r="F339" s="280"/>
      <c r="G339" s="280"/>
      <c r="H339" s="280"/>
      <c r="I339" s="280"/>
      <c r="J339" s="280"/>
      <c r="K339" s="280"/>
      <c r="L339" s="280"/>
      <c r="M339" s="280"/>
      <c r="N339" s="280"/>
      <c r="O339" s="280"/>
      <c r="P339" s="280"/>
      <c r="Q339" s="280"/>
      <c r="R339" s="280"/>
      <c r="S339" s="280"/>
      <c r="T339" s="280"/>
      <c r="U339" s="280"/>
      <c r="V339" s="280"/>
      <c r="W339" s="280"/>
      <c r="X339" s="280"/>
      <c r="Y339" s="280"/>
      <c r="Z339" s="280"/>
      <c r="AA339" s="280"/>
      <c r="AB339" s="280"/>
      <c r="AC339" s="280"/>
      <c r="AD339" s="280"/>
      <c r="AE339" s="280"/>
      <c r="AF339" s="280"/>
      <c r="AG339" s="280"/>
      <c r="AH339" s="280"/>
      <c r="AI339" s="280"/>
      <c r="AJ339" s="280"/>
      <c r="AK339" s="280"/>
      <c r="AL339" s="280"/>
      <c r="AM339" s="280"/>
      <c r="AN339" s="280"/>
      <c r="AO339" s="280"/>
      <c r="AP339" s="280"/>
      <c r="AQ339" s="280"/>
      <c r="AR339" s="280"/>
      <c r="AS339" s="280"/>
      <c r="AT339" s="280"/>
      <c r="AU339" s="280"/>
      <c r="AV339" s="280"/>
      <c r="AW339" s="280"/>
      <c r="AX339" s="280"/>
      <c r="AY339" s="280"/>
      <c r="AZ339" s="280"/>
    </row>
    <row r="340" spans="1:52" ht="12.75" x14ac:dyDescent="0.2">
      <c r="A340" s="280"/>
      <c r="B340" s="280"/>
      <c r="C340" s="280"/>
      <c r="D340" s="280"/>
      <c r="E340" s="280"/>
      <c r="F340" s="280"/>
      <c r="G340" s="280"/>
      <c r="H340" s="280"/>
      <c r="I340" s="280"/>
      <c r="J340" s="280"/>
      <c r="K340" s="280"/>
      <c r="L340" s="280"/>
      <c r="M340" s="280"/>
      <c r="N340" s="280"/>
      <c r="O340" s="280"/>
      <c r="P340" s="280"/>
      <c r="Q340" s="280"/>
      <c r="R340" s="280"/>
      <c r="S340" s="280"/>
      <c r="T340" s="280"/>
      <c r="U340" s="280"/>
      <c r="V340" s="280"/>
      <c r="W340" s="280"/>
      <c r="X340" s="280"/>
      <c r="Y340" s="280"/>
      <c r="Z340" s="280"/>
      <c r="AA340" s="280"/>
      <c r="AB340" s="280"/>
      <c r="AC340" s="280"/>
      <c r="AD340" s="280"/>
      <c r="AE340" s="280"/>
      <c r="AF340" s="280"/>
      <c r="AG340" s="280"/>
      <c r="AH340" s="280"/>
      <c r="AI340" s="280"/>
      <c r="AJ340" s="280"/>
      <c r="AK340" s="280"/>
      <c r="AL340" s="280"/>
      <c r="AM340" s="280"/>
      <c r="AN340" s="280"/>
      <c r="AO340" s="280"/>
      <c r="AP340" s="280"/>
      <c r="AQ340" s="280"/>
      <c r="AR340" s="280"/>
      <c r="AS340" s="280"/>
      <c r="AT340" s="280"/>
      <c r="AU340" s="280"/>
      <c r="AV340" s="280"/>
      <c r="AW340" s="280"/>
      <c r="AX340" s="280"/>
      <c r="AY340" s="280"/>
      <c r="AZ340" s="280"/>
    </row>
    <row r="341" spans="1:52" ht="12.75" x14ac:dyDescent="0.2">
      <c r="A341" s="280"/>
      <c r="B341" s="280"/>
      <c r="C341" s="280"/>
      <c r="D341" s="280"/>
      <c r="E341" s="280"/>
      <c r="F341" s="280"/>
      <c r="G341" s="280"/>
      <c r="H341" s="280"/>
      <c r="I341" s="280"/>
      <c r="J341" s="280"/>
      <c r="K341" s="280"/>
      <c r="L341" s="280"/>
      <c r="M341" s="280"/>
      <c r="N341" s="280"/>
      <c r="O341" s="280"/>
      <c r="P341" s="280"/>
      <c r="Q341" s="280"/>
      <c r="R341" s="280"/>
      <c r="S341" s="280"/>
      <c r="T341" s="280"/>
      <c r="U341" s="280"/>
      <c r="V341" s="280"/>
      <c r="W341" s="280"/>
      <c r="X341" s="280"/>
      <c r="Y341" s="280"/>
      <c r="Z341" s="280"/>
      <c r="AA341" s="280"/>
      <c r="AB341" s="280"/>
      <c r="AC341" s="280"/>
      <c r="AD341" s="280"/>
      <c r="AE341" s="280"/>
      <c r="AF341" s="280"/>
      <c r="AG341" s="280"/>
      <c r="AH341" s="280"/>
      <c r="AI341" s="280"/>
      <c r="AJ341" s="280"/>
      <c r="AK341" s="280"/>
      <c r="AL341" s="280"/>
      <c r="AM341" s="280"/>
      <c r="AN341" s="280"/>
      <c r="AO341" s="280"/>
      <c r="AP341" s="280"/>
      <c r="AQ341" s="280"/>
      <c r="AR341" s="280"/>
      <c r="AS341" s="280"/>
      <c r="AT341" s="280"/>
      <c r="AU341" s="280"/>
      <c r="AV341" s="280"/>
      <c r="AW341" s="280"/>
      <c r="AX341" s="280"/>
      <c r="AY341" s="280"/>
      <c r="AZ341" s="280"/>
    </row>
    <row r="342" spans="1:52" ht="12.75" x14ac:dyDescent="0.2">
      <c r="A342" s="280"/>
      <c r="B342" s="280"/>
      <c r="C342" s="280"/>
      <c r="D342" s="280"/>
      <c r="E342" s="280"/>
      <c r="F342" s="280"/>
      <c r="G342" s="280"/>
      <c r="H342" s="280"/>
      <c r="I342" s="280"/>
      <c r="J342" s="280"/>
      <c r="K342" s="280"/>
      <c r="L342" s="280"/>
      <c r="M342" s="280"/>
      <c r="N342" s="280"/>
      <c r="O342" s="280"/>
      <c r="P342" s="280"/>
      <c r="Q342" s="280"/>
      <c r="R342" s="280"/>
      <c r="S342" s="280"/>
      <c r="T342" s="280"/>
      <c r="U342" s="280"/>
      <c r="V342" s="280"/>
      <c r="W342" s="280"/>
      <c r="X342" s="280"/>
      <c r="Y342" s="280"/>
      <c r="Z342" s="280"/>
      <c r="AA342" s="280"/>
      <c r="AB342" s="280"/>
      <c r="AC342" s="280"/>
      <c r="AD342" s="280"/>
      <c r="AE342" s="280"/>
      <c r="AF342" s="280"/>
      <c r="AG342" s="280"/>
      <c r="AH342" s="280"/>
      <c r="AI342" s="280"/>
      <c r="AJ342" s="280"/>
      <c r="AK342" s="280"/>
      <c r="AL342" s="280"/>
      <c r="AM342" s="280"/>
      <c r="AN342" s="280"/>
      <c r="AO342" s="280"/>
      <c r="AP342" s="280"/>
      <c r="AQ342" s="280"/>
      <c r="AR342" s="280"/>
      <c r="AS342" s="280"/>
      <c r="AT342" s="280"/>
      <c r="AU342" s="280"/>
      <c r="AV342" s="280"/>
      <c r="AW342" s="280"/>
      <c r="AX342" s="280"/>
      <c r="AY342" s="280"/>
      <c r="AZ342" s="280"/>
    </row>
    <row r="343" spans="1:52" ht="12.75" x14ac:dyDescent="0.2">
      <c r="A343" s="280"/>
      <c r="B343" s="280"/>
      <c r="C343" s="280"/>
      <c r="D343" s="280"/>
      <c r="E343" s="280"/>
      <c r="F343" s="280"/>
      <c r="G343" s="280"/>
      <c r="H343" s="280"/>
      <c r="I343" s="280"/>
      <c r="J343" s="280"/>
      <c r="K343" s="280"/>
      <c r="L343" s="280"/>
      <c r="M343" s="280"/>
      <c r="N343" s="280"/>
      <c r="O343" s="280"/>
      <c r="P343" s="280"/>
      <c r="Q343" s="280"/>
      <c r="R343" s="280"/>
      <c r="S343" s="280"/>
      <c r="T343" s="280"/>
      <c r="U343" s="280"/>
      <c r="V343" s="280"/>
      <c r="W343" s="280"/>
      <c r="X343" s="280"/>
      <c r="Y343" s="280"/>
      <c r="Z343" s="280"/>
      <c r="AA343" s="280"/>
      <c r="AB343" s="280"/>
      <c r="AC343" s="280"/>
      <c r="AD343" s="280"/>
      <c r="AE343" s="280"/>
      <c r="AF343" s="280"/>
      <c r="AG343" s="280"/>
      <c r="AH343" s="280"/>
      <c r="AI343" s="280"/>
      <c r="AJ343" s="280"/>
      <c r="AK343" s="280"/>
      <c r="AL343" s="280"/>
      <c r="AM343" s="280"/>
      <c r="AN343" s="280"/>
      <c r="AO343" s="280"/>
      <c r="AP343" s="280"/>
      <c r="AQ343" s="280"/>
      <c r="AR343" s="280"/>
      <c r="AS343" s="280"/>
      <c r="AT343" s="280"/>
      <c r="AU343" s="280"/>
      <c r="AV343" s="280"/>
      <c r="AW343" s="280"/>
      <c r="AX343" s="280"/>
      <c r="AY343" s="280"/>
      <c r="AZ343" s="280"/>
    </row>
    <row r="344" spans="1:52" ht="12.75" x14ac:dyDescent="0.2">
      <c r="A344" s="280"/>
      <c r="B344" s="280"/>
      <c r="C344" s="280"/>
      <c r="D344" s="280"/>
      <c r="E344" s="280"/>
      <c r="F344" s="280"/>
      <c r="G344" s="280"/>
      <c r="H344" s="280"/>
      <c r="I344" s="280"/>
      <c r="J344" s="280"/>
      <c r="K344" s="280"/>
      <c r="L344" s="280"/>
      <c r="M344" s="280"/>
      <c r="N344" s="280"/>
      <c r="O344" s="280"/>
      <c r="P344" s="280"/>
      <c r="Q344" s="280"/>
      <c r="R344" s="280"/>
      <c r="S344" s="280"/>
      <c r="T344" s="280"/>
      <c r="U344" s="280"/>
      <c r="V344" s="280"/>
      <c r="W344" s="280"/>
      <c r="X344" s="280"/>
      <c r="Y344" s="280"/>
      <c r="Z344" s="280"/>
      <c r="AA344" s="280"/>
      <c r="AB344" s="280"/>
      <c r="AC344" s="280"/>
      <c r="AD344" s="280"/>
      <c r="AE344" s="280"/>
      <c r="AF344" s="280"/>
      <c r="AG344" s="280"/>
      <c r="AH344" s="280"/>
      <c r="AI344" s="280"/>
      <c r="AJ344" s="280"/>
      <c r="AK344" s="280"/>
      <c r="AL344" s="280"/>
      <c r="AM344" s="280"/>
      <c r="AN344" s="280"/>
      <c r="AO344" s="280"/>
      <c r="AP344" s="280"/>
      <c r="AQ344" s="280"/>
      <c r="AR344" s="280"/>
      <c r="AS344" s="280"/>
      <c r="AT344" s="280"/>
      <c r="AU344" s="280"/>
      <c r="AV344" s="280"/>
      <c r="AW344" s="280"/>
      <c r="AX344" s="280"/>
      <c r="AY344" s="280"/>
      <c r="AZ344" s="280"/>
    </row>
    <row r="345" spans="1:52" ht="12.75" x14ac:dyDescent="0.2">
      <c r="A345" s="280"/>
      <c r="B345" s="280"/>
      <c r="C345" s="280"/>
      <c r="D345" s="280"/>
      <c r="E345" s="280"/>
      <c r="F345" s="280"/>
      <c r="G345" s="280"/>
      <c r="H345" s="280"/>
      <c r="I345" s="280"/>
      <c r="J345" s="280"/>
      <c r="K345" s="280"/>
      <c r="L345" s="280"/>
      <c r="M345" s="280"/>
      <c r="N345" s="280"/>
      <c r="O345" s="280"/>
      <c r="P345" s="280"/>
      <c r="Q345" s="280"/>
      <c r="R345" s="280"/>
      <c r="S345" s="280"/>
      <c r="T345" s="280"/>
      <c r="U345" s="280"/>
      <c r="V345" s="280"/>
      <c r="W345" s="280"/>
      <c r="X345" s="280"/>
      <c r="Y345" s="280"/>
      <c r="Z345" s="280"/>
      <c r="AA345" s="280"/>
      <c r="AB345" s="280"/>
      <c r="AC345" s="280"/>
      <c r="AD345" s="280"/>
      <c r="AE345" s="280"/>
      <c r="AF345" s="280"/>
      <c r="AG345" s="280"/>
      <c r="AH345" s="280"/>
      <c r="AI345" s="280"/>
      <c r="AJ345" s="280"/>
      <c r="AK345" s="280"/>
      <c r="AL345" s="280"/>
      <c r="AM345" s="280"/>
      <c r="AN345" s="280"/>
      <c r="AO345" s="280"/>
      <c r="AP345" s="280"/>
      <c r="AQ345" s="280"/>
      <c r="AR345" s="280"/>
      <c r="AS345" s="280"/>
      <c r="AT345" s="280"/>
      <c r="AU345" s="280"/>
      <c r="AV345" s="280"/>
      <c r="AW345" s="280"/>
      <c r="AX345" s="280"/>
      <c r="AY345" s="280"/>
      <c r="AZ345" s="280"/>
    </row>
    <row r="346" spans="1:52" ht="12.75" x14ac:dyDescent="0.2">
      <c r="A346" s="280"/>
      <c r="B346" s="280"/>
      <c r="C346" s="280"/>
      <c r="D346" s="280"/>
      <c r="E346" s="280"/>
      <c r="F346" s="280"/>
      <c r="G346" s="280"/>
      <c r="H346" s="280"/>
      <c r="I346" s="280"/>
      <c r="J346" s="280"/>
      <c r="K346" s="280"/>
      <c r="L346" s="280"/>
      <c r="M346" s="280"/>
      <c r="N346" s="280"/>
      <c r="O346" s="280"/>
      <c r="P346" s="280"/>
      <c r="Q346" s="280"/>
      <c r="R346" s="280"/>
      <c r="S346" s="280"/>
      <c r="T346" s="280"/>
      <c r="U346" s="280"/>
      <c r="V346" s="280"/>
      <c r="W346" s="280"/>
      <c r="X346" s="280"/>
      <c r="Y346" s="280"/>
      <c r="Z346" s="280"/>
      <c r="AA346" s="280"/>
      <c r="AB346" s="280"/>
      <c r="AC346" s="280"/>
      <c r="AD346" s="280"/>
      <c r="AE346" s="280"/>
      <c r="AF346" s="280"/>
      <c r="AG346" s="280"/>
      <c r="AH346" s="280"/>
      <c r="AI346" s="280"/>
      <c r="AJ346" s="280"/>
      <c r="AK346" s="280"/>
      <c r="AL346" s="280"/>
      <c r="AM346" s="280"/>
      <c r="AN346" s="280"/>
      <c r="AO346" s="280"/>
      <c r="AP346" s="280"/>
      <c r="AQ346" s="280"/>
      <c r="AR346" s="280"/>
      <c r="AS346" s="280"/>
      <c r="AT346" s="280"/>
      <c r="AU346" s="280"/>
      <c r="AV346" s="280"/>
      <c r="AW346" s="280"/>
      <c r="AX346" s="280"/>
      <c r="AY346" s="280"/>
      <c r="AZ346" s="280"/>
    </row>
    <row r="347" spans="1:52" ht="12.75" x14ac:dyDescent="0.2">
      <c r="A347" s="280"/>
      <c r="B347" s="280"/>
      <c r="C347" s="280"/>
      <c r="D347" s="280"/>
      <c r="E347" s="280"/>
      <c r="F347" s="280"/>
      <c r="G347" s="280"/>
      <c r="H347" s="280"/>
      <c r="I347" s="280"/>
      <c r="J347" s="280"/>
      <c r="K347" s="280"/>
      <c r="L347" s="280"/>
      <c r="M347" s="280"/>
      <c r="N347" s="280"/>
      <c r="O347" s="280"/>
      <c r="P347" s="280"/>
      <c r="Q347" s="280"/>
      <c r="R347" s="280"/>
      <c r="S347" s="280"/>
      <c r="T347" s="280"/>
      <c r="U347" s="280"/>
      <c r="V347" s="280"/>
      <c r="W347" s="280"/>
      <c r="X347" s="280"/>
      <c r="Y347" s="280"/>
      <c r="Z347" s="280"/>
      <c r="AA347" s="280"/>
      <c r="AB347" s="280"/>
      <c r="AC347" s="280"/>
      <c r="AD347" s="280"/>
      <c r="AE347" s="280"/>
      <c r="AF347" s="280"/>
      <c r="AG347" s="280"/>
      <c r="AH347" s="280"/>
      <c r="AI347" s="280"/>
      <c r="AJ347" s="280"/>
      <c r="AK347" s="280"/>
      <c r="AL347" s="280"/>
      <c r="AM347" s="280"/>
      <c r="AN347" s="280"/>
      <c r="AO347" s="280"/>
      <c r="AP347" s="280"/>
      <c r="AQ347" s="280"/>
      <c r="AR347" s="280"/>
      <c r="AS347" s="280"/>
      <c r="AT347" s="280"/>
      <c r="AU347" s="280"/>
      <c r="AV347" s="280"/>
      <c r="AW347" s="280"/>
      <c r="AX347" s="280"/>
      <c r="AY347" s="280"/>
      <c r="AZ347" s="280"/>
    </row>
    <row r="348" spans="1:52" ht="12.75" x14ac:dyDescent="0.2">
      <c r="A348" s="280"/>
      <c r="B348" s="280"/>
      <c r="C348" s="280"/>
      <c r="D348" s="280"/>
      <c r="E348" s="280"/>
      <c r="F348" s="280"/>
      <c r="G348" s="280"/>
      <c r="H348" s="280"/>
      <c r="I348" s="280"/>
      <c r="J348" s="280"/>
      <c r="K348" s="280"/>
      <c r="L348" s="280"/>
      <c r="M348" s="280"/>
      <c r="N348" s="280"/>
      <c r="O348" s="280"/>
      <c r="P348" s="280"/>
      <c r="Q348" s="280"/>
      <c r="R348" s="280"/>
      <c r="S348" s="280"/>
      <c r="T348" s="280"/>
      <c r="U348" s="280"/>
      <c r="V348" s="280"/>
      <c r="W348" s="280"/>
      <c r="X348" s="280"/>
      <c r="Y348" s="280"/>
      <c r="Z348" s="280"/>
      <c r="AA348" s="280"/>
      <c r="AB348" s="280"/>
      <c r="AC348" s="280"/>
      <c r="AD348" s="280"/>
      <c r="AE348" s="280"/>
      <c r="AF348" s="280"/>
      <c r="AG348" s="280"/>
      <c r="AH348" s="280"/>
      <c r="AI348" s="280"/>
      <c r="AJ348" s="280"/>
      <c r="AK348" s="280"/>
      <c r="AL348" s="280"/>
      <c r="AM348" s="280"/>
      <c r="AN348" s="280"/>
      <c r="AO348" s="280"/>
      <c r="AP348" s="280"/>
      <c r="AQ348" s="280"/>
      <c r="AR348" s="280"/>
      <c r="AS348" s="280"/>
      <c r="AT348" s="280"/>
      <c r="AU348" s="280"/>
      <c r="AV348" s="280"/>
      <c r="AW348" s="280"/>
      <c r="AX348" s="280"/>
      <c r="AY348" s="280"/>
      <c r="AZ348" s="280"/>
    </row>
    <row r="349" spans="1:52" ht="12.75" x14ac:dyDescent="0.2">
      <c r="A349" s="280"/>
      <c r="B349" s="280"/>
      <c r="C349" s="280"/>
      <c r="D349" s="280"/>
      <c r="E349" s="280"/>
      <c r="F349" s="280"/>
      <c r="G349" s="280"/>
      <c r="H349" s="280"/>
      <c r="I349" s="280"/>
      <c r="J349" s="280"/>
      <c r="K349" s="280"/>
      <c r="L349" s="280"/>
      <c r="M349" s="280"/>
      <c r="N349" s="280"/>
      <c r="O349" s="280"/>
      <c r="P349" s="280"/>
      <c r="Q349" s="280"/>
      <c r="R349" s="280"/>
      <c r="S349" s="280"/>
      <c r="T349" s="280"/>
      <c r="U349" s="280"/>
      <c r="V349" s="280"/>
      <c r="W349" s="280"/>
      <c r="X349" s="280"/>
      <c r="Y349" s="280"/>
      <c r="Z349" s="280"/>
      <c r="AA349" s="280"/>
      <c r="AB349" s="280"/>
      <c r="AC349" s="280"/>
      <c r="AD349" s="280"/>
      <c r="AE349" s="280"/>
      <c r="AF349" s="280"/>
      <c r="AG349" s="280"/>
      <c r="AH349" s="280"/>
      <c r="AI349" s="280"/>
      <c r="AJ349" s="280"/>
      <c r="AK349" s="280"/>
      <c r="AL349" s="280"/>
      <c r="AM349" s="280"/>
      <c r="AN349" s="280"/>
      <c r="AO349" s="280"/>
      <c r="AP349" s="280"/>
      <c r="AQ349" s="280"/>
      <c r="AR349" s="280"/>
      <c r="AS349" s="280"/>
      <c r="AT349" s="280"/>
      <c r="AU349" s="280"/>
      <c r="AV349" s="280"/>
      <c r="AW349" s="280"/>
      <c r="AX349" s="280"/>
      <c r="AY349" s="280"/>
      <c r="AZ349" s="280"/>
    </row>
    <row r="350" spans="1:52" ht="12.75" x14ac:dyDescent="0.2">
      <c r="A350" s="280"/>
      <c r="B350" s="280"/>
      <c r="C350" s="280"/>
      <c r="D350" s="280"/>
      <c r="E350" s="280"/>
      <c r="F350" s="280"/>
      <c r="G350" s="280"/>
      <c r="H350" s="280"/>
      <c r="I350" s="280"/>
      <c r="J350" s="280"/>
      <c r="K350" s="280"/>
      <c r="L350" s="280"/>
      <c r="M350" s="280"/>
      <c r="N350" s="280"/>
      <c r="O350" s="280"/>
      <c r="P350" s="280"/>
      <c r="Q350" s="280"/>
      <c r="R350" s="280"/>
      <c r="S350" s="280"/>
      <c r="T350" s="280"/>
      <c r="U350" s="280"/>
      <c r="V350" s="280"/>
      <c r="W350" s="280"/>
      <c r="X350" s="280"/>
      <c r="Y350" s="280"/>
      <c r="Z350" s="280"/>
      <c r="AA350" s="280"/>
      <c r="AB350" s="280"/>
      <c r="AC350" s="280"/>
      <c r="AD350" s="280"/>
      <c r="AE350" s="280"/>
      <c r="AF350" s="280"/>
      <c r="AG350" s="280"/>
      <c r="AH350" s="280"/>
      <c r="AI350" s="280"/>
      <c r="AJ350" s="280"/>
      <c r="AK350" s="280"/>
      <c r="AL350" s="280"/>
      <c r="AM350" s="280"/>
      <c r="AN350" s="280"/>
      <c r="AO350" s="280"/>
      <c r="AP350" s="280"/>
      <c r="AQ350" s="280"/>
      <c r="AR350" s="280"/>
      <c r="AS350" s="280"/>
      <c r="AT350" s="280"/>
      <c r="AU350" s="280"/>
      <c r="AV350" s="280"/>
      <c r="AW350" s="280"/>
      <c r="AX350" s="280"/>
      <c r="AY350" s="280"/>
      <c r="AZ350" s="280"/>
    </row>
    <row r="351" spans="1:52" ht="12.75" x14ac:dyDescent="0.2">
      <c r="A351" s="280"/>
      <c r="B351" s="280"/>
      <c r="C351" s="280"/>
      <c r="D351" s="280"/>
      <c r="E351" s="280"/>
      <c r="F351" s="280"/>
      <c r="G351" s="280"/>
      <c r="H351" s="280"/>
      <c r="I351" s="280"/>
      <c r="J351" s="280"/>
      <c r="K351" s="280"/>
      <c r="L351" s="280"/>
      <c r="M351" s="280"/>
      <c r="N351" s="280"/>
      <c r="O351" s="280"/>
      <c r="P351" s="280"/>
      <c r="Q351" s="280"/>
      <c r="R351" s="280"/>
      <c r="S351" s="280"/>
      <c r="T351" s="280"/>
      <c r="U351" s="280"/>
      <c r="V351" s="280"/>
      <c r="W351" s="280"/>
      <c r="X351" s="280"/>
      <c r="Y351" s="280"/>
      <c r="Z351" s="280"/>
      <c r="AA351" s="280"/>
      <c r="AB351" s="280"/>
      <c r="AC351" s="280"/>
      <c r="AD351" s="280"/>
      <c r="AE351" s="280"/>
      <c r="AF351" s="280"/>
      <c r="AG351" s="280"/>
      <c r="AH351" s="280"/>
      <c r="AI351" s="280"/>
      <c r="AJ351" s="280"/>
      <c r="AK351" s="280"/>
      <c r="AL351" s="280"/>
      <c r="AM351" s="280"/>
      <c r="AN351" s="280"/>
      <c r="AO351" s="280"/>
      <c r="AP351" s="280"/>
      <c r="AQ351" s="280"/>
      <c r="AR351" s="280"/>
      <c r="AS351" s="280"/>
      <c r="AT351" s="280"/>
      <c r="AU351" s="280"/>
      <c r="AV351" s="280"/>
      <c r="AW351" s="280"/>
      <c r="AX351" s="280"/>
      <c r="AY351" s="280"/>
      <c r="AZ351" s="280"/>
    </row>
    <row r="352" spans="1:52" ht="12.75" x14ac:dyDescent="0.2">
      <c r="A352" s="280"/>
      <c r="B352" s="280"/>
      <c r="C352" s="280"/>
      <c r="D352" s="280"/>
      <c r="E352" s="280"/>
      <c r="F352" s="280"/>
      <c r="G352" s="280"/>
      <c r="H352" s="280"/>
      <c r="I352" s="280"/>
      <c r="J352" s="280"/>
      <c r="K352" s="280"/>
      <c r="L352" s="280"/>
      <c r="M352" s="280"/>
      <c r="N352" s="280"/>
      <c r="O352" s="280"/>
      <c r="P352" s="280"/>
      <c r="Q352" s="280"/>
      <c r="R352" s="280"/>
      <c r="S352" s="280"/>
      <c r="T352" s="280"/>
      <c r="U352" s="280"/>
      <c r="V352" s="280"/>
      <c r="W352" s="280"/>
      <c r="X352" s="280"/>
      <c r="Y352" s="280"/>
      <c r="Z352" s="280"/>
      <c r="AA352" s="280"/>
      <c r="AB352" s="280"/>
      <c r="AC352" s="280"/>
      <c r="AD352" s="280"/>
      <c r="AE352" s="280"/>
      <c r="AF352" s="280"/>
      <c r="AG352" s="280"/>
      <c r="AH352" s="280"/>
      <c r="AI352" s="280"/>
      <c r="AJ352" s="280"/>
      <c r="AK352" s="280"/>
      <c r="AL352" s="280"/>
      <c r="AM352" s="280"/>
      <c r="AN352" s="280"/>
      <c r="AO352" s="280"/>
      <c r="AP352" s="280"/>
      <c r="AQ352" s="280"/>
      <c r="AR352" s="280"/>
      <c r="AS352" s="280"/>
      <c r="AT352" s="280"/>
      <c r="AU352" s="280"/>
      <c r="AV352" s="280"/>
      <c r="AW352" s="280"/>
      <c r="AX352" s="280"/>
      <c r="AY352" s="280"/>
      <c r="AZ352" s="280"/>
    </row>
    <row r="353" spans="1:52" ht="12.75" x14ac:dyDescent="0.2">
      <c r="A353" s="280"/>
      <c r="B353" s="280"/>
      <c r="C353" s="280"/>
      <c r="D353" s="280"/>
      <c r="E353" s="280"/>
      <c r="F353" s="280"/>
      <c r="G353" s="280"/>
      <c r="H353" s="280"/>
      <c r="I353" s="280"/>
      <c r="J353" s="280"/>
      <c r="K353" s="280"/>
      <c r="L353" s="280"/>
      <c r="M353" s="280"/>
      <c r="N353" s="280"/>
      <c r="O353" s="280"/>
      <c r="P353" s="280"/>
      <c r="Q353" s="280"/>
      <c r="R353" s="280"/>
      <c r="S353" s="280"/>
      <c r="T353" s="280"/>
      <c r="U353" s="280"/>
      <c r="V353" s="280"/>
      <c r="W353" s="280"/>
      <c r="X353" s="280"/>
      <c r="Y353" s="280"/>
      <c r="Z353" s="280"/>
      <c r="AA353" s="280"/>
      <c r="AB353" s="280"/>
      <c r="AC353" s="280"/>
      <c r="AD353" s="280"/>
      <c r="AE353" s="280"/>
      <c r="AF353" s="280"/>
      <c r="AG353" s="280"/>
      <c r="AH353" s="280"/>
      <c r="AI353" s="280"/>
      <c r="AJ353" s="280"/>
      <c r="AK353" s="280"/>
      <c r="AL353" s="280"/>
      <c r="AM353" s="280"/>
      <c r="AN353" s="280"/>
      <c r="AO353" s="280"/>
      <c r="AP353" s="280"/>
      <c r="AQ353" s="280"/>
      <c r="AR353" s="280"/>
      <c r="AS353" s="280"/>
      <c r="AT353" s="280"/>
      <c r="AU353" s="280"/>
      <c r="AV353" s="280"/>
      <c r="AW353" s="280"/>
      <c r="AX353" s="280"/>
      <c r="AY353" s="280"/>
      <c r="AZ353" s="280"/>
    </row>
    <row r="354" spans="1:52" ht="12.75" x14ac:dyDescent="0.2">
      <c r="A354" s="280"/>
      <c r="B354" s="280"/>
      <c r="C354" s="280"/>
      <c r="D354" s="280"/>
      <c r="E354" s="280"/>
      <c r="F354" s="280"/>
      <c r="G354" s="280"/>
      <c r="H354" s="280"/>
      <c r="I354" s="280"/>
      <c r="J354" s="280"/>
      <c r="K354" s="280"/>
      <c r="L354" s="280"/>
      <c r="M354" s="280"/>
      <c r="N354" s="280"/>
      <c r="O354" s="280"/>
      <c r="P354" s="280"/>
      <c r="Q354" s="280"/>
      <c r="R354" s="280"/>
      <c r="S354" s="280"/>
      <c r="T354" s="280"/>
      <c r="U354" s="280"/>
      <c r="V354" s="280"/>
      <c r="W354" s="280"/>
      <c r="X354" s="280"/>
      <c r="Y354" s="280"/>
      <c r="Z354" s="280"/>
      <c r="AA354" s="280"/>
      <c r="AB354" s="280"/>
      <c r="AC354" s="280"/>
      <c r="AD354" s="280"/>
      <c r="AE354" s="280"/>
      <c r="AF354" s="280"/>
      <c r="AG354" s="280"/>
      <c r="AH354" s="280"/>
      <c r="AI354" s="280"/>
      <c r="AJ354" s="280"/>
      <c r="AK354" s="280"/>
      <c r="AL354" s="280"/>
      <c r="AM354" s="280"/>
      <c r="AN354" s="280"/>
      <c r="AO354" s="280"/>
      <c r="AP354" s="280"/>
      <c r="AQ354" s="280"/>
      <c r="AR354" s="280"/>
      <c r="AS354" s="280"/>
      <c r="AT354" s="280"/>
      <c r="AU354" s="280"/>
      <c r="AV354" s="280"/>
      <c r="AW354" s="280"/>
      <c r="AX354" s="280"/>
      <c r="AY354" s="280"/>
      <c r="AZ354" s="280"/>
    </row>
    <row r="355" spans="1:52" ht="12.75" x14ac:dyDescent="0.2">
      <c r="A355" s="280"/>
      <c r="B355" s="280"/>
      <c r="C355" s="280"/>
      <c r="D355" s="280"/>
      <c r="E355" s="280"/>
      <c r="F355" s="280"/>
      <c r="G355" s="280"/>
      <c r="H355" s="280"/>
      <c r="I355" s="280"/>
      <c r="J355" s="280"/>
      <c r="K355" s="280"/>
      <c r="L355" s="280"/>
      <c r="M355" s="280"/>
      <c r="N355" s="280"/>
      <c r="O355" s="280"/>
      <c r="P355" s="280"/>
      <c r="Q355" s="280"/>
      <c r="R355" s="280"/>
      <c r="S355" s="280"/>
      <c r="T355" s="280"/>
      <c r="U355" s="280"/>
      <c r="V355" s="280"/>
      <c r="W355" s="280"/>
      <c r="X355" s="280"/>
      <c r="Y355" s="280"/>
      <c r="Z355" s="280"/>
      <c r="AA355" s="280"/>
      <c r="AB355" s="280"/>
      <c r="AC355" s="280"/>
      <c r="AD355" s="280"/>
      <c r="AE355" s="280"/>
      <c r="AF355" s="280"/>
      <c r="AG355" s="280"/>
      <c r="AH355" s="280"/>
      <c r="AI355" s="280"/>
      <c r="AJ355" s="280"/>
      <c r="AK355" s="280"/>
      <c r="AL355" s="280"/>
      <c r="AM355" s="280"/>
      <c r="AN355" s="280"/>
      <c r="AO355" s="280"/>
      <c r="AP355" s="280"/>
      <c r="AQ355" s="280"/>
      <c r="AR355" s="280"/>
      <c r="AS355" s="280"/>
      <c r="AT355" s="280"/>
      <c r="AU355" s="280"/>
      <c r="AV355" s="280"/>
      <c r="AW355" s="280"/>
      <c r="AX355" s="280"/>
      <c r="AY355" s="280"/>
      <c r="AZ355" s="280"/>
    </row>
    <row r="356" spans="1:52" ht="12.75" x14ac:dyDescent="0.2">
      <c r="A356" s="280"/>
      <c r="B356" s="280"/>
      <c r="C356" s="280"/>
      <c r="D356" s="280"/>
      <c r="E356" s="280"/>
      <c r="F356" s="280"/>
      <c r="G356" s="280"/>
      <c r="H356" s="280"/>
      <c r="I356" s="280"/>
      <c r="J356" s="280"/>
      <c r="K356" s="280"/>
      <c r="L356" s="280"/>
      <c r="M356" s="280"/>
      <c r="N356" s="280"/>
      <c r="O356" s="280"/>
      <c r="P356" s="280"/>
      <c r="Q356" s="280"/>
      <c r="R356" s="280"/>
      <c r="S356" s="280"/>
      <c r="T356" s="280"/>
      <c r="U356" s="280"/>
      <c r="V356" s="280"/>
      <c r="W356" s="280"/>
      <c r="X356" s="280"/>
      <c r="Y356" s="280"/>
      <c r="Z356" s="280"/>
      <c r="AA356" s="280"/>
      <c r="AB356" s="280"/>
      <c r="AC356" s="280"/>
      <c r="AD356" s="280"/>
      <c r="AE356" s="280"/>
      <c r="AF356" s="280"/>
      <c r="AG356" s="280"/>
      <c r="AH356" s="280"/>
      <c r="AI356" s="280"/>
      <c r="AJ356" s="280"/>
      <c r="AK356" s="280"/>
      <c r="AL356" s="280"/>
      <c r="AM356" s="280"/>
      <c r="AN356" s="280"/>
      <c r="AO356" s="280"/>
      <c r="AP356" s="280"/>
      <c r="AQ356" s="280"/>
      <c r="AR356" s="280"/>
      <c r="AS356" s="280"/>
      <c r="AT356" s="280"/>
      <c r="AU356" s="280"/>
      <c r="AV356" s="280"/>
      <c r="AW356" s="280"/>
      <c r="AX356" s="280"/>
      <c r="AY356" s="280"/>
      <c r="AZ356" s="280"/>
    </row>
    <row r="357" spans="1:52" ht="12.75" x14ac:dyDescent="0.2">
      <c r="A357" s="280"/>
      <c r="B357" s="280"/>
      <c r="C357" s="280"/>
      <c r="D357" s="280"/>
      <c r="E357" s="280"/>
      <c r="F357" s="280"/>
      <c r="G357" s="280"/>
      <c r="H357" s="280"/>
      <c r="I357" s="280"/>
      <c r="J357" s="280"/>
      <c r="K357" s="280"/>
      <c r="L357" s="280"/>
      <c r="M357" s="280"/>
      <c r="N357" s="280"/>
      <c r="O357" s="280"/>
      <c r="P357" s="280"/>
      <c r="Q357" s="280"/>
      <c r="R357" s="280"/>
      <c r="S357" s="280"/>
      <c r="T357" s="280"/>
      <c r="U357" s="280"/>
      <c r="V357" s="280"/>
      <c r="W357" s="280"/>
      <c r="X357" s="280"/>
      <c r="Y357" s="280"/>
      <c r="Z357" s="280"/>
      <c r="AA357" s="280"/>
      <c r="AB357" s="280"/>
      <c r="AC357" s="280"/>
      <c r="AD357" s="280"/>
      <c r="AE357" s="280"/>
      <c r="AF357" s="280"/>
      <c r="AG357" s="280"/>
      <c r="AH357" s="280"/>
      <c r="AI357" s="280"/>
      <c r="AJ357" s="280"/>
      <c r="AK357" s="280"/>
      <c r="AL357" s="280"/>
      <c r="AM357" s="280"/>
      <c r="AN357" s="280"/>
      <c r="AO357" s="280"/>
      <c r="AP357" s="280"/>
      <c r="AQ357" s="280"/>
      <c r="AR357" s="280"/>
      <c r="AS357" s="280"/>
      <c r="AT357" s="280"/>
      <c r="AU357" s="280"/>
      <c r="AV357" s="280"/>
      <c r="AW357" s="280"/>
      <c r="AX357" s="280"/>
      <c r="AY357" s="280"/>
      <c r="AZ357" s="280"/>
    </row>
    <row r="358" spans="1:52" ht="12.75" x14ac:dyDescent="0.2">
      <c r="A358" s="280"/>
      <c r="B358" s="280"/>
      <c r="C358" s="280"/>
      <c r="D358" s="280"/>
      <c r="E358" s="280"/>
      <c r="F358" s="280"/>
      <c r="G358" s="280"/>
      <c r="H358" s="280"/>
      <c r="I358" s="280"/>
      <c r="J358" s="280"/>
      <c r="K358" s="280"/>
      <c r="L358" s="280"/>
      <c r="M358" s="280"/>
      <c r="N358" s="280"/>
      <c r="O358" s="280"/>
      <c r="P358" s="280"/>
      <c r="Q358" s="280"/>
      <c r="R358" s="280"/>
      <c r="S358" s="280"/>
      <c r="T358" s="280"/>
      <c r="U358" s="280"/>
      <c r="V358" s="280"/>
      <c r="W358" s="280"/>
      <c r="X358" s="280"/>
      <c r="Y358" s="280"/>
      <c r="Z358" s="280"/>
      <c r="AA358" s="280"/>
      <c r="AB358" s="280"/>
      <c r="AC358" s="280"/>
      <c r="AD358" s="280"/>
      <c r="AE358" s="280"/>
      <c r="AF358" s="280"/>
      <c r="AG358" s="280"/>
      <c r="AH358" s="280"/>
      <c r="AI358" s="280"/>
      <c r="AJ358" s="280"/>
      <c r="AK358" s="280"/>
      <c r="AL358" s="280"/>
      <c r="AM358" s="280"/>
      <c r="AN358" s="280"/>
      <c r="AO358" s="280"/>
      <c r="AP358" s="280"/>
      <c r="AQ358" s="280"/>
      <c r="AR358" s="280"/>
      <c r="AS358" s="280"/>
      <c r="AT358" s="280"/>
      <c r="AU358" s="280"/>
      <c r="AV358" s="280"/>
      <c r="AW358" s="280"/>
      <c r="AX358" s="280"/>
      <c r="AY358" s="280"/>
      <c r="AZ358" s="280"/>
    </row>
    <row r="359" spans="1:52" ht="12.75" x14ac:dyDescent="0.2">
      <c r="A359" s="280"/>
      <c r="B359" s="280"/>
      <c r="C359" s="280"/>
      <c r="D359" s="280"/>
      <c r="E359" s="280"/>
      <c r="F359" s="280"/>
      <c r="G359" s="280"/>
      <c r="H359" s="280"/>
      <c r="I359" s="280"/>
      <c r="J359" s="280"/>
      <c r="K359" s="280"/>
      <c r="L359" s="280"/>
      <c r="M359" s="280"/>
      <c r="N359" s="280"/>
      <c r="O359" s="280"/>
      <c r="P359" s="280"/>
      <c r="Q359" s="280"/>
      <c r="R359" s="280"/>
      <c r="S359" s="280"/>
      <c r="T359" s="280"/>
      <c r="U359" s="280"/>
      <c r="V359" s="280"/>
      <c r="W359" s="280"/>
      <c r="X359" s="280"/>
      <c r="Y359" s="280"/>
      <c r="Z359" s="280"/>
      <c r="AA359" s="280"/>
      <c r="AB359" s="280"/>
      <c r="AC359" s="280"/>
      <c r="AD359" s="280"/>
      <c r="AE359" s="280"/>
      <c r="AF359" s="280"/>
      <c r="AG359" s="280"/>
      <c r="AH359" s="280"/>
      <c r="AI359" s="280"/>
      <c r="AJ359" s="280"/>
      <c r="AK359" s="280"/>
      <c r="AL359" s="280"/>
      <c r="AM359" s="280"/>
      <c r="AN359" s="280"/>
      <c r="AO359" s="280"/>
      <c r="AP359" s="280"/>
      <c r="AQ359" s="280"/>
      <c r="AR359" s="280"/>
      <c r="AS359" s="280"/>
      <c r="AT359" s="280"/>
      <c r="AU359" s="280"/>
      <c r="AV359" s="280"/>
      <c r="AW359" s="280"/>
      <c r="AX359" s="280"/>
      <c r="AY359" s="280"/>
      <c r="AZ359" s="280"/>
    </row>
    <row r="360" spans="1:52" ht="12.75" x14ac:dyDescent="0.2">
      <c r="A360" s="280"/>
      <c r="B360" s="280"/>
      <c r="C360" s="280"/>
      <c r="D360" s="280"/>
      <c r="E360" s="280"/>
      <c r="F360" s="280"/>
      <c r="G360" s="280"/>
      <c r="H360" s="280"/>
      <c r="I360" s="280"/>
      <c r="J360" s="280"/>
      <c r="K360" s="280"/>
      <c r="L360" s="280"/>
      <c r="M360" s="280"/>
      <c r="N360" s="280"/>
      <c r="O360" s="280"/>
      <c r="P360" s="280"/>
      <c r="Q360" s="280"/>
      <c r="R360" s="280"/>
      <c r="S360" s="280"/>
      <c r="T360" s="280"/>
      <c r="U360" s="280"/>
      <c r="V360" s="280"/>
      <c r="W360" s="280"/>
      <c r="X360" s="280"/>
      <c r="Y360" s="280"/>
      <c r="Z360" s="280"/>
      <c r="AA360" s="280"/>
      <c r="AB360" s="280"/>
      <c r="AC360" s="280"/>
      <c r="AD360" s="280"/>
      <c r="AE360" s="280"/>
      <c r="AF360" s="280"/>
      <c r="AG360" s="280"/>
      <c r="AH360" s="280"/>
      <c r="AI360" s="280"/>
      <c r="AJ360" s="280"/>
      <c r="AK360" s="280"/>
      <c r="AL360" s="280"/>
      <c r="AM360" s="280"/>
      <c r="AN360" s="280"/>
      <c r="AO360" s="280"/>
      <c r="AP360" s="280"/>
      <c r="AQ360" s="280"/>
      <c r="AR360" s="280"/>
      <c r="AS360" s="280"/>
      <c r="AT360" s="280"/>
      <c r="AU360" s="280"/>
      <c r="AV360" s="280"/>
      <c r="AW360" s="280"/>
      <c r="AX360" s="280"/>
      <c r="AY360" s="280"/>
      <c r="AZ360" s="280"/>
    </row>
    <row r="361" spans="1:52" ht="12.75" x14ac:dyDescent="0.2">
      <c r="A361" s="280"/>
      <c r="B361" s="280"/>
      <c r="C361" s="280"/>
      <c r="D361" s="280"/>
      <c r="E361" s="280"/>
      <c r="F361" s="280"/>
      <c r="G361" s="280"/>
      <c r="H361" s="280"/>
      <c r="I361" s="280"/>
      <c r="J361" s="280"/>
      <c r="K361" s="280"/>
      <c r="L361" s="280"/>
      <c r="M361" s="280"/>
      <c r="N361" s="280"/>
      <c r="O361" s="280"/>
      <c r="P361" s="280"/>
      <c r="Q361" s="280"/>
      <c r="R361" s="280"/>
      <c r="S361" s="280"/>
      <c r="T361" s="280"/>
      <c r="U361" s="280"/>
      <c r="V361" s="280"/>
      <c r="W361" s="280"/>
      <c r="X361" s="280"/>
      <c r="Y361" s="280"/>
      <c r="Z361" s="280"/>
      <c r="AA361" s="280"/>
      <c r="AB361" s="280"/>
      <c r="AC361" s="280"/>
      <c r="AD361" s="280"/>
      <c r="AE361" s="280"/>
      <c r="AF361" s="280"/>
      <c r="AG361" s="280"/>
      <c r="AH361" s="280"/>
      <c r="AI361" s="280"/>
      <c r="AJ361" s="280"/>
      <c r="AK361" s="280"/>
      <c r="AL361" s="280"/>
      <c r="AM361" s="280"/>
      <c r="AN361" s="280"/>
      <c r="AO361" s="280"/>
      <c r="AP361" s="280"/>
      <c r="AQ361" s="280"/>
      <c r="AR361" s="280"/>
      <c r="AS361" s="280"/>
      <c r="AT361" s="280"/>
      <c r="AU361" s="280"/>
      <c r="AV361" s="280"/>
      <c r="AW361" s="280"/>
      <c r="AX361" s="280"/>
      <c r="AY361" s="280"/>
      <c r="AZ361" s="280"/>
    </row>
    <row r="362" spans="1:52" ht="12.75" x14ac:dyDescent="0.2">
      <c r="A362" s="280"/>
      <c r="B362" s="280"/>
      <c r="C362" s="280"/>
      <c r="D362" s="280"/>
      <c r="E362" s="280"/>
      <c r="F362" s="280"/>
      <c r="G362" s="280"/>
      <c r="H362" s="280"/>
      <c r="I362" s="280"/>
      <c r="J362" s="280"/>
      <c r="K362" s="280"/>
      <c r="L362" s="280"/>
      <c r="M362" s="280"/>
      <c r="N362" s="280"/>
      <c r="O362" s="280"/>
      <c r="P362" s="280"/>
      <c r="Q362" s="280"/>
      <c r="R362" s="280"/>
      <c r="S362" s="280"/>
      <c r="T362" s="280"/>
      <c r="U362" s="280"/>
      <c r="V362" s="280"/>
      <c r="W362" s="280"/>
      <c r="X362" s="280"/>
      <c r="Y362" s="280"/>
      <c r="Z362" s="280"/>
      <c r="AA362" s="280"/>
      <c r="AB362" s="280"/>
      <c r="AC362" s="280"/>
      <c r="AD362" s="280"/>
      <c r="AE362" s="280"/>
      <c r="AF362" s="280"/>
      <c r="AG362" s="280"/>
      <c r="AH362" s="280"/>
      <c r="AI362" s="280"/>
      <c r="AJ362" s="280"/>
      <c r="AK362" s="280"/>
      <c r="AL362" s="280"/>
      <c r="AM362" s="280"/>
      <c r="AN362" s="280"/>
      <c r="AO362" s="280"/>
      <c r="AP362" s="280"/>
      <c r="AQ362" s="280"/>
      <c r="AR362" s="280"/>
      <c r="AS362" s="280"/>
      <c r="AT362" s="280"/>
      <c r="AU362" s="280"/>
      <c r="AV362" s="280"/>
      <c r="AW362" s="280"/>
      <c r="AX362" s="280"/>
      <c r="AY362" s="280"/>
      <c r="AZ362" s="280"/>
    </row>
    <row r="363" spans="1:52" ht="12.75" x14ac:dyDescent="0.2">
      <c r="A363" s="280"/>
      <c r="B363" s="280"/>
      <c r="C363" s="280"/>
      <c r="D363" s="280"/>
      <c r="E363" s="280"/>
      <c r="F363" s="280"/>
      <c r="G363" s="280"/>
      <c r="H363" s="280"/>
      <c r="I363" s="280"/>
      <c r="J363" s="280"/>
      <c r="K363" s="280"/>
      <c r="L363" s="280"/>
      <c r="M363" s="280"/>
      <c r="N363" s="280"/>
      <c r="O363" s="280"/>
      <c r="P363" s="280"/>
      <c r="Q363" s="280"/>
      <c r="R363" s="280"/>
      <c r="S363" s="280"/>
      <c r="T363" s="280"/>
      <c r="U363" s="280"/>
      <c r="V363" s="280"/>
      <c r="W363" s="280"/>
      <c r="X363" s="280"/>
      <c r="Y363" s="280"/>
      <c r="Z363" s="280"/>
      <c r="AA363" s="280"/>
      <c r="AB363" s="280"/>
      <c r="AC363" s="280"/>
      <c r="AD363" s="280"/>
      <c r="AE363" s="280"/>
      <c r="AF363" s="280"/>
      <c r="AG363" s="280"/>
      <c r="AH363" s="280"/>
      <c r="AI363" s="280"/>
      <c r="AJ363" s="280"/>
      <c r="AK363" s="280"/>
      <c r="AL363" s="280"/>
      <c r="AM363" s="280"/>
      <c r="AN363" s="280"/>
      <c r="AO363" s="280"/>
      <c r="AP363" s="280"/>
      <c r="AQ363" s="280"/>
      <c r="AR363" s="280"/>
      <c r="AS363" s="280"/>
      <c r="AT363" s="280"/>
      <c r="AU363" s="280"/>
      <c r="AV363" s="280"/>
      <c r="AW363" s="280"/>
      <c r="AX363" s="280"/>
      <c r="AY363" s="280"/>
      <c r="AZ363" s="280"/>
    </row>
    <row r="364" spans="1:52" ht="12.75" x14ac:dyDescent="0.2">
      <c r="A364" s="280"/>
      <c r="B364" s="280"/>
      <c r="C364" s="280"/>
      <c r="D364" s="280"/>
      <c r="E364" s="280"/>
      <c r="F364" s="280"/>
      <c r="G364" s="280"/>
      <c r="H364" s="280"/>
      <c r="I364" s="280"/>
      <c r="J364" s="280"/>
      <c r="K364" s="280"/>
      <c r="L364" s="280"/>
      <c r="M364" s="280"/>
      <c r="N364" s="280"/>
      <c r="O364" s="280"/>
      <c r="P364" s="280"/>
      <c r="Q364" s="280"/>
      <c r="R364" s="280"/>
      <c r="S364" s="280"/>
      <c r="T364" s="280"/>
      <c r="U364" s="280"/>
      <c r="V364" s="280"/>
      <c r="W364" s="280"/>
      <c r="X364" s="280"/>
      <c r="Y364" s="280"/>
      <c r="Z364" s="280"/>
      <c r="AA364" s="280"/>
      <c r="AB364" s="280"/>
      <c r="AC364" s="280"/>
      <c r="AD364" s="280"/>
      <c r="AE364" s="280"/>
      <c r="AF364" s="280"/>
      <c r="AG364" s="280"/>
      <c r="AH364" s="280"/>
      <c r="AI364" s="280"/>
      <c r="AJ364" s="280"/>
      <c r="AK364" s="280"/>
      <c r="AL364" s="280"/>
      <c r="AM364" s="280"/>
      <c r="AN364" s="280"/>
      <c r="AO364" s="280"/>
      <c r="AP364" s="280"/>
      <c r="AQ364" s="280"/>
      <c r="AR364" s="280"/>
      <c r="AS364" s="280"/>
      <c r="AT364" s="280"/>
      <c r="AU364" s="280"/>
      <c r="AV364" s="280"/>
      <c r="AW364" s="280"/>
      <c r="AX364" s="280"/>
      <c r="AY364" s="280"/>
      <c r="AZ364" s="280"/>
    </row>
    <row r="365" spans="1:52" ht="12.75" x14ac:dyDescent="0.2">
      <c r="A365" s="280"/>
      <c r="B365" s="280"/>
      <c r="C365" s="280"/>
      <c r="D365" s="280"/>
      <c r="E365" s="280"/>
      <c r="F365" s="280"/>
      <c r="G365" s="280"/>
      <c r="H365" s="280"/>
      <c r="I365" s="280"/>
      <c r="J365" s="280"/>
      <c r="K365" s="280"/>
      <c r="L365" s="280"/>
      <c r="M365" s="280"/>
      <c r="N365" s="280"/>
      <c r="O365" s="280"/>
      <c r="P365" s="280"/>
      <c r="Q365" s="280"/>
      <c r="R365" s="280"/>
      <c r="S365" s="280"/>
      <c r="T365" s="280"/>
      <c r="U365" s="280"/>
      <c r="V365" s="280"/>
      <c r="W365" s="280"/>
      <c r="X365" s="280"/>
      <c r="Y365" s="280"/>
      <c r="Z365" s="280"/>
      <c r="AA365" s="280"/>
      <c r="AB365" s="280"/>
      <c r="AC365" s="280"/>
      <c r="AD365" s="280"/>
      <c r="AE365" s="280"/>
      <c r="AF365" s="280"/>
      <c r="AG365" s="280"/>
      <c r="AH365" s="280"/>
      <c r="AI365" s="280"/>
      <c r="AJ365" s="280"/>
      <c r="AK365" s="280"/>
      <c r="AL365" s="280"/>
      <c r="AM365" s="280"/>
      <c r="AN365" s="280"/>
      <c r="AO365" s="280"/>
      <c r="AP365" s="280"/>
      <c r="AQ365" s="280"/>
      <c r="AR365" s="280"/>
      <c r="AS365" s="280"/>
      <c r="AT365" s="280"/>
      <c r="AU365" s="280"/>
      <c r="AV365" s="280"/>
      <c r="AW365" s="280"/>
      <c r="AX365" s="280"/>
      <c r="AY365" s="280"/>
      <c r="AZ365" s="280"/>
    </row>
    <row r="366" spans="1:52" ht="12.75" x14ac:dyDescent="0.2">
      <c r="A366" s="280"/>
      <c r="B366" s="280"/>
      <c r="C366" s="280"/>
      <c r="D366" s="280"/>
      <c r="E366" s="280"/>
      <c r="F366" s="280"/>
      <c r="G366" s="280"/>
      <c r="H366" s="280"/>
      <c r="I366" s="280"/>
      <c r="J366" s="280"/>
      <c r="K366" s="280"/>
      <c r="L366" s="280"/>
      <c r="M366" s="280"/>
      <c r="N366" s="280"/>
      <c r="O366" s="280"/>
      <c r="P366" s="280"/>
      <c r="Q366" s="280"/>
      <c r="R366" s="280"/>
      <c r="S366" s="280"/>
      <c r="T366" s="280"/>
      <c r="U366" s="280"/>
      <c r="V366" s="280"/>
      <c r="W366" s="280"/>
      <c r="X366" s="280"/>
      <c r="Y366" s="280"/>
      <c r="Z366" s="280"/>
      <c r="AA366" s="280"/>
      <c r="AB366" s="280"/>
      <c r="AC366" s="280"/>
      <c r="AD366" s="280"/>
      <c r="AE366" s="280"/>
      <c r="AF366" s="280"/>
      <c r="AG366" s="280"/>
      <c r="AH366" s="280"/>
      <c r="AI366" s="280"/>
      <c r="AJ366" s="280"/>
      <c r="AK366" s="280"/>
      <c r="AL366" s="280"/>
      <c r="AM366" s="280"/>
      <c r="AN366" s="280"/>
      <c r="AO366" s="280"/>
      <c r="AP366" s="280"/>
      <c r="AQ366" s="280"/>
      <c r="AR366" s="280"/>
      <c r="AS366" s="280"/>
      <c r="AT366" s="280"/>
      <c r="AU366" s="280"/>
      <c r="AV366" s="280"/>
      <c r="AW366" s="280"/>
      <c r="AX366" s="280"/>
      <c r="AY366" s="280"/>
      <c r="AZ366" s="280"/>
    </row>
    <row r="367" spans="1:52" ht="12.75" x14ac:dyDescent="0.2">
      <c r="A367" s="280"/>
      <c r="B367" s="280"/>
      <c r="C367" s="280"/>
      <c r="D367" s="280"/>
      <c r="E367" s="280"/>
      <c r="F367" s="280"/>
      <c r="G367" s="280"/>
      <c r="H367" s="280"/>
      <c r="I367" s="280"/>
      <c r="J367" s="280"/>
      <c r="K367" s="280"/>
      <c r="L367" s="280"/>
      <c r="M367" s="280"/>
      <c r="N367" s="280"/>
      <c r="O367" s="280"/>
      <c r="P367" s="280"/>
      <c r="Q367" s="280"/>
      <c r="R367" s="280"/>
      <c r="S367" s="280"/>
      <c r="T367" s="280"/>
      <c r="U367" s="280"/>
      <c r="V367" s="280"/>
      <c r="W367" s="280"/>
      <c r="X367" s="280"/>
      <c r="Y367" s="280"/>
      <c r="Z367" s="280"/>
      <c r="AA367" s="280"/>
      <c r="AB367" s="280"/>
      <c r="AC367" s="280"/>
      <c r="AD367" s="280"/>
      <c r="AE367" s="280"/>
      <c r="AF367" s="280"/>
      <c r="AG367" s="280"/>
      <c r="AH367" s="280"/>
      <c r="AI367" s="280"/>
      <c r="AJ367" s="280"/>
      <c r="AK367" s="280"/>
      <c r="AL367" s="280"/>
      <c r="AM367" s="280"/>
      <c r="AN367" s="280"/>
      <c r="AO367" s="280"/>
      <c r="AP367" s="280"/>
      <c r="AQ367" s="280"/>
      <c r="AR367" s="280"/>
      <c r="AS367" s="280"/>
      <c r="AT367" s="280"/>
      <c r="AU367" s="280"/>
      <c r="AV367" s="280"/>
      <c r="AW367" s="280"/>
      <c r="AX367" s="280"/>
      <c r="AY367" s="280"/>
      <c r="AZ367" s="280"/>
    </row>
    <row r="368" spans="1:52" ht="12.75" x14ac:dyDescent="0.2">
      <c r="A368" s="280"/>
      <c r="B368" s="280"/>
      <c r="C368" s="280"/>
      <c r="D368" s="280"/>
      <c r="E368" s="280"/>
      <c r="F368" s="280"/>
      <c r="G368" s="280"/>
      <c r="H368" s="280"/>
      <c r="I368" s="280"/>
      <c r="J368" s="280"/>
      <c r="K368" s="280"/>
      <c r="L368" s="280"/>
      <c r="M368" s="280"/>
      <c r="N368" s="280"/>
      <c r="O368" s="280"/>
      <c r="P368" s="280"/>
      <c r="Q368" s="280"/>
      <c r="R368" s="280"/>
      <c r="S368" s="280"/>
      <c r="T368" s="280"/>
      <c r="U368" s="280"/>
      <c r="V368" s="280"/>
      <c r="W368" s="280"/>
      <c r="X368" s="280"/>
      <c r="Y368" s="280"/>
      <c r="Z368" s="280"/>
      <c r="AA368" s="280"/>
      <c r="AB368" s="280"/>
      <c r="AC368" s="280"/>
      <c r="AD368" s="280"/>
      <c r="AE368" s="280"/>
      <c r="AF368" s="280"/>
      <c r="AG368" s="280"/>
      <c r="AH368" s="280"/>
      <c r="AI368" s="280"/>
      <c r="AJ368" s="280"/>
      <c r="AK368" s="280"/>
      <c r="AL368" s="280"/>
      <c r="AM368" s="280"/>
      <c r="AN368" s="280"/>
      <c r="AO368" s="280"/>
      <c r="AP368" s="280"/>
      <c r="AQ368" s="280"/>
      <c r="AR368" s="280"/>
      <c r="AS368" s="280"/>
      <c r="AT368" s="280"/>
      <c r="AU368" s="280"/>
      <c r="AV368" s="280"/>
      <c r="AW368" s="280"/>
      <c r="AX368" s="280"/>
      <c r="AY368" s="280"/>
      <c r="AZ368" s="280"/>
    </row>
    <row r="369" spans="1:52" ht="12.75" x14ac:dyDescent="0.2">
      <c r="A369" s="280"/>
      <c r="B369" s="280"/>
      <c r="C369" s="280"/>
      <c r="D369" s="280"/>
      <c r="E369" s="280"/>
      <c r="F369" s="280"/>
      <c r="G369" s="280"/>
      <c r="H369" s="280"/>
      <c r="I369" s="280"/>
      <c r="J369" s="280"/>
      <c r="K369" s="280"/>
      <c r="L369" s="280"/>
      <c r="M369" s="280"/>
      <c r="N369" s="280"/>
      <c r="O369" s="280"/>
      <c r="P369" s="280"/>
      <c r="Q369" s="280"/>
      <c r="R369" s="280"/>
      <c r="S369" s="280"/>
      <c r="T369" s="280"/>
      <c r="U369" s="280"/>
      <c r="V369" s="280"/>
      <c r="W369" s="280"/>
      <c r="X369" s="280"/>
      <c r="Y369" s="280"/>
      <c r="Z369" s="280"/>
      <c r="AA369" s="280"/>
      <c r="AB369" s="280"/>
      <c r="AC369" s="280"/>
      <c r="AD369" s="280"/>
      <c r="AE369" s="280"/>
      <c r="AF369" s="280"/>
      <c r="AG369" s="280"/>
      <c r="AH369" s="280"/>
      <c r="AI369" s="280"/>
      <c r="AJ369" s="280"/>
      <c r="AK369" s="280"/>
      <c r="AL369" s="280"/>
      <c r="AM369" s="280"/>
      <c r="AN369" s="280"/>
      <c r="AO369" s="280"/>
      <c r="AP369" s="280"/>
      <c r="AQ369" s="280"/>
      <c r="AR369" s="280"/>
      <c r="AS369" s="280"/>
      <c r="AT369" s="280"/>
      <c r="AU369" s="280"/>
      <c r="AV369" s="280"/>
      <c r="AW369" s="280"/>
      <c r="AX369" s="280"/>
      <c r="AY369" s="280"/>
      <c r="AZ369" s="280"/>
    </row>
    <row r="370" spans="1:52" ht="12.75" x14ac:dyDescent="0.2">
      <c r="A370" s="280"/>
      <c r="B370" s="280"/>
      <c r="C370" s="280"/>
      <c r="D370" s="280"/>
      <c r="E370" s="280"/>
      <c r="F370" s="280"/>
      <c r="G370" s="280"/>
      <c r="H370" s="280"/>
      <c r="I370" s="280"/>
      <c r="J370" s="280"/>
      <c r="K370" s="280"/>
      <c r="L370" s="280"/>
      <c r="M370" s="280"/>
      <c r="N370" s="280"/>
      <c r="O370" s="280"/>
      <c r="P370" s="280"/>
      <c r="Q370" s="280"/>
      <c r="R370" s="280"/>
      <c r="S370" s="280"/>
      <c r="T370" s="280"/>
      <c r="U370" s="280"/>
      <c r="V370" s="280"/>
      <c r="W370" s="280"/>
      <c r="X370" s="280"/>
      <c r="Y370" s="280"/>
      <c r="Z370" s="280"/>
      <c r="AA370" s="280"/>
      <c r="AB370" s="280"/>
      <c r="AC370" s="280"/>
      <c r="AD370" s="280"/>
      <c r="AE370" s="280"/>
      <c r="AF370" s="280"/>
      <c r="AG370" s="280"/>
      <c r="AH370" s="280"/>
      <c r="AI370" s="280"/>
      <c r="AJ370" s="280"/>
      <c r="AK370" s="280"/>
      <c r="AL370" s="280"/>
      <c r="AM370" s="280"/>
      <c r="AN370" s="280"/>
      <c r="AO370" s="280"/>
      <c r="AP370" s="280"/>
      <c r="AQ370" s="280"/>
      <c r="AR370" s="280"/>
      <c r="AS370" s="280"/>
      <c r="AT370" s="280"/>
      <c r="AU370" s="280"/>
      <c r="AV370" s="280"/>
      <c r="AW370" s="280"/>
      <c r="AX370" s="280"/>
      <c r="AY370" s="280"/>
      <c r="AZ370" s="280"/>
    </row>
    <row r="371" spans="1:52" ht="12.75" x14ac:dyDescent="0.2">
      <c r="A371" s="280"/>
      <c r="B371" s="280"/>
      <c r="C371" s="280"/>
      <c r="D371" s="280"/>
      <c r="E371" s="280"/>
      <c r="F371" s="280"/>
      <c r="G371" s="280"/>
      <c r="H371" s="280"/>
      <c r="I371" s="280"/>
      <c r="J371" s="280"/>
      <c r="K371" s="280"/>
      <c r="L371" s="280"/>
      <c r="M371" s="280"/>
      <c r="N371" s="280"/>
      <c r="O371" s="280"/>
      <c r="P371" s="280"/>
      <c r="Q371" s="280"/>
      <c r="R371" s="280"/>
      <c r="S371" s="280"/>
      <c r="T371" s="280"/>
      <c r="U371" s="280"/>
      <c r="V371" s="280"/>
      <c r="W371" s="280"/>
      <c r="X371" s="280"/>
      <c r="Y371" s="280"/>
      <c r="Z371" s="280"/>
      <c r="AA371" s="280"/>
      <c r="AB371" s="280"/>
      <c r="AC371" s="280"/>
      <c r="AD371" s="280"/>
      <c r="AE371" s="280"/>
      <c r="AF371" s="280"/>
      <c r="AG371" s="280"/>
      <c r="AH371" s="280"/>
      <c r="AI371" s="280"/>
      <c r="AJ371" s="280"/>
      <c r="AK371" s="280"/>
      <c r="AL371" s="280"/>
      <c r="AM371" s="280"/>
      <c r="AN371" s="280"/>
      <c r="AO371" s="280"/>
      <c r="AP371" s="280"/>
      <c r="AQ371" s="280"/>
      <c r="AR371" s="280"/>
      <c r="AS371" s="280"/>
      <c r="AT371" s="280"/>
      <c r="AU371" s="280"/>
      <c r="AV371" s="280"/>
      <c r="AW371" s="280"/>
      <c r="AX371" s="280"/>
      <c r="AY371" s="280"/>
      <c r="AZ371" s="280"/>
    </row>
    <row r="372" spans="1:52" ht="12.75" x14ac:dyDescent="0.2">
      <c r="A372" s="280"/>
      <c r="B372" s="280"/>
      <c r="C372" s="280"/>
      <c r="D372" s="280"/>
      <c r="E372" s="280"/>
      <c r="F372" s="280"/>
      <c r="G372" s="280"/>
      <c r="H372" s="280"/>
      <c r="I372" s="280"/>
      <c r="J372" s="280"/>
      <c r="K372" s="280"/>
      <c r="L372" s="280"/>
      <c r="M372" s="280"/>
      <c r="N372" s="280"/>
      <c r="O372" s="280"/>
      <c r="P372" s="280"/>
      <c r="Q372" s="280"/>
      <c r="R372" s="280"/>
      <c r="S372" s="280"/>
      <c r="T372" s="280"/>
      <c r="U372" s="280"/>
      <c r="V372" s="280"/>
      <c r="W372" s="280"/>
      <c r="X372" s="280"/>
      <c r="Y372" s="280"/>
      <c r="Z372" s="280"/>
      <c r="AA372" s="280"/>
      <c r="AB372" s="280"/>
      <c r="AC372" s="280"/>
      <c r="AD372" s="280"/>
      <c r="AE372" s="280"/>
      <c r="AF372" s="280"/>
      <c r="AG372" s="280"/>
      <c r="AH372" s="280"/>
      <c r="AI372" s="280"/>
      <c r="AJ372" s="280"/>
      <c r="AK372" s="280"/>
      <c r="AL372" s="280"/>
      <c r="AM372" s="280"/>
      <c r="AN372" s="280"/>
      <c r="AO372" s="280"/>
      <c r="AP372" s="280"/>
      <c r="AQ372" s="280"/>
      <c r="AR372" s="280"/>
      <c r="AS372" s="280"/>
      <c r="AT372" s="280"/>
      <c r="AU372" s="280"/>
      <c r="AV372" s="280"/>
      <c r="AW372" s="280"/>
      <c r="AX372" s="280"/>
      <c r="AY372" s="280"/>
      <c r="AZ372" s="280"/>
    </row>
    <row r="373" spans="1:52" ht="12.75" x14ac:dyDescent="0.2">
      <c r="A373" s="280"/>
      <c r="B373" s="280"/>
      <c r="C373" s="280"/>
      <c r="D373" s="280"/>
      <c r="E373" s="280"/>
      <c r="F373" s="280"/>
      <c r="G373" s="280"/>
      <c r="H373" s="280"/>
      <c r="I373" s="280"/>
      <c r="J373" s="280"/>
      <c r="K373" s="280"/>
      <c r="L373" s="280"/>
      <c r="M373" s="280"/>
      <c r="N373" s="280"/>
      <c r="O373" s="280"/>
      <c r="P373" s="280"/>
      <c r="Q373" s="280"/>
      <c r="R373" s="280"/>
      <c r="S373" s="280"/>
      <c r="T373" s="280"/>
      <c r="U373" s="280"/>
      <c r="V373" s="280"/>
      <c r="W373" s="280"/>
      <c r="X373" s="280"/>
      <c r="Y373" s="280"/>
      <c r="Z373" s="280"/>
      <c r="AA373" s="280"/>
      <c r="AB373" s="280"/>
      <c r="AC373" s="280"/>
      <c r="AD373" s="280"/>
      <c r="AE373" s="280"/>
      <c r="AF373" s="280"/>
      <c r="AG373" s="280"/>
      <c r="AH373" s="280"/>
      <c r="AI373" s="280"/>
      <c r="AJ373" s="280"/>
      <c r="AK373" s="280"/>
      <c r="AL373" s="280"/>
      <c r="AM373" s="280"/>
      <c r="AN373" s="280"/>
      <c r="AO373" s="280"/>
      <c r="AP373" s="280"/>
      <c r="AQ373" s="280"/>
      <c r="AR373" s="280"/>
      <c r="AS373" s="280"/>
      <c r="AT373" s="280"/>
      <c r="AU373" s="280"/>
      <c r="AV373" s="280"/>
      <c r="AW373" s="280"/>
      <c r="AX373" s="280"/>
      <c r="AY373" s="280"/>
      <c r="AZ373" s="280"/>
    </row>
    <row r="374" spans="1:52" ht="12.75" x14ac:dyDescent="0.2">
      <c r="A374" s="280"/>
      <c r="B374" s="280"/>
      <c r="C374" s="280"/>
      <c r="D374" s="280"/>
      <c r="E374" s="280"/>
      <c r="F374" s="280"/>
      <c r="G374" s="280"/>
      <c r="H374" s="280"/>
      <c r="I374" s="280"/>
      <c r="J374" s="280"/>
      <c r="K374" s="280"/>
      <c r="L374" s="280"/>
      <c r="M374" s="280"/>
      <c r="N374" s="280"/>
      <c r="O374" s="280"/>
      <c r="P374" s="280"/>
      <c r="Q374" s="280"/>
      <c r="R374" s="280"/>
      <c r="S374" s="280"/>
      <c r="T374" s="280"/>
      <c r="U374" s="280"/>
      <c r="V374" s="280"/>
      <c r="W374" s="280"/>
      <c r="X374" s="280"/>
      <c r="Y374" s="280"/>
      <c r="Z374" s="280"/>
      <c r="AA374" s="280"/>
      <c r="AB374" s="280"/>
      <c r="AC374" s="280"/>
      <c r="AD374" s="280"/>
      <c r="AE374" s="280"/>
      <c r="AF374" s="280"/>
      <c r="AG374" s="280"/>
      <c r="AH374" s="280"/>
      <c r="AI374" s="280"/>
      <c r="AJ374" s="280"/>
      <c r="AK374" s="280"/>
      <c r="AL374" s="280"/>
      <c r="AM374" s="280"/>
      <c r="AN374" s="280"/>
      <c r="AO374" s="280"/>
      <c r="AP374" s="280"/>
      <c r="AQ374" s="280"/>
      <c r="AR374" s="280"/>
      <c r="AS374" s="280"/>
      <c r="AT374" s="280"/>
      <c r="AU374" s="280"/>
      <c r="AV374" s="280"/>
      <c r="AW374" s="280"/>
      <c r="AX374" s="280"/>
      <c r="AY374" s="280"/>
      <c r="AZ374" s="280"/>
    </row>
    <row r="375" spans="1:52" ht="12.75" x14ac:dyDescent="0.2">
      <c r="A375" s="280"/>
      <c r="B375" s="280"/>
      <c r="C375" s="280"/>
      <c r="D375" s="280"/>
      <c r="E375" s="280"/>
      <c r="F375" s="280"/>
      <c r="G375" s="280"/>
      <c r="H375" s="280"/>
      <c r="I375" s="280"/>
      <c r="J375" s="280"/>
      <c r="K375" s="280"/>
      <c r="L375" s="280"/>
      <c r="M375" s="280"/>
      <c r="N375" s="280"/>
      <c r="O375" s="280"/>
      <c r="P375" s="280"/>
      <c r="Q375" s="280"/>
      <c r="R375" s="280"/>
      <c r="S375" s="280"/>
      <c r="T375" s="280"/>
      <c r="U375" s="280"/>
      <c r="V375" s="280"/>
      <c r="W375" s="280"/>
      <c r="X375" s="280"/>
      <c r="Y375" s="280"/>
      <c r="Z375" s="280"/>
      <c r="AA375" s="280"/>
      <c r="AB375" s="280"/>
      <c r="AC375" s="280"/>
      <c r="AD375" s="280"/>
      <c r="AE375" s="280"/>
      <c r="AF375" s="280"/>
      <c r="AG375" s="280"/>
      <c r="AH375" s="280"/>
      <c r="AI375" s="280"/>
      <c r="AJ375" s="280"/>
      <c r="AK375" s="280"/>
      <c r="AL375" s="280"/>
      <c r="AM375" s="280"/>
      <c r="AN375" s="280"/>
      <c r="AO375" s="280"/>
      <c r="AP375" s="280"/>
      <c r="AQ375" s="280"/>
      <c r="AR375" s="280"/>
      <c r="AS375" s="280"/>
      <c r="AT375" s="280"/>
      <c r="AU375" s="280"/>
      <c r="AV375" s="280"/>
      <c r="AW375" s="280"/>
      <c r="AX375" s="280"/>
      <c r="AY375" s="280"/>
      <c r="AZ375" s="280"/>
    </row>
    <row r="376" spans="1:52" ht="12.75" x14ac:dyDescent="0.2">
      <c r="A376" s="280"/>
      <c r="B376" s="280"/>
      <c r="C376" s="280"/>
      <c r="D376" s="280"/>
      <c r="E376" s="280"/>
      <c r="F376" s="280"/>
      <c r="G376" s="280"/>
      <c r="H376" s="280"/>
      <c r="I376" s="280"/>
      <c r="J376" s="280"/>
      <c r="K376" s="280"/>
      <c r="L376" s="280"/>
      <c r="M376" s="280"/>
      <c r="N376" s="280"/>
      <c r="O376" s="280"/>
      <c r="P376" s="280"/>
      <c r="Q376" s="280"/>
      <c r="R376" s="280"/>
      <c r="S376" s="280"/>
      <c r="T376" s="280"/>
      <c r="U376" s="280"/>
      <c r="V376" s="280"/>
      <c r="W376" s="280"/>
      <c r="X376" s="280"/>
      <c r="Y376" s="280"/>
      <c r="Z376" s="280"/>
      <c r="AA376" s="280"/>
      <c r="AB376" s="280"/>
      <c r="AC376" s="280"/>
      <c r="AD376" s="280"/>
      <c r="AE376" s="280"/>
      <c r="AF376" s="280"/>
      <c r="AG376" s="280"/>
      <c r="AH376" s="280"/>
      <c r="AI376" s="280"/>
      <c r="AJ376" s="280"/>
      <c r="AK376" s="280"/>
      <c r="AL376" s="280"/>
      <c r="AM376" s="280"/>
      <c r="AN376" s="280"/>
      <c r="AO376" s="280"/>
      <c r="AP376" s="280"/>
      <c r="AQ376" s="280"/>
      <c r="AR376" s="280"/>
      <c r="AS376" s="280"/>
      <c r="AT376" s="280"/>
      <c r="AU376" s="280"/>
      <c r="AV376" s="280"/>
      <c r="AW376" s="280"/>
      <c r="AX376" s="280"/>
      <c r="AY376" s="280"/>
      <c r="AZ376" s="280"/>
    </row>
    <row r="377" spans="1:52" ht="12.75" x14ac:dyDescent="0.2">
      <c r="A377" s="280"/>
      <c r="B377" s="280"/>
      <c r="C377" s="280"/>
      <c r="D377" s="280"/>
      <c r="E377" s="280"/>
      <c r="F377" s="280"/>
      <c r="G377" s="280"/>
      <c r="H377" s="280"/>
      <c r="I377" s="280"/>
      <c r="J377" s="280"/>
      <c r="K377" s="280"/>
      <c r="L377" s="280"/>
      <c r="M377" s="280"/>
      <c r="N377" s="280"/>
      <c r="O377" s="280"/>
      <c r="P377" s="280"/>
      <c r="Q377" s="280"/>
      <c r="R377" s="280"/>
      <c r="S377" s="280"/>
      <c r="T377" s="280"/>
      <c r="U377" s="280"/>
      <c r="V377" s="280"/>
      <c r="W377" s="280"/>
      <c r="X377" s="280"/>
      <c r="Y377" s="280"/>
      <c r="Z377" s="280"/>
      <c r="AA377" s="280"/>
      <c r="AB377" s="280"/>
      <c r="AC377" s="280"/>
      <c r="AD377" s="280"/>
      <c r="AE377" s="280"/>
      <c r="AF377" s="280"/>
      <c r="AG377" s="280"/>
      <c r="AH377" s="280"/>
      <c r="AI377" s="280"/>
      <c r="AJ377" s="280"/>
      <c r="AK377" s="280"/>
      <c r="AL377" s="280"/>
      <c r="AM377" s="280"/>
      <c r="AN377" s="280"/>
      <c r="AO377" s="280"/>
      <c r="AP377" s="280"/>
      <c r="AQ377" s="280"/>
      <c r="AR377" s="280"/>
      <c r="AS377" s="280"/>
      <c r="AT377" s="280"/>
      <c r="AU377" s="280"/>
      <c r="AV377" s="280"/>
      <c r="AW377" s="280"/>
      <c r="AX377" s="280"/>
      <c r="AY377" s="280"/>
      <c r="AZ377" s="280"/>
    </row>
    <row r="378" spans="1:52" ht="12.75" x14ac:dyDescent="0.2">
      <c r="A378" s="280"/>
      <c r="B378" s="280"/>
      <c r="C378" s="280"/>
      <c r="D378" s="280"/>
      <c r="E378" s="280"/>
      <c r="F378" s="280"/>
      <c r="G378" s="280"/>
      <c r="H378" s="280"/>
      <c r="I378" s="280"/>
      <c r="J378" s="280"/>
      <c r="K378" s="280"/>
      <c r="L378" s="280"/>
      <c r="M378" s="280"/>
      <c r="N378" s="280"/>
      <c r="O378" s="280"/>
      <c r="P378" s="280"/>
      <c r="Q378" s="280"/>
      <c r="R378" s="280"/>
      <c r="S378" s="280"/>
      <c r="T378" s="280"/>
      <c r="U378" s="280"/>
      <c r="V378" s="280"/>
      <c r="W378" s="280"/>
      <c r="X378" s="280"/>
      <c r="Y378" s="280"/>
      <c r="Z378" s="280"/>
      <c r="AA378" s="280"/>
      <c r="AB378" s="280"/>
      <c r="AC378" s="280"/>
      <c r="AD378" s="280"/>
      <c r="AE378" s="280"/>
      <c r="AF378" s="280"/>
      <c r="AG378" s="280"/>
      <c r="AH378" s="280"/>
      <c r="AI378" s="280"/>
      <c r="AJ378" s="280"/>
      <c r="AK378" s="280"/>
      <c r="AL378" s="280"/>
      <c r="AM378" s="280"/>
      <c r="AN378" s="280"/>
      <c r="AO378" s="280"/>
      <c r="AP378" s="280"/>
      <c r="AQ378" s="280"/>
      <c r="AR378" s="280"/>
      <c r="AS378" s="280"/>
      <c r="AT378" s="280"/>
      <c r="AU378" s="280"/>
      <c r="AV378" s="280"/>
      <c r="AW378" s="280"/>
      <c r="AX378" s="280"/>
      <c r="AY378" s="280"/>
      <c r="AZ378" s="280"/>
    </row>
    <row r="379" spans="1:52" ht="12.75" x14ac:dyDescent="0.2">
      <c r="A379" s="280"/>
      <c r="B379" s="280"/>
      <c r="C379" s="280"/>
      <c r="D379" s="280"/>
      <c r="E379" s="280"/>
      <c r="F379" s="280"/>
      <c r="G379" s="280"/>
      <c r="H379" s="280"/>
      <c r="I379" s="280"/>
      <c r="J379" s="280"/>
      <c r="K379" s="280"/>
      <c r="L379" s="280"/>
      <c r="M379" s="280"/>
      <c r="N379" s="280"/>
      <c r="O379" s="280"/>
      <c r="P379" s="280"/>
      <c r="Q379" s="280"/>
      <c r="R379" s="280"/>
      <c r="S379" s="280"/>
      <c r="T379" s="280"/>
      <c r="U379" s="280"/>
      <c r="V379" s="280"/>
      <c r="W379" s="280"/>
      <c r="X379" s="280"/>
      <c r="Y379" s="280"/>
      <c r="Z379" s="280"/>
      <c r="AA379" s="280"/>
      <c r="AB379" s="280"/>
      <c r="AC379" s="280"/>
      <c r="AD379" s="280"/>
      <c r="AE379" s="280"/>
      <c r="AF379" s="280"/>
      <c r="AG379" s="280"/>
      <c r="AH379" s="280"/>
      <c r="AI379" s="280"/>
      <c r="AJ379" s="280"/>
      <c r="AK379" s="280"/>
      <c r="AL379" s="280"/>
      <c r="AM379" s="280"/>
      <c r="AN379" s="280"/>
      <c r="AO379" s="280"/>
      <c r="AP379" s="280"/>
      <c r="AQ379" s="280"/>
      <c r="AR379" s="280"/>
      <c r="AS379" s="280"/>
      <c r="AT379" s="280"/>
      <c r="AU379" s="280"/>
      <c r="AV379" s="280"/>
      <c r="AW379" s="280"/>
      <c r="AX379" s="280"/>
      <c r="AY379" s="280"/>
      <c r="AZ379" s="280"/>
    </row>
    <row r="380" spans="1:52" ht="12.75" x14ac:dyDescent="0.2">
      <c r="A380" s="280"/>
      <c r="B380" s="280"/>
      <c r="C380" s="280"/>
      <c r="D380" s="280"/>
      <c r="E380" s="280"/>
      <c r="F380" s="280"/>
      <c r="G380" s="280"/>
      <c r="H380" s="280"/>
      <c r="I380" s="280"/>
      <c r="J380" s="280"/>
      <c r="K380" s="280"/>
      <c r="L380" s="280"/>
      <c r="M380" s="280"/>
      <c r="N380" s="280"/>
      <c r="O380" s="280"/>
      <c r="P380" s="280"/>
      <c r="Q380" s="280"/>
      <c r="R380" s="280"/>
      <c r="S380" s="280"/>
      <c r="T380" s="280"/>
      <c r="U380" s="280"/>
      <c r="V380" s="280"/>
      <c r="W380" s="280"/>
      <c r="X380" s="280"/>
      <c r="Y380" s="280"/>
      <c r="Z380" s="280"/>
      <c r="AA380" s="280"/>
      <c r="AB380" s="280"/>
      <c r="AC380" s="280"/>
      <c r="AD380" s="280"/>
      <c r="AE380" s="280"/>
      <c r="AF380" s="280"/>
      <c r="AG380" s="280"/>
      <c r="AH380" s="280"/>
      <c r="AI380" s="280"/>
      <c r="AJ380" s="280"/>
      <c r="AK380" s="280"/>
      <c r="AL380" s="280"/>
      <c r="AM380" s="280"/>
      <c r="AN380" s="280"/>
      <c r="AO380" s="280"/>
      <c r="AP380" s="280"/>
      <c r="AQ380" s="280"/>
      <c r="AR380" s="280"/>
      <c r="AS380" s="280"/>
      <c r="AT380" s="280"/>
      <c r="AU380" s="280"/>
      <c r="AV380" s="280"/>
      <c r="AW380" s="280"/>
      <c r="AX380" s="280"/>
      <c r="AY380" s="280"/>
      <c r="AZ380" s="280"/>
    </row>
    <row r="381" spans="1:52" ht="12.75" x14ac:dyDescent="0.2">
      <c r="A381" s="280"/>
      <c r="B381" s="280"/>
      <c r="C381" s="280"/>
      <c r="D381" s="280"/>
      <c r="E381" s="280"/>
      <c r="F381" s="280"/>
      <c r="G381" s="280"/>
      <c r="H381" s="280"/>
      <c r="I381" s="280"/>
      <c r="J381" s="280"/>
      <c r="K381" s="280"/>
      <c r="L381" s="280"/>
      <c r="M381" s="280"/>
      <c r="N381" s="280"/>
      <c r="O381" s="280"/>
      <c r="P381" s="280"/>
      <c r="Q381" s="280"/>
      <c r="R381" s="280"/>
      <c r="S381" s="280"/>
      <c r="T381" s="280"/>
      <c r="U381" s="280"/>
      <c r="V381" s="280"/>
      <c r="W381" s="280"/>
      <c r="X381" s="280"/>
      <c r="Y381" s="280"/>
      <c r="Z381" s="280"/>
      <c r="AA381" s="280"/>
      <c r="AB381" s="280"/>
      <c r="AC381" s="280"/>
      <c r="AD381" s="280"/>
      <c r="AE381" s="280"/>
      <c r="AF381" s="280"/>
      <c r="AG381" s="280"/>
      <c r="AH381" s="280"/>
      <c r="AI381" s="280"/>
      <c r="AJ381" s="280"/>
      <c r="AK381" s="280"/>
      <c r="AL381" s="280"/>
      <c r="AM381" s="280"/>
      <c r="AN381" s="280"/>
      <c r="AO381" s="280"/>
      <c r="AP381" s="280"/>
      <c r="AQ381" s="280"/>
      <c r="AR381" s="280"/>
      <c r="AS381" s="280"/>
      <c r="AT381" s="280"/>
      <c r="AU381" s="280"/>
      <c r="AV381" s="280"/>
      <c r="AW381" s="280"/>
      <c r="AX381" s="280"/>
      <c r="AY381" s="280"/>
      <c r="AZ381" s="280"/>
    </row>
    <row r="382" spans="1:52" ht="12.75" x14ac:dyDescent="0.2">
      <c r="A382" s="280"/>
      <c r="B382" s="280"/>
      <c r="C382" s="280"/>
      <c r="D382" s="280"/>
      <c r="E382" s="280"/>
      <c r="F382" s="280"/>
      <c r="G382" s="280"/>
      <c r="H382" s="280"/>
      <c r="I382" s="280"/>
      <c r="J382" s="280"/>
      <c r="K382" s="280"/>
      <c r="L382" s="280"/>
      <c r="M382" s="280"/>
      <c r="N382" s="280"/>
      <c r="O382" s="280"/>
      <c r="P382" s="280"/>
      <c r="Q382" s="280"/>
      <c r="R382" s="280"/>
      <c r="S382" s="280"/>
      <c r="T382" s="280"/>
      <c r="U382" s="280"/>
      <c r="V382" s="280"/>
      <c r="W382" s="280"/>
      <c r="X382" s="280"/>
      <c r="Y382" s="280"/>
      <c r="Z382" s="280"/>
      <c r="AA382" s="280"/>
      <c r="AB382" s="280"/>
      <c r="AC382" s="280"/>
      <c r="AD382" s="280"/>
      <c r="AE382" s="280"/>
      <c r="AF382" s="280"/>
      <c r="AG382" s="280"/>
      <c r="AH382" s="280"/>
      <c r="AI382" s="280"/>
      <c r="AJ382" s="280"/>
      <c r="AK382" s="280"/>
      <c r="AL382" s="280"/>
      <c r="AM382" s="280"/>
      <c r="AN382" s="280"/>
      <c r="AO382" s="280"/>
      <c r="AP382" s="280"/>
      <c r="AQ382" s="280"/>
      <c r="AR382" s="280"/>
      <c r="AS382" s="280"/>
      <c r="AT382" s="280"/>
      <c r="AU382" s="280"/>
      <c r="AV382" s="280"/>
      <c r="AW382" s="280"/>
      <c r="AX382" s="280"/>
      <c r="AY382" s="280"/>
      <c r="AZ382" s="280"/>
    </row>
    <row r="383" spans="1:52" ht="12.75" x14ac:dyDescent="0.2">
      <c r="A383" s="280"/>
      <c r="B383" s="280"/>
      <c r="C383" s="280"/>
      <c r="D383" s="280"/>
      <c r="E383" s="280"/>
      <c r="F383" s="280"/>
      <c r="G383" s="280"/>
      <c r="H383" s="280"/>
      <c r="I383" s="280"/>
      <c r="J383" s="280"/>
      <c r="K383" s="280"/>
      <c r="L383" s="280"/>
      <c r="M383" s="280"/>
      <c r="N383" s="280"/>
      <c r="O383" s="280"/>
      <c r="P383" s="280"/>
      <c r="Q383" s="280"/>
      <c r="R383" s="280"/>
      <c r="S383" s="280"/>
      <c r="T383" s="280"/>
      <c r="U383" s="280"/>
      <c r="V383" s="280"/>
      <c r="W383" s="280"/>
      <c r="X383" s="280"/>
      <c r="Y383" s="280"/>
      <c r="Z383" s="280"/>
      <c r="AA383" s="280"/>
      <c r="AB383" s="280"/>
      <c r="AC383" s="280"/>
      <c r="AD383" s="280"/>
      <c r="AE383" s="280"/>
      <c r="AF383" s="280"/>
      <c r="AG383" s="280"/>
      <c r="AH383" s="280"/>
      <c r="AI383" s="280"/>
      <c r="AJ383" s="280"/>
      <c r="AK383" s="280"/>
      <c r="AL383" s="280"/>
      <c r="AM383" s="280"/>
      <c r="AN383" s="280"/>
      <c r="AO383" s="280"/>
      <c r="AP383" s="280"/>
      <c r="AQ383" s="280"/>
      <c r="AR383" s="280"/>
      <c r="AS383" s="280"/>
      <c r="AT383" s="280"/>
      <c r="AU383" s="280"/>
      <c r="AV383" s="280"/>
      <c r="AW383" s="280"/>
      <c r="AX383" s="280"/>
      <c r="AY383" s="280"/>
      <c r="AZ383" s="280"/>
    </row>
    <row r="384" spans="1:52" ht="12.75" x14ac:dyDescent="0.2">
      <c r="A384" s="280"/>
      <c r="B384" s="280"/>
      <c r="C384" s="280"/>
      <c r="D384" s="280"/>
      <c r="E384" s="280"/>
      <c r="F384" s="280"/>
      <c r="G384" s="280"/>
      <c r="H384" s="280"/>
      <c r="I384" s="280"/>
      <c r="J384" s="280"/>
      <c r="K384" s="280"/>
      <c r="L384" s="280"/>
      <c r="M384" s="280"/>
      <c r="N384" s="280"/>
      <c r="O384" s="280"/>
      <c r="P384" s="280"/>
      <c r="Q384" s="280"/>
      <c r="R384" s="280"/>
      <c r="S384" s="280"/>
      <c r="T384" s="280"/>
      <c r="U384" s="280"/>
      <c r="V384" s="280"/>
      <c r="W384" s="280"/>
      <c r="X384" s="280"/>
      <c r="Y384" s="280"/>
      <c r="Z384" s="280"/>
      <c r="AA384" s="280"/>
      <c r="AB384" s="280"/>
      <c r="AC384" s="280"/>
      <c r="AD384" s="280"/>
      <c r="AE384" s="280"/>
      <c r="AF384" s="280"/>
      <c r="AG384" s="280"/>
      <c r="AH384" s="280"/>
      <c r="AI384" s="280"/>
      <c r="AJ384" s="280"/>
      <c r="AK384" s="280"/>
      <c r="AL384" s="280"/>
      <c r="AM384" s="280"/>
      <c r="AN384" s="280"/>
      <c r="AO384" s="280"/>
      <c r="AP384" s="280"/>
      <c r="AQ384" s="280"/>
      <c r="AR384" s="280"/>
      <c r="AS384" s="280"/>
      <c r="AT384" s="280"/>
      <c r="AU384" s="280"/>
      <c r="AV384" s="280"/>
      <c r="AW384" s="280"/>
      <c r="AX384" s="280"/>
      <c r="AY384" s="280"/>
      <c r="AZ384" s="280"/>
    </row>
    <row r="385" spans="1:52" ht="12.75" x14ac:dyDescent="0.2">
      <c r="A385" s="280"/>
      <c r="B385" s="280"/>
      <c r="C385" s="280"/>
      <c r="D385" s="280"/>
      <c r="E385" s="280"/>
      <c r="F385" s="280"/>
      <c r="G385" s="280"/>
      <c r="H385" s="280"/>
      <c r="I385" s="280"/>
      <c r="J385" s="280"/>
      <c r="K385" s="280"/>
      <c r="L385" s="280"/>
      <c r="M385" s="280"/>
      <c r="N385" s="280"/>
      <c r="O385" s="280"/>
      <c r="P385" s="280"/>
      <c r="Q385" s="280"/>
      <c r="R385" s="280"/>
      <c r="S385" s="280"/>
      <c r="T385" s="280"/>
      <c r="U385" s="280"/>
      <c r="V385" s="280"/>
      <c r="W385" s="280"/>
      <c r="X385" s="280"/>
      <c r="Y385" s="280"/>
      <c r="Z385" s="280"/>
      <c r="AA385" s="280"/>
      <c r="AB385" s="280"/>
      <c r="AC385" s="280"/>
      <c r="AD385" s="280"/>
      <c r="AE385" s="280"/>
      <c r="AF385" s="280"/>
      <c r="AG385" s="280"/>
      <c r="AH385" s="280"/>
      <c r="AI385" s="280"/>
      <c r="AJ385" s="280"/>
      <c r="AK385" s="280"/>
      <c r="AL385" s="280"/>
      <c r="AM385" s="280"/>
      <c r="AN385" s="280"/>
      <c r="AO385" s="280"/>
      <c r="AP385" s="280"/>
      <c r="AQ385" s="280"/>
      <c r="AR385" s="280"/>
      <c r="AS385" s="280"/>
      <c r="AT385" s="280"/>
      <c r="AU385" s="280"/>
      <c r="AV385" s="280"/>
      <c r="AW385" s="280"/>
      <c r="AX385" s="280"/>
      <c r="AY385" s="280"/>
      <c r="AZ385" s="280"/>
    </row>
    <row r="386" spans="1:52" ht="12.75" x14ac:dyDescent="0.2">
      <c r="A386" s="280"/>
      <c r="B386" s="280"/>
      <c r="C386" s="280"/>
      <c r="D386" s="280"/>
      <c r="E386" s="280"/>
      <c r="F386" s="280"/>
      <c r="G386" s="280"/>
      <c r="H386" s="280"/>
      <c r="I386" s="280"/>
      <c r="J386" s="280"/>
      <c r="K386" s="280"/>
      <c r="L386" s="280"/>
      <c r="M386" s="280"/>
      <c r="N386" s="280"/>
      <c r="O386" s="280"/>
      <c r="P386" s="280"/>
      <c r="Q386" s="280"/>
      <c r="R386" s="280"/>
      <c r="S386" s="280"/>
      <c r="T386" s="280"/>
      <c r="U386" s="280"/>
      <c r="V386" s="280"/>
      <c r="W386" s="280"/>
      <c r="X386" s="280"/>
      <c r="Y386" s="280"/>
      <c r="Z386" s="280"/>
      <c r="AA386" s="280"/>
      <c r="AB386" s="280"/>
      <c r="AC386" s="280"/>
      <c r="AD386" s="280"/>
      <c r="AE386" s="280"/>
      <c r="AF386" s="280"/>
      <c r="AG386" s="280"/>
      <c r="AH386" s="280"/>
      <c r="AI386" s="280"/>
      <c r="AJ386" s="280"/>
      <c r="AK386" s="280"/>
      <c r="AL386" s="280"/>
      <c r="AM386" s="280"/>
      <c r="AN386" s="280"/>
      <c r="AO386" s="280"/>
      <c r="AP386" s="280"/>
      <c r="AQ386" s="280"/>
      <c r="AR386" s="280"/>
      <c r="AS386" s="280"/>
      <c r="AT386" s="280"/>
      <c r="AU386" s="280"/>
      <c r="AV386" s="280"/>
      <c r="AW386" s="280"/>
      <c r="AX386" s="280"/>
      <c r="AY386" s="280"/>
      <c r="AZ386" s="280"/>
    </row>
    <row r="387" spans="1:52" ht="12.75" x14ac:dyDescent="0.2">
      <c r="A387" s="280"/>
      <c r="B387" s="280"/>
      <c r="C387" s="280"/>
      <c r="D387" s="280"/>
      <c r="E387" s="280"/>
      <c r="F387" s="280"/>
      <c r="G387" s="280"/>
      <c r="H387" s="280"/>
      <c r="I387" s="280"/>
      <c r="J387" s="280"/>
      <c r="K387" s="280"/>
      <c r="L387" s="280"/>
      <c r="M387" s="280"/>
      <c r="N387" s="280"/>
      <c r="O387" s="280"/>
      <c r="P387" s="280"/>
      <c r="Q387" s="280"/>
      <c r="R387" s="280"/>
      <c r="S387" s="280"/>
      <c r="T387" s="280"/>
      <c r="U387" s="280"/>
      <c r="V387" s="280"/>
      <c r="W387" s="280"/>
      <c r="X387" s="280"/>
      <c r="Y387" s="280"/>
      <c r="Z387" s="280"/>
      <c r="AA387" s="280"/>
      <c r="AB387" s="280"/>
      <c r="AC387" s="280"/>
      <c r="AD387" s="280"/>
      <c r="AE387" s="280"/>
      <c r="AF387" s="280"/>
      <c r="AG387" s="280"/>
      <c r="AH387" s="280"/>
      <c r="AI387" s="280"/>
      <c r="AJ387" s="280"/>
      <c r="AK387" s="280"/>
      <c r="AL387" s="280"/>
      <c r="AM387" s="280"/>
      <c r="AN387" s="280"/>
      <c r="AO387" s="280"/>
      <c r="AP387" s="280"/>
      <c r="AQ387" s="280"/>
      <c r="AR387" s="280"/>
      <c r="AS387" s="280"/>
      <c r="AT387" s="280"/>
      <c r="AU387" s="280"/>
      <c r="AV387" s="280"/>
      <c r="AW387" s="280"/>
      <c r="AX387" s="280"/>
      <c r="AY387" s="280"/>
      <c r="AZ387" s="280"/>
    </row>
    <row r="388" spans="1:52" ht="12.75" x14ac:dyDescent="0.2">
      <c r="A388" s="280"/>
      <c r="B388" s="280"/>
      <c r="C388" s="280"/>
      <c r="D388" s="280"/>
      <c r="E388" s="280"/>
      <c r="F388" s="280"/>
      <c r="G388" s="280"/>
      <c r="H388" s="280"/>
      <c r="I388" s="280"/>
      <c r="J388" s="280"/>
      <c r="K388" s="280"/>
      <c r="L388" s="280"/>
      <c r="M388" s="280"/>
      <c r="N388" s="280"/>
      <c r="O388" s="280"/>
      <c r="P388" s="280"/>
      <c r="Q388" s="280"/>
      <c r="R388" s="280"/>
      <c r="S388" s="280"/>
      <c r="T388" s="280"/>
      <c r="U388" s="280"/>
      <c r="V388" s="280"/>
      <c r="W388" s="280"/>
      <c r="X388" s="280"/>
      <c r="Y388" s="280"/>
      <c r="Z388" s="280"/>
      <c r="AA388" s="280"/>
      <c r="AB388" s="280"/>
      <c r="AC388" s="280"/>
      <c r="AD388" s="280"/>
      <c r="AE388" s="280"/>
      <c r="AF388" s="280"/>
      <c r="AG388" s="280"/>
      <c r="AH388" s="280"/>
      <c r="AI388" s="280"/>
      <c r="AJ388" s="280"/>
      <c r="AK388" s="280"/>
      <c r="AL388" s="280"/>
      <c r="AM388" s="280"/>
      <c r="AN388" s="280"/>
      <c r="AO388" s="280"/>
      <c r="AP388" s="280"/>
      <c r="AQ388" s="280"/>
      <c r="AR388" s="280"/>
      <c r="AS388" s="280"/>
      <c r="AT388" s="280"/>
      <c r="AU388" s="280"/>
      <c r="AV388" s="280"/>
      <c r="AW388" s="280"/>
      <c r="AX388" s="280"/>
      <c r="AY388" s="280"/>
      <c r="AZ388" s="280"/>
    </row>
    <row r="389" spans="1:52" ht="12.75" x14ac:dyDescent="0.2">
      <c r="A389" s="280"/>
      <c r="B389" s="280"/>
      <c r="C389" s="280"/>
      <c r="D389" s="280"/>
      <c r="E389" s="280"/>
      <c r="F389" s="280"/>
      <c r="G389" s="280"/>
      <c r="H389" s="280"/>
      <c r="I389" s="280"/>
      <c r="J389" s="280"/>
      <c r="K389" s="280"/>
      <c r="L389" s="280"/>
      <c r="M389" s="280"/>
      <c r="N389" s="280"/>
      <c r="O389" s="280"/>
      <c r="P389" s="280"/>
      <c r="Q389" s="280"/>
      <c r="R389" s="280"/>
      <c r="S389" s="280"/>
      <c r="T389" s="280"/>
      <c r="U389" s="280"/>
      <c r="V389" s="280"/>
      <c r="W389" s="280"/>
      <c r="X389" s="280"/>
      <c r="Y389" s="280"/>
      <c r="Z389" s="280"/>
      <c r="AA389" s="280"/>
      <c r="AB389" s="280"/>
      <c r="AC389" s="280"/>
      <c r="AD389" s="280"/>
      <c r="AE389" s="280"/>
      <c r="AF389" s="280"/>
      <c r="AG389" s="280"/>
      <c r="AH389" s="280"/>
      <c r="AI389" s="280"/>
      <c r="AJ389" s="280"/>
      <c r="AK389" s="280"/>
      <c r="AL389" s="280"/>
      <c r="AM389" s="280"/>
      <c r="AN389" s="280"/>
      <c r="AO389" s="280"/>
      <c r="AP389" s="280"/>
      <c r="AQ389" s="280"/>
      <c r="AR389" s="280"/>
      <c r="AS389" s="280"/>
      <c r="AT389" s="280"/>
      <c r="AU389" s="280"/>
      <c r="AV389" s="280"/>
      <c r="AW389" s="280"/>
      <c r="AX389" s="280"/>
      <c r="AY389" s="280"/>
      <c r="AZ389" s="280"/>
    </row>
    <row r="390" spans="1:52" ht="12.75" x14ac:dyDescent="0.2">
      <c r="A390" s="280"/>
      <c r="B390" s="280"/>
      <c r="C390" s="280"/>
      <c r="D390" s="280"/>
      <c r="E390" s="280"/>
      <c r="F390" s="280"/>
      <c r="G390" s="280"/>
      <c r="H390" s="280"/>
      <c r="I390" s="280"/>
      <c r="J390" s="280"/>
      <c r="K390" s="280"/>
      <c r="L390" s="280"/>
      <c r="M390" s="280"/>
      <c r="N390" s="280"/>
      <c r="O390" s="280"/>
      <c r="P390" s="280"/>
      <c r="Q390" s="280"/>
      <c r="R390" s="280"/>
      <c r="S390" s="280"/>
      <c r="T390" s="280"/>
      <c r="U390" s="280"/>
      <c r="V390" s="280"/>
      <c r="W390" s="280"/>
      <c r="X390" s="280"/>
      <c r="Y390" s="280"/>
      <c r="Z390" s="280"/>
      <c r="AA390" s="280"/>
      <c r="AB390" s="280"/>
      <c r="AC390" s="280"/>
      <c r="AD390" s="280"/>
      <c r="AE390" s="280"/>
      <c r="AF390" s="280"/>
      <c r="AG390" s="280"/>
      <c r="AH390" s="280"/>
      <c r="AI390" s="280"/>
      <c r="AJ390" s="280"/>
      <c r="AK390" s="280"/>
      <c r="AL390" s="280"/>
      <c r="AM390" s="280"/>
      <c r="AN390" s="280"/>
      <c r="AO390" s="280"/>
      <c r="AP390" s="280"/>
      <c r="AQ390" s="280"/>
      <c r="AR390" s="280"/>
      <c r="AS390" s="280"/>
      <c r="AT390" s="280"/>
      <c r="AU390" s="280"/>
      <c r="AV390" s="280"/>
      <c r="AW390" s="280"/>
      <c r="AX390" s="280"/>
      <c r="AY390" s="280"/>
      <c r="AZ390" s="280"/>
    </row>
    <row r="391" spans="1:52" ht="12.75" x14ac:dyDescent="0.2">
      <c r="A391" s="280"/>
      <c r="B391" s="280"/>
      <c r="C391" s="280"/>
      <c r="D391" s="280"/>
      <c r="E391" s="280"/>
      <c r="F391" s="280"/>
      <c r="G391" s="280"/>
      <c r="H391" s="280"/>
      <c r="I391" s="280"/>
      <c r="J391" s="280"/>
      <c r="K391" s="280"/>
      <c r="L391" s="280"/>
      <c r="M391" s="280"/>
      <c r="N391" s="280"/>
      <c r="O391" s="280"/>
      <c r="P391" s="280"/>
      <c r="Q391" s="280"/>
      <c r="R391" s="280"/>
      <c r="S391" s="280"/>
      <c r="T391" s="280"/>
      <c r="U391" s="280"/>
      <c r="V391" s="280"/>
      <c r="W391" s="280"/>
      <c r="X391" s="280"/>
      <c r="Y391" s="280"/>
      <c r="Z391" s="280"/>
      <c r="AA391" s="280"/>
      <c r="AB391" s="280"/>
      <c r="AC391" s="280"/>
      <c r="AD391" s="280"/>
      <c r="AE391" s="280"/>
      <c r="AF391" s="280"/>
      <c r="AG391" s="280"/>
      <c r="AH391" s="280"/>
      <c r="AI391" s="280"/>
      <c r="AJ391" s="280"/>
      <c r="AK391" s="280"/>
      <c r="AL391" s="280"/>
      <c r="AM391" s="280"/>
      <c r="AN391" s="280"/>
      <c r="AO391" s="280"/>
      <c r="AP391" s="280"/>
      <c r="AQ391" s="280"/>
      <c r="AR391" s="280"/>
      <c r="AS391" s="280"/>
      <c r="AT391" s="280"/>
      <c r="AU391" s="280"/>
      <c r="AV391" s="280"/>
      <c r="AW391" s="280"/>
      <c r="AX391" s="280"/>
      <c r="AY391" s="280"/>
      <c r="AZ391" s="280"/>
    </row>
    <row r="392" spans="1:52" ht="12.75" x14ac:dyDescent="0.2">
      <c r="A392" s="280"/>
      <c r="B392" s="280"/>
      <c r="C392" s="280"/>
      <c r="D392" s="280"/>
      <c r="E392" s="280"/>
      <c r="F392" s="280"/>
      <c r="G392" s="280"/>
      <c r="H392" s="280"/>
      <c r="I392" s="280"/>
      <c r="J392" s="280"/>
      <c r="K392" s="280"/>
      <c r="L392" s="280"/>
      <c r="M392" s="280"/>
      <c r="N392" s="280"/>
      <c r="O392" s="280"/>
      <c r="P392" s="280"/>
      <c r="Q392" s="280"/>
      <c r="R392" s="280"/>
      <c r="S392" s="280"/>
      <c r="T392" s="280"/>
      <c r="U392" s="280"/>
      <c r="V392" s="280"/>
      <c r="W392" s="280"/>
      <c r="X392" s="280"/>
      <c r="Y392" s="280"/>
      <c r="Z392" s="280"/>
      <c r="AA392" s="280"/>
      <c r="AB392" s="280"/>
      <c r="AC392" s="280"/>
      <c r="AD392" s="280"/>
      <c r="AE392" s="280"/>
      <c r="AF392" s="280"/>
      <c r="AG392" s="280"/>
      <c r="AH392" s="280"/>
      <c r="AI392" s="280"/>
      <c r="AJ392" s="280"/>
      <c r="AK392" s="280"/>
      <c r="AL392" s="280"/>
      <c r="AM392" s="280"/>
      <c r="AN392" s="280"/>
      <c r="AO392" s="280"/>
      <c r="AP392" s="280"/>
      <c r="AQ392" s="280"/>
      <c r="AR392" s="280"/>
      <c r="AS392" s="280"/>
      <c r="AT392" s="280"/>
      <c r="AU392" s="280"/>
      <c r="AV392" s="280"/>
      <c r="AW392" s="280"/>
      <c r="AX392" s="280"/>
      <c r="AY392" s="280"/>
      <c r="AZ392" s="280"/>
    </row>
    <row r="393" spans="1:52" ht="12.75" x14ac:dyDescent="0.2">
      <c r="A393" s="280"/>
      <c r="B393" s="280"/>
      <c r="C393" s="280"/>
      <c r="D393" s="280"/>
      <c r="E393" s="280"/>
      <c r="F393" s="280"/>
      <c r="G393" s="280"/>
      <c r="H393" s="280"/>
      <c r="I393" s="280"/>
      <c r="J393" s="280"/>
      <c r="K393" s="280"/>
      <c r="L393" s="280"/>
      <c r="M393" s="280"/>
      <c r="N393" s="280"/>
      <c r="O393" s="280"/>
      <c r="P393" s="280"/>
      <c r="Q393" s="280"/>
      <c r="R393" s="280"/>
      <c r="S393" s="280"/>
      <c r="T393" s="280"/>
      <c r="U393" s="280"/>
      <c r="V393" s="280"/>
      <c r="W393" s="280"/>
      <c r="X393" s="280"/>
      <c r="Y393" s="280"/>
      <c r="Z393" s="280"/>
      <c r="AA393" s="280"/>
      <c r="AB393" s="280"/>
      <c r="AC393" s="280"/>
      <c r="AD393" s="280"/>
      <c r="AE393" s="280"/>
      <c r="AF393" s="280"/>
      <c r="AG393" s="280"/>
      <c r="AH393" s="280"/>
      <c r="AI393" s="280"/>
      <c r="AJ393" s="280"/>
      <c r="AK393" s="280"/>
      <c r="AL393" s="280"/>
      <c r="AM393" s="280"/>
      <c r="AN393" s="280"/>
      <c r="AO393" s="280"/>
      <c r="AP393" s="280"/>
      <c r="AQ393" s="280"/>
      <c r="AR393" s="280"/>
      <c r="AS393" s="280"/>
      <c r="AT393" s="280"/>
      <c r="AU393" s="280"/>
      <c r="AV393" s="280"/>
      <c r="AW393" s="280"/>
      <c r="AX393" s="280"/>
      <c r="AY393" s="280"/>
      <c r="AZ393" s="280"/>
    </row>
    <row r="394" spans="1:52" ht="12.75" x14ac:dyDescent="0.2">
      <c r="A394" s="280"/>
      <c r="B394" s="280"/>
      <c r="C394" s="280"/>
      <c r="D394" s="280"/>
      <c r="E394" s="280"/>
      <c r="F394" s="280"/>
      <c r="G394" s="280"/>
      <c r="H394" s="280"/>
      <c r="I394" s="280"/>
      <c r="J394" s="280"/>
      <c r="K394" s="280"/>
      <c r="L394" s="280"/>
      <c r="M394" s="280"/>
      <c r="N394" s="280"/>
      <c r="O394" s="280"/>
      <c r="P394" s="280"/>
      <c r="Q394" s="280"/>
      <c r="R394" s="280"/>
      <c r="S394" s="280"/>
      <c r="T394" s="280"/>
      <c r="U394" s="280"/>
      <c r="V394" s="280"/>
      <c r="W394" s="280"/>
      <c r="X394" s="280"/>
      <c r="Y394" s="280"/>
      <c r="Z394" s="280"/>
      <c r="AA394" s="280"/>
      <c r="AB394" s="280"/>
      <c r="AC394" s="280"/>
      <c r="AD394" s="280"/>
      <c r="AE394" s="280"/>
      <c r="AF394" s="280"/>
      <c r="AG394" s="280"/>
      <c r="AH394" s="280"/>
      <c r="AI394" s="280"/>
      <c r="AJ394" s="280"/>
      <c r="AK394" s="280"/>
      <c r="AL394" s="280"/>
      <c r="AM394" s="280"/>
      <c r="AN394" s="280"/>
      <c r="AO394" s="280"/>
      <c r="AP394" s="280"/>
      <c r="AQ394" s="280"/>
      <c r="AR394" s="280"/>
      <c r="AS394" s="280"/>
      <c r="AT394" s="280"/>
      <c r="AU394" s="280"/>
      <c r="AV394" s="280"/>
      <c r="AW394" s="280"/>
      <c r="AX394" s="280"/>
      <c r="AY394" s="280"/>
      <c r="AZ394" s="280"/>
    </row>
    <row r="395" spans="1:52" ht="12.75" x14ac:dyDescent="0.2">
      <c r="A395" s="280"/>
      <c r="B395" s="280"/>
      <c r="C395" s="280"/>
      <c r="D395" s="280"/>
      <c r="E395" s="280"/>
      <c r="F395" s="280"/>
      <c r="G395" s="280"/>
      <c r="H395" s="280"/>
      <c r="I395" s="280"/>
      <c r="J395" s="280"/>
      <c r="K395" s="280"/>
      <c r="L395" s="280"/>
      <c r="M395" s="280"/>
      <c r="N395" s="280"/>
      <c r="O395" s="280"/>
      <c r="P395" s="280"/>
      <c r="Q395" s="280"/>
      <c r="R395" s="280"/>
      <c r="S395" s="280"/>
      <c r="T395" s="280"/>
      <c r="U395" s="280"/>
      <c r="V395" s="280"/>
      <c r="W395" s="280"/>
      <c r="X395" s="280"/>
      <c r="Y395" s="280"/>
      <c r="Z395" s="280"/>
      <c r="AA395" s="280"/>
      <c r="AB395" s="280"/>
      <c r="AC395" s="280"/>
      <c r="AD395" s="280"/>
      <c r="AE395" s="280"/>
      <c r="AF395" s="280"/>
      <c r="AG395" s="280"/>
      <c r="AH395" s="280"/>
      <c r="AI395" s="280"/>
      <c r="AJ395" s="280"/>
      <c r="AK395" s="280"/>
      <c r="AL395" s="280"/>
      <c r="AM395" s="280"/>
      <c r="AN395" s="280"/>
      <c r="AO395" s="280"/>
      <c r="AP395" s="280"/>
      <c r="AQ395" s="280"/>
      <c r="AR395" s="280"/>
      <c r="AS395" s="280"/>
      <c r="AT395" s="280"/>
      <c r="AU395" s="280"/>
      <c r="AV395" s="280"/>
      <c r="AW395" s="280"/>
      <c r="AX395" s="280"/>
      <c r="AY395" s="280"/>
      <c r="AZ395" s="280"/>
    </row>
    <row r="396" spans="1:52" ht="12.75" x14ac:dyDescent="0.2">
      <c r="A396" s="280"/>
      <c r="B396" s="280"/>
      <c r="C396" s="280"/>
      <c r="D396" s="280"/>
      <c r="E396" s="280"/>
      <c r="F396" s="280"/>
      <c r="G396" s="280"/>
      <c r="H396" s="280"/>
      <c r="I396" s="280"/>
      <c r="J396" s="280"/>
      <c r="K396" s="280"/>
      <c r="L396" s="280"/>
      <c r="M396" s="280"/>
      <c r="N396" s="280"/>
      <c r="O396" s="280"/>
      <c r="P396" s="280"/>
      <c r="Q396" s="280"/>
      <c r="R396" s="280"/>
      <c r="S396" s="280"/>
      <c r="T396" s="280"/>
      <c r="U396" s="280"/>
      <c r="V396" s="280"/>
      <c r="W396" s="280"/>
      <c r="X396" s="280"/>
      <c r="Y396" s="280"/>
      <c r="Z396" s="280"/>
      <c r="AA396" s="280"/>
      <c r="AB396" s="280"/>
      <c r="AC396" s="280"/>
      <c r="AD396" s="280"/>
      <c r="AE396" s="280"/>
      <c r="AF396" s="280"/>
      <c r="AG396" s="280"/>
      <c r="AH396" s="280"/>
      <c r="AI396" s="280"/>
      <c r="AJ396" s="280"/>
      <c r="AK396" s="280"/>
      <c r="AL396" s="280"/>
      <c r="AM396" s="280"/>
      <c r="AN396" s="280"/>
      <c r="AO396" s="280"/>
      <c r="AP396" s="280"/>
      <c r="AQ396" s="280"/>
      <c r="AR396" s="280"/>
      <c r="AS396" s="280"/>
      <c r="AT396" s="280"/>
      <c r="AU396" s="280"/>
      <c r="AV396" s="280"/>
      <c r="AW396" s="280"/>
      <c r="AX396" s="280"/>
      <c r="AY396" s="280"/>
      <c r="AZ396" s="280"/>
    </row>
    <row r="397" spans="1:52" ht="12.75" x14ac:dyDescent="0.2">
      <c r="A397" s="280"/>
      <c r="B397" s="280"/>
      <c r="C397" s="280"/>
      <c r="D397" s="280"/>
      <c r="E397" s="280"/>
      <c r="F397" s="280"/>
      <c r="G397" s="280"/>
      <c r="H397" s="280"/>
      <c r="I397" s="280"/>
      <c r="J397" s="280"/>
      <c r="K397" s="280"/>
      <c r="L397" s="280"/>
      <c r="M397" s="280"/>
      <c r="N397" s="280"/>
      <c r="O397" s="280"/>
      <c r="P397" s="280"/>
      <c r="Q397" s="280"/>
      <c r="R397" s="280"/>
      <c r="S397" s="280"/>
      <c r="T397" s="280"/>
      <c r="U397" s="280"/>
      <c r="V397" s="280"/>
      <c r="W397" s="280"/>
      <c r="X397" s="280"/>
      <c r="Y397" s="280"/>
      <c r="Z397" s="280"/>
      <c r="AA397" s="280"/>
      <c r="AB397" s="280"/>
      <c r="AC397" s="280"/>
      <c r="AD397" s="280"/>
      <c r="AE397" s="280"/>
      <c r="AF397" s="280"/>
      <c r="AG397" s="280"/>
      <c r="AH397" s="280"/>
      <c r="AI397" s="280"/>
      <c r="AJ397" s="280"/>
      <c r="AK397" s="280"/>
      <c r="AL397" s="280"/>
      <c r="AM397" s="280"/>
      <c r="AN397" s="280"/>
      <c r="AO397" s="280"/>
      <c r="AP397" s="280"/>
      <c r="AQ397" s="280"/>
      <c r="AR397" s="280"/>
      <c r="AS397" s="280"/>
      <c r="AT397" s="280"/>
      <c r="AU397" s="280"/>
      <c r="AV397" s="280"/>
      <c r="AW397" s="280"/>
      <c r="AX397" s="280"/>
      <c r="AY397" s="280"/>
      <c r="AZ397" s="280"/>
    </row>
    <row r="398" spans="1:52" ht="12.75" x14ac:dyDescent="0.2">
      <c r="A398" s="280"/>
      <c r="B398" s="280"/>
      <c r="C398" s="280"/>
      <c r="D398" s="280"/>
      <c r="E398" s="280"/>
      <c r="F398" s="280"/>
      <c r="G398" s="280"/>
      <c r="H398" s="280"/>
      <c r="I398" s="280"/>
      <c r="J398" s="280"/>
      <c r="K398" s="280"/>
      <c r="L398" s="280"/>
      <c r="M398" s="280"/>
      <c r="N398" s="280"/>
      <c r="O398" s="280"/>
      <c r="P398" s="280"/>
      <c r="Q398" s="280"/>
      <c r="R398" s="280"/>
      <c r="S398" s="280"/>
      <c r="T398" s="280"/>
      <c r="U398" s="280"/>
      <c r="V398" s="280"/>
      <c r="W398" s="280"/>
      <c r="X398" s="280"/>
      <c r="Y398" s="280"/>
      <c r="Z398" s="280"/>
      <c r="AA398" s="280"/>
      <c r="AB398" s="280"/>
      <c r="AC398" s="280"/>
      <c r="AD398" s="280"/>
      <c r="AE398" s="280"/>
      <c r="AF398" s="280"/>
      <c r="AG398" s="280"/>
      <c r="AH398" s="280"/>
      <c r="AI398" s="280"/>
      <c r="AJ398" s="280"/>
      <c r="AK398" s="280"/>
      <c r="AL398" s="280"/>
      <c r="AM398" s="280"/>
      <c r="AN398" s="280"/>
      <c r="AO398" s="280"/>
      <c r="AP398" s="280"/>
      <c r="AQ398" s="280"/>
      <c r="AR398" s="280"/>
      <c r="AS398" s="280"/>
      <c r="AT398" s="280"/>
      <c r="AU398" s="280"/>
      <c r="AV398" s="280"/>
      <c r="AW398" s="280"/>
      <c r="AX398" s="280"/>
      <c r="AY398" s="280"/>
      <c r="AZ398" s="280"/>
    </row>
    <row r="399" spans="1:52" ht="12.75" x14ac:dyDescent="0.2">
      <c r="A399" s="280"/>
      <c r="B399" s="280"/>
      <c r="C399" s="280"/>
      <c r="D399" s="280"/>
      <c r="E399" s="280"/>
      <c r="F399" s="280"/>
      <c r="G399" s="280"/>
      <c r="H399" s="280"/>
      <c r="I399" s="280"/>
      <c r="J399" s="280"/>
      <c r="K399" s="280"/>
      <c r="L399" s="280"/>
      <c r="M399" s="280"/>
      <c r="N399" s="280"/>
      <c r="O399" s="280"/>
      <c r="P399" s="280"/>
      <c r="Q399" s="280"/>
      <c r="R399" s="280"/>
      <c r="S399" s="280"/>
      <c r="T399" s="280"/>
      <c r="U399" s="280"/>
      <c r="V399" s="280"/>
      <c r="W399" s="280"/>
      <c r="X399" s="280"/>
      <c r="Y399" s="280"/>
      <c r="Z399" s="280"/>
      <c r="AA399" s="280"/>
      <c r="AB399" s="280"/>
      <c r="AC399" s="280"/>
      <c r="AD399" s="280"/>
      <c r="AE399" s="280"/>
      <c r="AF399" s="280"/>
      <c r="AG399" s="280"/>
      <c r="AH399" s="280"/>
      <c r="AI399" s="280"/>
      <c r="AJ399" s="280"/>
      <c r="AK399" s="280"/>
      <c r="AL399" s="280"/>
      <c r="AM399" s="280"/>
      <c r="AN399" s="280"/>
      <c r="AO399" s="280"/>
      <c r="AP399" s="280"/>
      <c r="AQ399" s="280"/>
      <c r="AR399" s="280"/>
      <c r="AS399" s="280"/>
      <c r="AT399" s="280"/>
      <c r="AU399" s="280"/>
      <c r="AV399" s="280"/>
      <c r="AW399" s="280"/>
      <c r="AX399" s="280"/>
      <c r="AY399" s="280"/>
      <c r="AZ399" s="280"/>
    </row>
    <row r="400" spans="1:52" ht="12.75" x14ac:dyDescent="0.2">
      <c r="A400" s="280"/>
      <c r="B400" s="280"/>
      <c r="C400" s="280"/>
      <c r="D400" s="280"/>
      <c r="E400" s="280"/>
      <c r="F400" s="280"/>
      <c r="G400" s="280"/>
      <c r="H400" s="280"/>
      <c r="I400" s="280"/>
      <c r="J400" s="280"/>
      <c r="K400" s="280"/>
      <c r="L400" s="280"/>
      <c r="M400" s="280"/>
      <c r="N400" s="280"/>
      <c r="O400" s="280"/>
      <c r="P400" s="280"/>
      <c r="Q400" s="280"/>
      <c r="R400" s="280"/>
      <c r="S400" s="280"/>
      <c r="T400" s="280"/>
      <c r="U400" s="280"/>
      <c r="V400" s="280"/>
      <c r="W400" s="280"/>
      <c r="X400" s="280"/>
      <c r="Y400" s="280"/>
      <c r="Z400" s="280"/>
      <c r="AA400" s="280"/>
      <c r="AB400" s="280"/>
      <c r="AC400" s="280"/>
      <c r="AD400" s="280"/>
      <c r="AE400" s="280"/>
      <c r="AF400" s="280"/>
      <c r="AG400" s="280"/>
      <c r="AH400" s="280"/>
      <c r="AI400" s="280"/>
      <c r="AJ400" s="280"/>
      <c r="AK400" s="280"/>
      <c r="AL400" s="280"/>
      <c r="AM400" s="280"/>
      <c r="AN400" s="280"/>
      <c r="AO400" s="280"/>
      <c r="AP400" s="280"/>
      <c r="AQ400" s="280"/>
      <c r="AR400" s="280"/>
      <c r="AS400" s="280"/>
      <c r="AT400" s="280"/>
      <c r="AU400" s="280"/>
      <c r="AV400" s="280"/>
      <c r="AW400" s="280"/>
      <c r="AX400" s="280"/>
      <c r="AY400" s="280"/>
      <c r="AZ400" s="280"/>
    </row>
    <row r="401" spans="1:52" ht="12.75" x14ac:dyDescent="0.2">
      <c r="A401" s="280"/>
      <c r="B401" s="280"/>
      <c r="C401" s="280"/>
      <c r="D401" s="280"/>
      <c r="E401" s="280"/>
      <c r="F401" s="280"/>
      <c r="G401" s="280"/>
      <c r="H401" s="280"/>
      <c r="I401" s="280"/>
      <c r="J401" s="280"/>
      <c r="K401" s="280"/>
      <c r="L401" s="280"/>
      <c r="M401" s="280"/>
      <c r="N401" s="280"/>
      <c r="O401" s="280"/>
      <c r="P401" s="280"/>
      <c r="Q401" s="280"/>
      <c r="R401" s="280"/>
      <c r="S401" s="280"/>
      <c r="T401" s="280"/>
      <c r="U401" s="280"/>
      <c r="V401" s="280"/>
      <c r="W401" s="280"/>
      <c r="X401" s="280"/>
      <c r="Y401" s="280"/>
      <c r="Z401" s="280"/>
      <c r="AA401" s="280"/>
      <c r="AB401" s="280"/>
      <c r="AC401" s="280"/>
      <c r="AD401" s="280"/>
      <c r="AE401" s="280"/>
      <c r="AF401" s="280"/>
      <c r="AG401" s="280"/>
      <c r="AH401" s="280"/>
      <c r="AI401" s="280"/>
      <c r="AJ401" s="280"/>
      <c r="AK401" s="280"/>
      <c r="AL401" s="280"/>
      <c r="AM401" s="280"/>
      <c r="AN401" s="280"/>
      <c r="AO401" s="280"/>
      <c r="AP401" s="280"/>
      <c r="AQ401" s="280"/>
      <c r="AR401" s="280"/>
      <c r="AS401" s="280"/>
      <c r="AT401" s="280"/>
      <c r="AU401" s="280"/>
      <c r="AV401" s="280"/>
      <c r="AW401" s="280"/>
      <c r="AX401" s="280"/>
      <c r="AY401" s="280"/>
      <c r="AZ401" s="280"/>
    </row>
    <row r="402" spans="1:52" ht="12.75" x14ac:dyDescent="0.2">
      <c r="A402" s="280"/>
      <c r="B402" s="280"/>
      <c r="C402" s="280"/>
      <c r="D402" s="280"/>
      <c r="E402" s="280"/>
      <c r="F402" s="280"/>
      <c r="G402" s="280"/>
      <c r="H402" s="280"/>
      <c r="I402" s="280"/>
      <c r="J402" s="280"/>
      <c r="K402" s="280"/>
      <c r="L402" s="280"/>
      <c r="M402" s="280"/>
      <c r="N402" s="280"/>
      <c r="O402" s="280"/>
      <c r="P402" s="280"/>
      <c r="Q402" s="280"/>
      <c r="R402" s="280"/>
      <c r="S402" s="280"/>
      <c r="T402" s="280"/>
      <c r="U402" s="280"/>
      <c r="V402" s="280"/>
      <c r="W402" s="280"/>
      <c r="X402" s="280"/>
      <c r="Y402" s="280"/>
      <c r="Z402" s="280"/>
      <c r="AA402" s="280"/>
      <c r="AB402" s="280"/>
      <c r="AC402" s="280"/>
      <c r="AD402" s="280"/>
      <c r="AE402" s="280"/>
      <c r="AF402" s="280"/>
      <c r="AG402" s="280"/>
      <c r="AH402" s="280"/>
      <c r="AI402" s="280"/>
      <c r="AJ402" s="280"/>
      <c r="AK402" s="280"/>
      <c r="AL402" s="280"/>
      <c r="AM402" s="280"/>
      <c r="AN402" s="280"/>
      <c r="AO402" s="280"/>
      <c r="AP402" s="280"/>
      <c r="AQ402" s="280"/>
      <c r="AR402" s="280"/>
      <c r="AS402" s="280"/>
      <c r="AT402" s="280"/>
      <c r="AU402" s="280"/>
      <c r="AV402" s="280"/>
      <c r="AW402" s="280"/>
      <c r="AX402" s="280"/>
      <c r="AY402" s="280"/>
      <c r="AZ402" s="280"/>
    </row>
    <row r="403" spans="1:52" ht="12.75" x14ac:dyDescent="0.2">
      <c r="A403" s="280"/>
      <c r="B403" s="280"/>
      <c r="C403" s="280"/>
      <c r="D403" s="280"/>
      <c r="E403" s="280"/>
      <c r="F403" s="280"/>
      <c r="G403" s="280"/>
      <c r="H403" s="280"/>
      <c r="I403" s="280"/>
      <c r="J403" s="280"/>
      <c r="K403" s="280"/>
      <c r="L403" s="280"/>
      <c r="M403" s="280"/>
      <c r="N403" s="280"/>
      <c r="O403" s="280"/>
      <c r="P403" s="280"/>
      <c r="Q403" s="280"/>
      <c r="R403" s="280"/>
      <c r="S403" s="280"/>
      <c r="T403" s="280"/>
      <c r="U403" s="280"/>
      <c r="V403" s="280"/>
      <c r="W403" s="280"/>
      <c r="X403" s="280"/>
      <c r="Y403" s="280"/>
      <c r="Z403" s="280"/>
      <c r="AA403" s="280"/>
      <c r="AB403" s="280"/>
      <c r="AC403" s="280"/>
      <c r="AD403" s="280"/>
      <c r="AE403" s="280"/>
      <c r="AF403" s="280"/>
      <c r="AG403" s="280"/>
      <c r="AH403" s="280"/>
      <c r="AI403" s="280"/>
      <c r="AJ403" s="280"/>
      <c r="AK403" s="280"/>
      <c r="AL403" s="280"/>
      <c r="AM403" s="280"/>
      <c r="AN403" s="280"/>
      <c r="AO403" s="280"/>
      <c r="AP403" s="280"/>
      <c r="AQ403" s="280"/>
      <c r="AR403" s="280"/>
      <c r="AS403" s="280"/>
      <c r="AT403" s="280"/>
      <c r="AU403" s="280"/>
      <c r="AV403" s="280"/>
      <c r="AW403" s="280"/>
      <c r="AX403" s="280"/>
      <c r="AY403" s="280"/>
      <c r="AZ403" s="280"/>
    </row>
    <row r="404" spans="1:52" ht="12.75" x14ac:dyDescent="0.2">
      <c r="A404" s="280"/>
      <c r="B404" s="280"/>
      <c r="C404" s="280"/>
      <c r="D404" s="280"/>
      <c r="E404" s="280"/>
      <c r="F404" s="280"/>
      <c r="G404" s="280"/>
      <c r="H404" s="280"/>
      <c r="I404" s="280"/>
      <c r="J404" s="280"/>
      <c r="K404" s="280"/>
      <c r="L404" s="280"/>
      <c r="M404" s="280"/>
      <c r="N404" s="280"/>
      <c r="O404" s="280"/>
      <c r="P404" s="280"/>
      <c r="Q404" s="280"/>
      <c r="R404" s="280"/>
      <c r="S404" s="280"/>
      <c r="T404" s="280"/>
      <c r="U404" s="280"/>
      <c r="V404" s="280"/>
      <c r="W404" s="280"/>
      <c r="X404" s="280"/>
      <c r="Y404" s="280"/>
      <c r="Z404" s="280"/>
      <c r="AA404" s="280"/>
      <c r="AB404" s="280"/>
      <c r="AC404" s="280"/>
      <c r="AD404" s="280"/>
      <c r="AE404" s="280"/>
      <c r="AF404" s="280"/>
      <c r="AG404" s="280"/>
      <c r="AH404" s="280"/>
      <c r="AI404" s="280"/>
      <c r="AJ404" s="280"/>
      <c r="AK404" s="280"/>
      <c r="AL404" s="280"/>
      <c r="AM404" s="280"/>
      <c r="AN404" s="280"/>
      <c r="AO404" s="280"/>
      <c r="AP404" s="280"/>
      <c r="AQ404" s="280"/>
      <c r="AR404" s="280"/>
      <c r="AS404" s="280"/>
      <c r="AT404" s="280"/>
      <c r="AU404" s="280"/>
      <c r="AV404" s="280"/>
      <c r="AW404" s="280"/>
      <c r="AX404" s="280"/>
      <c r="AY404" s="280"/>
      <c r="AZ404" s="280"/>
    </row>
    <row r="405" spans="1:52" ht="12.75" x14ac:dyDescent="0.2">
      <c r="A405" s="280"/>
      <c r="B405" s="280"/>
      <c r="C405" s="280"/>
      <c r="D405" s="280"/>
      <c r="E405" s="280"/>
      <c r="F405" s="280"/>
      <c r="G405" s="280"/>
      <c r="H405" s="280"/>
      <c r="I405" s="280"/>
      <c r="J405" s="280"/>
      <c r="K405" s="280"/>
      <c r="L405" s="280"/>
      <c r="M405" s="280"/>
      <c r="N405" s="280"/>
      <c r="O405" s="280"/>
      <c r="P405" s="280"/>
      <c r="Q405" s="280"/>
      <c r="R405" s="280"/>
      <c r="S405" s="280"/>
      <c r="T405" s="280"/>
      <c r="U405" s="280"/>
      <c r="V405" s="280"/>
      <c r="W405" s="280"/>
      <c r="X405" s="280"/>
      <c r="Y405" s="280"/>
      <c r="Z405" s="280"/>
      <c r="AA405" s="280"/>
      <c r="AB405" s="280"/>
      <c r="AC405" s="280"/>
      <c r="AD405" s="280"/>
      <c r="AE405" s="280"/>
      <c r="AF405" s="280"/>
      <c r="AG405" s="280"/>
      <c r="AH405" s="280"/>
      <c r="AI405" s="280"/>
      <c r="AJ405" s="280"/>
      <c r="AK405" s="280"/>
      <c r="AL405" s="280"/>
      <c r="AM405" s="280"/>
      <c r="AN405" s="280"/>
      <c r="AO405" s="280"/>
      <c r="AP405" s="280"/>
      <c r="AQ405" s="280"/>
      <c r="AR405" s="280"/>
      <c r="AS405" s="280"/>
      <c r="AT405" s="280"/>
      <c r="AU405" s="280"/>
      <c r="AV405" s="280"/>
      <c r="AW405" s="280"/>
      <c r="AX405" s="280"/>
      <c r="AY405" s="280"/>
      <c r="AZ405" s="280"/>
    </row>
    <row r="406" spans="1:52" ht="12.75" x14ac:dyDescent="0.2">
      <c r="A406" s="280"/>
      <c r="B406" s="280"/>
      <c r="C406" s="280"/>
      <c r="D406" s="280"/>
      <c r="E406" s="280"/>
      <c r="F406" s="280"/>
      <c r="G406" s="280"/>
      <c r="H406" s="280"/>
      <c r="I406" s="280"/>
      <c r="J406" s="280"/>
      <c r="K406" s="280"/>
      <c r="L406" s="280"/>
      <c r="M406" s="280"/>
      <c r="N406" s="280"/>
      <c r="O406" s="280"/>
      <c r="P406" s="280"/>
      <c r="Q406" s="280"/>
      <c r="R406" s="280"/>
      <c r="S406" s="280"/>
      <c r="T406" s="280"/>
      <c r="U406" s="280"/>
      <c r="V406" s="280"/>
      <c r="W406" s="280"/>
      <c r="X406" s="280"/>
      <c r="Y406" s="280"/>
      <c r="Z406" s="280"/>
      <c r="AA406" s="280"/>
      <c r="AB406" s="280"/>
      <c r="AC406" s="280"/>
      <c r="AD406" s="280"/>
      <c r="AE406" s="280"/>
      <c r="AF406" s="280"/>
      <c r="AG406" s="280"/>
      <c r="AH406" s="280"/>
      <c r="AI406" s="280"/>
      <c r="AJ406" s="280"/>
      <c r="AK406" s="280"/>
      <c r="AL406" s="280"/>
      <c r="AM406" s="280"/>
      <c r="AN406" s="280"/>
      <c r="AO406" s="280"/>
      <c r="AP406" s="280"/>
      <c r="AQ406" s="280"/>
      <c r="AR406" s="280"/>
      <c r="AS406" s="280"/>
      <c r="AT406" s="280"/>
      <c r="AU406" s="280"/>
      <c r="AV406" s="280"/>
      <c r="AW406" s="280"/>
      <c r="AX406" s="280"/>
      <c r="AY406" s="280"/>
      <c r="AZ406" s="280"/>
    </row>
    <row r="407" spans="1:52" ht="12.75" x14ac:dyDescent="0.2">
      <c r="A407" s="280"/>
      <c r="B407" s="280"/>
      <c r="C407" s="280"/>
      <c r="D407" s="280"/>
      <c r="E407" s="280"/>
      <c r="F407" s="280"/>
      <c r="G407" s="280"/>
      <c r="H407" s="280"/>
      <c r="I407" s="280"/>
      <c r="J407" s="280"/>
      <c r="K407" s="280"/>
      <c r="L407" s="280"/>
      <c r="M407" s="280"/>
      <c r="N407" s="280"/>
      <c r="O407" s="280"/>
      <c r="P407" s="280"/>
      <c r="Q407" s="280"/>
      <c r="R407" s="280"/>
      <c r="S407" s="280"/>
      <c r="T407" s="280"/>
      <c r="U407" s="280"/>
      <c r="V407" s="280"/>
      <c r="W407" s="280"/>
      <c r="X407" s="280"/>
      <c r="Y407" s="280"/>
      <c r="Z407" s="280"/>
      <c r="AA407" s="280"/>
      <c r="AB407" s="280"/>
      <c r="AC407" s="280"/>
      <c r="AD407" s="280"/>
      <c r="AE407" s="280"/>
      <c r="AF407" s="280"/>
      <c r="AG407" s="280"/>
      <c r="AH407" s="280"/>
      <c r="AI407" s="280"/>
      <c r="AJ407" s="280"/>
      <c r="AK407" s="280"/>
      <c r="AL407" s="280"/>
      <c r="AM407" s="280"/>
      <c r="AN407" s="280"/>
      <c r="AO407" s="280"/>
      <c r="AP407" s="280"/>
      <c r="AQ407" s="280"/>
      <c r="AR407" s="280"/>
      <c r="AS407" s="280"/>
      <c r="AT407" s="280"/>
      <c r="AU407" s="280"/>
      <c r="AV407" s="280"/>
      <c r="AW407" s="280"/>
      <c r="AX407" s="280"/>
      <c r="AY407" s="280"/>
      <c r="AZ407" s="280"/>
    </row>
    <row r="408" spans="1:52" ht="12.75" x14ac:dyDescent="0.2">
      <c r="A408" s="280"/>
      <c r="B408" s="280"/>
      <c r="C408" s="280"/>
      <c r="D408" s="280"/>
      <c r="E408" s="280"/>
      <c r="F408" s="280"/>
      <c r="G408" s="280"/>
      <c r="H408" s="280"/>
      <c r="I408" s="280"/>
      <c r="J408" s="280"/>
      <c r="K408" s="280"/>
      <c r="L408" s="280"/>
      <c r="M408" s="280"/>
      <c r="N408" s="280"/>
      <c r="O408" s="280"/>
      <c r="P408" s="280"/>
      <c r="Q408" s="280"/>
      <c r="R408" s="280"/>
      <c r="S408" s="280"/>
      <c r="T408" s="280"/>
      <c r="U408" s="280"/>
      <c r="V408" s="280"/>
      <c r="W408" s="280"/>
      <c r="X408" s="280"/>
      <c r="Y408" s="280"/>
      <c r="Z408" s="280"/>
      <c r="AA408" s="280"/>
      <c r="AB408" s="280"/>
      <c r="AC408" s="280"/>
      <c r="AD408" s="280"/>
      <c r="AE408" s="280"/>
      <c r="AF408" s="280"/>
      <c r="AG408" s="280"/>
      <c r="AH408" s="280"/>
      <c r="AI408" s="280"/>
      <c r="AJ408" s="280"/>
      <c r="AK408" s="280"/>
      <c r="AL408" s="280"/>
      <c r="AM408" s="280"/>
      <c r="AN408" s="280"/>
      <c r="AO408" s="280"/>
      <c r="AP408" s="280"/>
      <c r="AQ408" s="280"/>
      <c r="AR408" s="280"/>
      <c r="AS408" s="280"/>
      <c r="AT408" s="280"/>
      <c r="AU408" s="280"/>
      <c r="AV408" s="280"/>
      <c r="AW408" s="280"/>
      <c r="AX408" s="280"/>
      <c r="AY408" s="280"/>
      <c r="AZ408" s="280"/>
    </row>
    <row r="409" spans="1:52" ht="12.75" x14ac:dyDescent="0.2">
      <c r="A409" s="280"/>
      <c r="B409" s="280"/>
      <c r="C409" s="280"/>
      <c r="D409" s="280"/>
      <c r="E409" s="280"/>
      <c r="F409" s="280"/>
      <c r="G409" s="280"/>
      <c r="H409" s="280"/>
      <c r="I409" s="280"/>
      <c r="J409" s="280"/>
      <c r="K409" s="280"/>
      <c r="L409" s="280"/>
      <c r="M409" s="280"/>
      <c r="N409" s="280"/>
      <c r="O409" s="280"/>
      <c r="P409" s="280"/>
      <c r="Q409" s="280"/>
      <c r="R409" s="280"/>
      <c r="S409" s="280"/>
      <c r="T409" s="280"/>
      <c r="U409" s="280"/>
      <c r="V409" s="280"/>
      <c r="W409" s="280"/>
      <c r="X409" s="280"/>
      <c r="Y409" s="280"/>
      <c r="Z409" s="280"/>
      <c r="AA409" s="280"/>
      <c r="AB409" s="280"/>
      <c r="AC409" s="280"/>
      <c r="AD409" s="280"/>
      <c r="AE409" s="280"/>
      <c r="AF409" s="280"/>
      <c r="AG409" s="280"/>
      <c r="AH409" s="280"/>
      <c r="AI409" s="280"/>
      <c r="AJ409" s="280"/>
      <c r="AK409" s="280"/>
      <c r="AL409" s="280"/>
      <c r="AM409" s="280"/>
      <c r="AN409" s="280"/>
      <c r="AO409" s="280"/>
      <c r="AP409" s="280"/>
      <c r="AQ409" s="280"/>
      <c r="AR409" s="280"/>
      <c r="AS409" s="280"/>
      <c r="AT409" s="280"/>
      <c r="AU409" s="280"/>
      <c r="AV409" s="280"/>
      <c r="AW409" s="280"/>
      <c r="AX409" s="280"/>
      <c r="AY409" s="280"/>
      <c r="AZ409" s="280"/>
    </row>
    <row r="410" spans="1:52" ht="12.75" x14ac:dyDescent="0.2">
      <c r="A410" s="280"/>
      <c r="B410" s="280"/>
      <c r="C410" s="280"/>
      <c r="D410" s="280"/>
      <c r="E410" s="280"/>
      <c r="F410" s="280"/>
      <c r="G410" s="280"/>
      <c r="H410" s="280"/>
      <c r="I410" s="280"/>
      <c r="J410" s="280"/>
      <c r="K410" s="280"/>
      <c r="L410" s="280"/>
      <c r="M410" s="280"/>
      <c r="N410" s="280"/>
      <c r="O410" s="280"/>
      <c r="P410" s="280"/>
      <c r="Q410" s="280"/>
      <c r="R410" s="280"/>
      <c r="S410" s="280"/>
      <c r="T410" s="280"/>
      <c r="U410" s="280"/>
      <c r="V410" s="280"/>
      <c r="W410" s="280"/>
      <c r="X410" s="280"/>
      <c r="Y410" s="280"/>
      <c r="Z410" s="280"/>
      <c r="AA410" s="280"/>
      <c r="AB410" s="280"/>
      <c r="AC410" s="280"/>
      <c r="AD410" s="280"/>
      <c r="AE410" s="280"/>
      <c r="AF410" s="280"/>
      <c r="AG410" s="280"/>
      <c r="AH410" s="280"/>
      <c r="AI410" s="280"/>
      <c r="AJ410" s="280"/>
      <c r="AK410" s="280"/>
      <c r="AL410" s="280"/>
      <c r="AM410" s="280"/>
      <c r="AN410" s="280"/>
      <c r="AO410" s="280"/>
      <c r="AP410" s="280"/>
      <c r="AQ410" s="280"/>
      <c r="AR410" s="280"/>
      <c r="AS410" s="280"/>
      <c r="AT410" s="280"/>
      <c r="AU410" s="280"/>
      <c r="AV410" s="280"/>
      <c r="AW410" s="280"/>
      <c r="AX410" s="280"/>
      <c r="AY410" s="280"/>
      <c r="AZ410" s="280"/>
    </row>
    <row r="411" spans="1:52" ht="12.75" x14ac:dyDescent="0.2">
      <c r="A411" s="280"/>
      <c r="B411" s="280"/>
      <c r="C411" s="280"/>
      <c r="D411" s="280"/>
      <c r="E411" s="280"/>
      <c r="F411" s="280"/>
      <c r="G411" s="280"/>
      <c r="H411" s="280"/>
      <c r="I411" s="280"/>
      <c r="J411" s="280"/>
      <c r="K411" s="280"/>
      <c r="L411" s="280"/>
      <c r="M411" s="280"/>
      <c r="N411" s="280"/>
      <c r="O411" s="280"/>
      <c r="P411" s="280"/>
      <c r="Q411" s="280"/>
      <c r="R411" s="280"/>
      <c r="S411" s="280"/>
      <c r="T411" s="280"/>
      <c r="U411" s="280"/>
      <c r="V411" s="280"/>
      <c r="W411" s="280"/>
      <c r="X411" s="280"/>
      <c r="Y411" s="280"/>
      <c r="Z411" s="280"/>
      <c r="AA411" s="280"/>
      <c r="AB411" s="280"/>
      <c r="AC411" s="280"/>
      <c r="AD411" s="280"/>
      <c r="AE411" s="280"/>
      <c r="AF411" s="280"/>
      <c r="AG411" s="280"/>
      <c r="AH411" s="280"/>
      <c r="AI411" s="280"/>
      <c r="AJ411" s="280"/>
      <c r="AK411" s="280"/>
      <c r="AL411" s="280"/>
      <c r="AM411" s="280"/>
      <c r="AN411" s="280"/>
      <c r="AO411" s="280"/>
      <c r="AP411" s="280"/>
      <c r="AQ411" s="280"/>
      <c r="AR411" s="280"/>
      <c r="AS411" s="280"/>
      <c r="AT411" s="280"/>
      <c r="AU411" s="280"/>
      <c r="AV411" s="280"/>
      <c r="AW411" s="280"/>
      <c r="AX411" s="280"/>
      <c r="AY411" s="280"/>
      <c r="AZ411" s="280"/>
    </row>
    <row r="412" spans="1:52" ht="12.75" x14ac:dyDescent="0.2">
      <c r="A412" s="280"/>
      <c r="B412" s="280"/>
      <c r="C412" s="280"/>
      <c r="D412" s="280"/>
      <c r="E412" s="280"/>
      <c r="F412" s="280"/>
      <c r="G412" s="280"/>
      <c r="H412" s="280"/>
      <c r="I412" s="280"/>
      <c r="J412" s="280"/>
      <c r="K412" s="280"/>
      <c r="L412" s="280"/>
      <c r="M412" s="280"/>
      <c r="N412" s="280"/>
      <c r="O412" s="280"/>
      <c r="P412" s="280"/>
      <c r="Q412" s="280"/>
      <c r="R412" s="280"/>
      <c r="S412" s="280"/>
      <c r="T412" s="280"/>
      <c r="U412" s="280"/>
      <c r="V412" s="280"/>
      <c r="W412" s="280"/>
      <c r="X412" s="280"/>
      <c r="Y412" s="280"/>
      <c r="Z412" s="280"/>
      <c r="AA412" s="280"/>
      <c r="AB412" s="280"/>
      <c r="AC412" s="280"/>
      <c r="AD412" s="280"/>
      <c r="AE412" s="280"/>
      <c r="AF412" s="280"/>
      <c r="AG412" s="280"/>
      <c r="AH412" s="280"/>
      <c r="AI412" s="280"/>
      <c r="AJ412" s="280"/>
      <c r="AK412" s="280"/>
      <c r="AL412" s="280"/>
      <c r="AM412" s="280"/>
      <c r="AN412" s="280"/>
      <c r="AO412" s="280"/>
      <c r="AP412" s="280"/>
      <c r="AQ412" s="280"/>
      <c r="AR412" s="280"/>
      <c r="AS412" s="280"/>
      <c r="AT412" s="280"/>
      <c r="AU412" s="280"/>
      <c r="AV412" s="280"/>
      <c r="AW412" s="280"/>
      <c r="AX412" s="280"/>
      <c r="AY412" s="280"/>
      <c r="AZ412" s="280"/>
    </row>
    <row r="413" spans="1:52" ht="12.75" x14ac:dyDescent="0.2">
      <c r="A413" s="280"/>
      <c r="B413" s="280"/>
      <c r="C413" s="280"/>
      <c r="D413" s="280"/>
      <c r="E413" s="280"/>
      <c r="F413" s="280"/>
      <c r="G413" s="280"/>
      <c r="H413" s="280"/>
      <c r="I413" s="280"/>
      <c r="J413" s="280"/>
      <c r="K413" s="280"/>
      <c r="L413" s="280"/>
      <c r="M413" s="280"/>
      <c r="N413" s="280"/>
      <c r="O413" s="280"/>
      <c r="P413" s="280"/>
      <c r="Q413" s="280"/>
      <c r="R413" s="280"/>
      <c r="S413" s="280"/>
      <c r="T413" s="280"/>
      <c r="U413" s="280"/>
      <c r="V413" s="280"/>
      <c r="W413" s="280"/>
      <c r="X413" s="280"/>
      <c r="Y413" s="280"/>
      <c r="Z413" s="280"/>
      <c r="AA413" s="280"/>
      <c r="AB413" s="280"/>
      <c r="AC413" s="280"/>
      <c r="AD413" s="280"/>
      <c r="AE413" s="280"/>
      <c r="AF413" s="280"/>
      <c r="AG413" s="280"/>
      <c r="AH413" s="280"/>
      <c r="AI413" s="280"/>
      <c r="AJ413" s="280"/>
      <c r="AK413" s="280"/>
      <c r="AL413" s="280"/>
      <c r="AM413" s="280"/>
      <c r="AN413" s="280"/>
      <c r="AO413" s="280"/>
      <c r="AP413" s="280"/>
      <c r="AQ413" s="280"/>
      <c r="AR413" s="280"/>
      <c r="AS413" s="280"/>
      <c r="AT413" s="280"/>
      <c r="AU413" s="280"/>
      <c r="AV413" s="280"/>
      <c r="AW413" s="280"/>
      <c r="AX413" s="280"/>
      <c r="AY413" s="280"/>
      <c r="AZ413" s="280"/>
    </row>
    <row r="414" spans="1:52" ht="12.75" x14ac:dyDescent="0.2">
      <c r="A414" s="280"/>
      <c r="B414" s="280"/>
      <c r="C414" s="280"/>
      <c r="D414" s="280"/>
      <c r="E414" s="280"/>
      <c r="F414" s="280"/>
      <c r="G414" s="280"/>
      <c r="H414" s="280"/>
      <c r="I414" s="280"/>
      <c r="J414" s="280"/>
      <c r="K414" s="280"/>
      <c r="L414" s="280"/>
      <c r="M414" s="280"/>
      <c r="N414" s="280"/>
      <c r="O414" s="280"/>
      <c r="P414" s="280"/>
      <c r="Q414" s="280"/>
      <c r="R414" s="280"/>
      <c r="S414" s="280"/>
      <c r="T414" s="280"/>
      <c r="U414" s="280"/>
      <c r="V414" s="280"/>
      <c r="W414" s="280"/>
      <c r="X414" s="280"/>
      <c r="Y414" s="280"/>
      <c r="Z414" s="280"/>
      <c r="AA414" s="280"/>
      <c r="AB414" s="280"/>
      <c r="AC414" s="280"/>
      <c r="AD414" s="280"/>
      <c r="AE414" s="280"/>
      <c r="AF414" s="280"/>
      <c r="AG414" s="280"/>
      <c r="AH414" s="280"/>
      <c r="AI414" s="280"/>
      <c r="AJ414" s="280"/>
      <c r="AK414" s="280"/>
      <c r="AL414" s="280"/>
      <c r="AM414" s="280"/>
      <c r="AN414" s="280"/>
      <c r="AO414" s="280"/>
      <c r="AP414" s="280"/>
      <c r="AQ414" s="280"/>
      <c r="AR414" s="280"/>
      <c r="AS414" s="280"/>
      <c r="AT414" s="280"/>
      <c r="AU414" s="280"/>
      <c r="AV414" s="280"/>
      <c r="AW414" s="280"/>
      <c r="AX414" s="280"/>
      <c r="AY414" s="280"/>
      <c r="AZ414" s="280"/>
    </row>
    <row r="415" spans="1:52" ht="12.75" x14ac:dyDescent="0.2">
      <c r="A415" s="280"/>
      <c r="B415" s="280"/>
      <c r="C415" s="280"/>
      <c r="D415" s="280"/>
      <c r="E415" s="280"/>
      <c r="F415" s="280"/>
      <c r="G415" s="280"/>
      <c r="H415" s="280"/>
      <c r="I415" s="280"/>
      <c r="J415" s="280"/>
      <c r="K415" s="280"/>
      <c r="L415" s="280"/>
      <c r="M415" s="280"/>
      <c r="N415" s="280"/>
      <c r="O415" s="280"/>
      <c r="P415" s="280"/>
      <c r="Q415" s="280"/>
      <c r="R415" s="280"/>
      <c r="S415" s="280"/>
      <c r="T415" s="280"/>
      <c r="U415" s="280"/>
      <c r="V415" s="280"/>
      <c r="W415" s="280"/>
      <c r="X415" s="280"/>
      <c r="Y415" s="280"/>
      <c r="Z415" s="280"/>
      <c r="AA415" s="280"/>
      <c r="AB415" s="280"/>
      <c r="AC415" s="280"/>
      <c r="AD415" s="280"/>
      <c r="AE415" s="280"/>
      <c r="AF415" s="280"/>
      <c r="AG415" s="280"/>
      <c r="AH415" s="280"/>
      <c r="AI415" s="280"/>
      <c r="AJ415" s="280"/>
      <c r="AK415" s="280"/>
      <c r="AL415" s="280"/>
      <c r="AM415" s="280"/>
      <c r="AN415" s="280"/>
      <c r="AO415" s="280"/>
      <c r="AP415" s="280"/>
      <c r="AQ415" s="280"/>
      <c r="AR415" s="280"/>
      <c r="AS415" s="280"/>
      <c r="AT415" s="280"/>
      <c r="AU415" s="280"/>
      <c r="AV415" s="280"/>
      <c r="AW415" s="280"/>
      <c r="AX415" s="280"/>
      <c r="AY415" s="280"/>
      <c r="AZ415" s="280"/>
    </row>
    <row r="416" spans="1:52" ht="12.75" x14ac:dyDescent="0.2">
      <c r="A416" s="280"/>
      <c r="B416" s="280"/>
      <c r="C416" s="280"/>
      <c r="D416" s="280"/>
      <c r="E416" s="280"/>
      <c r="F416" s="280"/>
      <c r="G416" s="280"/>
      <c r="H416" s="280"/>
      <c r="I416" s="280"/>
      <c r="J416" s="280"/>
      <c r="K416" s="280"/>
      <c r="L416" s="280"/>
      <c r="M416" s="280"/>
      <c r="N416" s="280"/>
      <c r="O416" s="280"/>
      <c r="P416" s="280"/>
      <c r="Q416" s="280"/>
      <c r="R416" s="280"/>
      <c r="S416" s="280"/>
      <c r="T416" s="280"/>
      <c r="U416" s="280"/>
      <c r="V416" s="280"/>
      <c r="W416" s="280"/>
      <c r="X416" s="280"/>
      <c r="Y416" s="280"/>
      <c r="Z416" s="280"/>
      <c r="AA416" s="280"/>
      <c r="AB416" s="280"/>
      <c r="AC416" s="280"/>
      <c r="AD416" s="280"/>
      <c r="AE416" s="280"/>
      <c r="AF416" s="280"/>
      <c r="AG416" s="280"/>
      <c r="AH416" s="280"/>
      <c r="AI416" s="280"/>
      <c r="AJ416" s="280"/>
      <c r="AK416" s="280"/>
      <c r="AL416" s="280"/>
      <c r="AM416" s="280"/>
      <c r="AN416" s="280"/>
      <c r="AO416" s="280"/>
      <c r="AP416" s="280"/>
      <c r="AQ416" s="280"/>
      <c r="AR416" s="280"/>
      <c r="AS416" s="280"/>
      <c r="AT416" s="280"/>
      <c r="AU416" s="280"/>
      <c r="AV416" s="280"/>
      <c r="AW416" s="280"/>
      <c r="AX416" s="280"/>
      <c r="AY416" s="280"/>
      <c r="AZ416" s="280"/>
    </row>
    <row r="417" spans="1:52" ht="12.75" x14ac:dyDescent="0.2">
      <c r="A417" s="280"/>
      <c r="B417" s="280"/>
      <c r="C417" s="280"/>
      <c r="D417" s="280"/>
      <c r="E417" s="280"/>
      <c r="F417" s="280"/>
      <c r="G417" s="280"/>
      <c r="H417" s="280"/>
      <c r="I417" s="280"/>
      <c r="J417" s="280"/>
      <c r="K417" s="280"/>
      <c r="L417" s="280"/>
      <c r="M417" s="280"/>
      <c r="N417" s="280"/>
      <c r="O417" s="280"/>
      <c r="P417" s="280"/>
      <c r="Q417" s="280"/>
      <c r="R417" s="280"/>
      <c r="S417" s="280"/>
      <c r="T417" s="280"/>
      <c r="U417" s="280"/>
      <c r="V417" s="280"/>
      <c r="W417" s="280"/>
      <c r="X417" s="280"/>
      <c r="Y417" s="280"/>
      <c r="Z417" s="280"/>
      <c r="AA417" s="280"/>
      <c r="AB417" s="280"/>
      <c r="AC417" s="280"/>
      <c r="AD417" s="280"/>
      <c r="AE417" s="280"/>
      <c r="AF417" s="280"/>
      <c r="AG417" s="280"/>
      <c r="AH417" s="280"/>
      <c r="AI417" s="280"/>
      <c r="AJ417" s="280"/>
      <c r="AK417" s="280"/>
      <c r="AL417" s="280"/>
      <c r="AM417" s="280"/>
      <c r="AN417" s="280"/>
      <c r="AO417" s="280"/>
      <c r="AP417" s="280"/>
      <c r="AQ417" s="280"/>
      <c r="AR417" s="280"/>
      <c r="AS417" s="280"/>
      <c r="AT417" s="280"/>
      <c r="AU417" s="280"/>
      <c r="AV417" s="280"/>
      <c r="AW417" s="280"/>
      <c r="AX417" s="280"/>
      <c r="AY417" s="280"/>
      <c r="AZ417" s="280"/>
    </row>
    <row r="418" spans="1:52" ht="12.75" x14ac:dyDescent="0.2">
      <c r="A418" s="280"/>
      <c r="B418" s="280"/>
      <c r="C418" s="280"/>
      <c r="D418" s="280"/>
      <c r="E418" s="280"/>
      <c r="F418" s="280"/>
      <c r="G418" s="280"/>
      <c r="H418" s="280"/>
      <c r="I418" s="280"/>
      <c r="J418" s="280"/>
      <c r="K418" s="280"/>
      <c r="L418" s="280"/>
      <c r="M418" s="280"/>
      <c r="N418" s="280"/>
      <c r="O418" s="280"/>
      <c r="P418" s="280"/>
      <c r="Q418" s="280"/>
      <c r="R418" s="280"/>
      <c r="S418" s="280"/>
      <c r="T418" s="280"/>
      <c r="U418" s="280"/>
      <c r="V418" s="280"/>
      <c r="W418" s="280"/>
      <c r="X418" s="280"/>
      <c r="Y418" s="280"/>
      <c r="Z418" s="280"/>
      <c r="AA418" s="280"/>
      <c r="AB418" s="280"/>
      <c r="AC418" s="280"/>
      <c r="AD418" s="280"/>
      <c r="AE418" s="280"/>
      <c r="AF418" s="280"/>
      <c r="AG418" s="280"/>
      <c r="AH418" s="280"/>
      <c r="AI418" s="280"/>
      <c r="AJ418" s="280"/>
      <c r="AK418" s="280"/>
      <c r="AL418" s="280"/>
      <c r="AM418" s="280"/>
      <c r="AN418" s="280"/>
      <c r="AO418" s="280"/>
      <c r="AP418" s="280"/>
      <c r="AQ418" s="280"/>
      <c r="AR418" s="280"/>
      <c r="AS418" s="280"/>
      <c r="AT418" s="280"/>
      <c r="AU418" s="280"/>
      <c r="AV418" s="280"/>
      <c r="AW418" s="280"/>
      <c r="AX418" s="280"/>
      <c r="AY418" s="280"/>
      <c r="AZ418" s="280"/>
    </row>
    <row r="419" spans="1:52" ht="12.75" x14ac:dyDescent="0.2">
      <c r="A419" s="280"/>
      <c r="B419" s="280"/>
      <c r="C419" s="280"/>
      <c r="D419" s="280"/>
      <c r="E419" s="280"/>
      <c r="F419" s="280"/>
      <c r="G419" s="280"/>
      <c r="H419" s="280"/>
      <c r="I419" s="280"/>
      <c r="J419" s="280"/>
      <c r="K419" s="280"/>
      <c r="L419" s="280"/>
      <c r="M419" s="280"/>
      <c r="N419" s="280"/>
      <c r="O419" s="280"/>
      <c r="P419" s="280"/>
      <c r="Q419" s="280"/>
      <c r="R419" s="280"/>
      <c r="S419" s="280"/>
      <c r="T419" s="280"/>
      <c r="U419" s="280"/>
      <c r="V419" s="280"/>
      <c r="W419" s="280"/>
      <c r="X419" s="280"/>
      <c r="Y419" s="280"/>
      <c r="Z419" s="280"/>
      <c r="AA419" s="280"/>
      <c r="AB419" s="280"/>
      <c r="AC419" s="280"/>
      <c r="AD419" s="280"/>
      <c r="AE419" s="280"/>
      <c r="AF419" s="280"/>
      <c r="AG419" s="280"/>
      <c r="AH419" s="280"/>
      <c r="AI419" s="280"/>
      <c r="AJ419" s="280"/>
      <c r="AK419" s="280"/>
      <c r="AL419" s="280"/>
      <c r="AM419" s="280"/>
      <c r="AN419" s="280"/>
      <c r="AO419" s="280"/>
      <c r="AP419" s="280"/>
      <c r="AQ419" s="280"/>
      <c r="AR419" s="280"/>
      <c r="AS419" s="280"/>
      <c r="AT419" s="280"/>
      <c r="AU419" s="280"/>
      <c r="AV419" s="280"/>
      <c r="AW419" s="280"/>
      <c r="AX419" s="280"/>
      <c r="AY419" s="280"/>
      <c r="AZ419" s="280"/>
    </row>
    <row r="420" spans="1:52" ht="12.75" x14ac:dyDescent="0.2">
      <c r="A420" s="280"/>
      <c r="B420" s="280"/>
      <c r="C420" s="280"/>
      <c r="D420" s="280"/>
      <c r="E420" s="280"/>
      <c r="F420" s="280"/>
      <c r="G420" s="280"/>
      <c r="H420" s="280"/>
      <c r="I420" s="280"/>
      <c r="J420" s="280"/>
      <c r="K420" s="280"/>
      <c r="L420" s="280"/>
      <c r="M420" s="280"/>
      <c r="N420" s="280"/>
      <c r="O420" s="280"/>
      <c r="P420" s="280"/>
      <c r="Q420" s="280"/>
      <c r="R420" s="280"/>
      <c r="S420" s="280"/>
      <c r="T420" s="280"/>
      <c r="U420" s="280"/>
      <c r="V420" s="280"/>
      <c r="W420" s="280"/>
      <c r="X420" s="280"/>
      <c r="Y420" s="280"/>
      <c r="Z420" s="280"/>
      <c r="AA420" s="280"/>
      <c r="AB420" s="280"/>
      <c r="AC420" s="280"/>
      <c r="AD420" s="280"/>
      <c r="AE420" s="280"/>
      <c r="AF420" s="280"/>
      <c r="AG420" s="280"/>
      <c r="AH420" s="280"/>
      <c r="AI420" s="280"/>
      <c r="AJ420" s="280"/>
      <c r="AK420" s="280"/>
      <c r="AL420" s="280"/>
      <c r="AM420" s="280"/>
      <c r="AN420" s="280"/>
      <c r="AO420" s="280"/>
      <c r="AP420" s="280"/>
      <c r="AQ420" s="280"/>
      <c r="AR420" s="280"/>
      <c r="AS420" s="280"/>
      <c r="AT420" s="280"/>
      <c r="AU420" s="280"/>
      <c r="AV420" s="280"/>
      <c r="AW420" s="280"/>
      <c r="AX420" s="280"/>
      <c r="AY420" s="280"/>
      <c r="AZ420" s="280"/>
    </row>
    <row r="421" spans="1:52" ht="12.75" x14ac:dyDescent="0.2">
      <c r="A421" s="280"/>
      <c r="B421" s="280"/>
      <c r="C421" s="280"/>
      <c r="D421" s="280"/>
      <c r="E421" s="280"/>
      <c r="F421" s="280"/>
      <c r="G421" s="280"/>
      <c r="H421" s="280"/>
      <c r="I421" s="280"/>
      <c r="J421" s="280"/>
      <c r="K421" s="280"/>
      <c r="L421" s="280"/>
      <c r="M421" s="280"/>
      <c r="N421" s="280"/>
      <c r="O421" s="280"/>
      <c r="P421" s="280"/>
      <c r="Q421" s="280"/>
      <c r="R421" s="280"/>
      <c r="S421" s="280"/>
      <c r="T421" s="280"/>
      <c r="U421" s="280"/>
      <c r="V421" s="280"/>
      <c r="W421" s="280"/>
      <c r="X421" s="280"/>
      <c r="Y421" s="280"/>
      <c r="Z421" s="280"/>
      <c r="AA421" s="280"/>
      <c r="AB421" s="280"/>
      <c r="AC421" s="280"/>
      <c r="AD421" s="280"/>
      <c r="AE421" s="280"/>
      <c r="AF421" s="280"/>
      <c r="AG421" s="280"/>
      <c r="AH421" s="280"/>
      <c r="AI421" s="280"/>
      <c r="AJ421" s="280"/>
      <c r="AK421" s="280"/>
      <c r="AL421" s="280"/>
      <c r="AM421" s="280"/>
      <c r="AN421" s="280"/>
      <c r="AO421" s="280"/>
      <c r="AP421" s="280"/>
      <c r="AQ421" s="280"/>
      <c r="AR421" s="280"/>
      <c r="AS421" s="280"/>
      <c r="AT421" s="280"/>
      <c r="AU421" s="280"/>
      <c r="AV421" s="280"/>
      <c r="AW421" s="280"/>
      <c r="AX421" s="280"/>
      <c r="AY421" s="280"/>
      <c r="AZ421" s="280"/>
    </row>
    <row r="422" spans="1:52" ht="12.75" x14ac:dyDescent="0.2">
      <c r="A422" s="280"/>
      <c r="B422" s="280"/>
      <c r="C422" s="280"/>
      <c r="D422" s="280"/>
      <c r="E422" s="280"/>
      <c r="F422" s="280"/>
      <c r="G422" s="280"/>
      <c r="H422" s="280"/>
      <c r="I422" s="280"/>
      <c r="J422" s="280"/>
      <c r="K422" s="280"/>
      <c r="L422" s="280"/>
      <c r="M422" s="280"/>
      <c r="N422" s="280"/>
      <c r="O422" s="280"/>
      <c r="P422" s="280"/>
      <c r="Q422" s="280"/>
      <c r="R422" s="280"/>
      <c r="S422" s="280"/>
      <c r="T422" s="280"/>
      <c r="U422" s="280"/>
      <c r="V422" s="280"/>
      <c r="W422" s="280"/>
      <c r="X422" s="280"/>
      <c r="Y422" s="280"/>
      <c r="Z422" s="280"/>
      <c r="AA422" s="280"/>
      <c r="AB422" s="280"/>
      <c r="AC422" s="280"/>
      <c r="AD422" s="280"/>
      <c r="AE422" s="280"/>
      <c r="AF422" s="280"/>
      <c r="AG422" s="280"/>
      <c r="AH422" s="280"/>
      <c r="AI422" s="280"/>
      <c r="AJ422" s="280"/>
      <c r="AK422" s="280"/>
      <c r="AL422" s="280"/>
      <c r="AM422" s="280"/>
      <c r="AN422" s="280"/>
      <c r="AO422" s="280"/>
      <c r="AP422" s="280"/>
      <c r="AQ422" s="280"/>
      <c r="AR422" s="280"/>
      <c r="AS422" s="280"/>
      <c r="AT422" s="280"/>
      <c r="AU422" s="280"/>
      <c r="AV422" s="280"/>
      <c r="AW422" s="280"/>
      <c r="AX422" s="280"/>
      <c r="AY422" s="280"/>
      <c r="AZ422" s="280"/>
    </row>
    <row r="423" spans="1:52" ht="12.75" x14ac:dyDescent="0.2">
      <c r="A423" s="280"/>
      <c r="B423" s="280"/>
      <c r="C423" s="280"/>
      <c r="D423" s="280"/>
      <c r="E423" s="280"/>
      <c r="F423" s="280"/>
      <c r="G423" s="280"/>
      <c r="H423" s="280"/>
      <c r="I423" s="280"/>
      <c r="J423" s="280"/>
      <c r="K423" s="280"/>
      <c r="L423" s="280"/>
      <c r="M423" s="280"/>
      <c r="N423" s="280"/>
      <c r="O423" s="280"/>
      <c r="P423" s="280"/>
      <c r="Q423" s="280"/>
      <c r="R423" s="280"/>
      <c r="S423" s="280"/>
      <c r="T423" s="280"/>
      <c r="U423" s="280"/>
      <c r="V423" s="280"/>
      <c r="W423" s="280"/>
      <c r="X423" s="280"/>
      <c r="Y423" s="280"/>
      <c r="Z423" s="280"/>
      <c r="AA423" s="280"/>
      <c r="AB423" s="280"/>
      <c r="AC423" s="280"/>
      <c r="AD423" s="280"/>
      <c r="AE423" s="280"/>
      <c r="AF423" s="280"/>
      <c r="AG423" s="280"/>
      <c r="AH423" s="280"/>
      <c r="AI423" s="280"/>
      <c r="AJ423" s="280"/>
      <c r="AK423" s="280"/>
      <c r="AL423" s="280"/>
      <c r="AM423" s="280"/>
      <c r="AN423" s="280"/>
      <c r="AO423" s="280"/>
      <c r="AP423" s="280"/>
      <c r="AQ423" s="280"/>
      <c r="AR423" s="280"/>
      <c r="AS423" s="280"/>
      <c r="AT423" s="280"/>
      <c r="AU423" s="280"/>
      <c r="AV423" s="280"/>
      <c r="AW423" s="280"/>
      <c r="AX423" s="280"/>
      <c r="AY423" s="280"/>
      <c r="AZ423" s="280"/>
    </row>
    <row r="424" spans="1:52" ht="12.75" x14ac:dyDescent="0.2">
      <c r="A424" s="280"/>
      <c r="B424" s="280"/>
      <c r="C424" s="280"/>
      <c r="D424" s="280"/>
      <c r="E424" s="280"/>
      <c r="F424" s="280"/>
      <c r="G424" s="280"/>
      <c r="H424" s="280"/>
      <c r="I424" s="280"/>
      <c r="J424" s="280"/>
      <c r="K424" s="280"/>
      <c r="L424" s="280"/>
      <c r="M424" s="280"/>
      <c r="N424" s="280"/>
      <c r="O424" s="280"/>
      <c r="P424" s="280"/>
      <c r="Q424" s="280"/>
      <c r="R424" s="280"/>
      <c r="S424" s="280"/>
      <c r="T424" s="280"/>
      <c r="U424" s="280"/>
      <c r="V424" s="280"/>
      <c r="W424" s="280"/>
      <c r="X424" s="280"/>
      <c r="Y424" s="280"/>
      <c r="Z424" s="280"/>
      <c r="AA424" s="280"/>
      <c r="AB424" s="280"/>
      <c r="AC424" s="280"/>
      <c r="AD424" s="280"/>
      <c r="AE424" s="280"/>
      <c r="AF424" s="280"/>
      <c r="AG424" s="280"/>
      <c r="AH424" s="280"/>
      <c r="AI424" s="280"/>
      <c r="AJ424" s="280"/>
      <c r="AK424" s="280"/>
      <c r="AL424" s="280"/>
      <c r="AM424" s="280"/>
      <c r="AN424" s="280"/>
      <c r="AO424" s="280"/>
      <c r="AP424" s="280"/>
      <c r="AQ424" s="280"/>
      <c r="AR424" s="280"/>
      <c r="AS424" s="280"/>
      <c r="AT424" s="280"/>
      <c r="AU424" s="280"/>
      <c r="AV424" s="280"/>
      <c r="AW424" s="280"/>
      <c r="AX424" s="280"/>
      <c r="AY424" s="280"/>
      <c r="AZ424" s="280"/>
    </row>
    <row r="425" spans="1:52" ht="12.75" x14ac:dyDescent="0.2">
      <c r="A425" s="280"/>
      <c r="B425" s="280"/>
      <c r="C425" s="280"/>
      <c r="D425" s="280"/>
      <c r="E425" s="280"/>
      <c r="F425" s="280"/>
      <c r="G425" s="280"/>
      <c r="H425" s="280"/>
      <c r="I425" s="280"/>
      <c r="J425" s="280"/>
      <c r="K425" s="280"/>
      <c r="L425" s="280"/>
      <c r="M425" s="280"/>
      <c r="N425" s="280"/>
      <c r="O425" s="280"/>
      <c r="P425" s="280"/>
      <c r="Q425" s="280"/>
      <c r="R425" s="280"/>
      <c r="S425" s="280"/>
      <c r="T425" s="280"/>
      <c r="U425" s="280"/>
      <c r="V425" s="280"/>
      <c r="W425" s="280"/>
      <c r="X425" s="280"/>
      <c r="Y425" s="280"/>
      <c r="Z425" s="280"/>
      <c r="AA425" s="280"/>
      <c r="AB425" s="280"/>
      <c r="AC425" s="280"/>
      <c r="AD425" s="280"/>
      <c r="AE425" s="280"/>
      <c r="AF425" s="280"/>
      <c r="AG425" s="280"/>
      <c r="AH425" s="280"/>
      <c r="AI425" s="280"/>
      <c r="AJ425" s="280"/>
      <c r="AK425" s="280"/>
      <c r="AL425" s="280"/>
      <c r="AM425" s="280"/>
      <c r="AN425" s="280"/>
      <c r="AO425" s="280"/>
      <c r="AP425" s="280"/>
      <c r="AQ425" s="280"/>
      <c r="AR425" s="280"/>
      <c r="AS425" s="280"/>
      <c r="AT425" s="280"/>
      <c r="AU425" s="280"/>
      <c r="AV425" s="280"/>
      <c r="AW425" s="280"/>
      <c r="AX425" s="280"/>
      <c r="AY425" s="280"/>
      <c r="AZ425" s="280"/>
    </row>
    <row r="426" spans="1:52" ht="12.75" x14ac:dyDescent="0.2">
      <c r="A426" s="280"/>
      <c r="B426" s="280"/>
      <c r="C426" s="280"/>
      <c r="D426" s="280"/>
      <c r="E426" s="280"/>
      <c r="F426" s="280"/>
      <c r="G426" s="280"/>
      <c r="H426" s="280"/>
      <c r="I426" s="280"/>
      <c r="J426" s="280"/>
      <c r="K426" s="280"/>
      <c r="L426" s="280"/>
      <c r="M426" s="280"/>
      <c r="N426" s="280"/>
      <c r="O426" s="280"/>
      <c r="P426" s="280"/>
      <c r="Q426" s="280"/>
      <c r="R426" s="280"/>
      <c r="S426" s="280"/>
      <c r="T426" s="280"/>
      <c r="U426" s="280"/>
      <c r="V426" s="280"/>
      <c r="W426" s="280"/>
      <c r="X426" s="280"/>
      <c r="Y426" s="280"/>
      <c r="Z426" s="280"/>
      <c r="AA426" s="280"/>
      <c r="AB426" s="280"/>
      <c r="AC426" s="280"/>
      <c r="AD426" s="280"/>
      <c r="AE426" s="280"/>
      <c r="AF426" s="280"/>
      <c r="AG426" s="280"/>
      <c r="AH426" s="280"/>
      <c r="AI426" s="280"/>
      <c r="AJ426" s="280"/>
      <c r="AK426" s="280"/>
      <c r="AL426" s="280"/>
      <c r="AM426" s="280"/>
      <c r="AN426" s="280"/>
      <c r="AO426" s="280"/>
      <c r="AP426" s="280"/>
      <c r="AQ426" s="280"/>
      <c r="AR426" s="280"/>
      <c r="AS426" s="280"/>
      <c r="AT426" s="280"/>
      <c r="AU426" s="280"/>
      <c r="AV426" s="280"/>
      <c r="AW426" s="280"/>
      <c r="AX426" s="280"/>
      <c r="AY426" s="280"/>
      <c r="AZ426" s="280"/>
    </row>
    <row r="427" spans="1:52" ht="12.75" x14ac:dyDescent="0.2">
      <c r="A427" s="280"/>
      <c r="B427" s="280"/>
      <c r="C427" s="280"/>
      <c r="D427" s="280"/>
      <c r="E427" s="280"/>
      <c r="F427" s="280"/>
      <c r="G427" s="280"/>
      <c r="H427" s="280"/>
      <c r="I427" s="280"/>
      <c r="J427" s="280"/>
      <c r="K427" s="280"/>
      <c r="L427" s="280"/>
      <c r="M427" s="280"/>
      <c r="N427" s="280"/>
      <c r="O427" s="280"/>
      <c r="P427" s="280"/>
      <c r="Q427" s="280"/>
      <c r="R427" s="280"/>
      <c r="S427" s="280"/>
      <c r="T427" s="280"/>
      <c r="U427" s="280"/>
      <c r="V427" s="280"/>
      <c r="W427" s="280"/>
      <c r="X427" s="280"/>
      <c r="Y427" s="280"/>
      <c r="Z427" s="280"/>
      <c r="AA427" s="280"/>
      <c r="AB427" s="280"/>
      <c r="AC427" s="280"/>
      <c r="AD427" s="280"/>
      <c r="AE427" s="280"/>
      <c r="AF427" s="280"/>
      <c r="AG427" s="280"/>
      <c r="AH427" s="280"/>
      <c r="AI427" s="280"/>
      <c r="AJ427" s="280"/>
      <c r="AK427" s="280"/>
      <c r="AL427" s="280"/>
      <c r="AM427" s="280"/>
      <c r="AN427" s="280"/>
      <c r="AO427" s="280"/>
      <c r="AP427" s="280"/>
      <c r="AQ427" s="280"/>
      <c r="AR427" s="280"/>
      <c r="AS427" s="280"/>
      <c r="AT427" s="280"/>
      <c r="AU427" s="280"/>
      <c r="AV427" s="280"/>
      <c r="AW427" s="280"/>
      <c r="AX427" s="280"/>
      <c r="AY427" s="280"/>
      <c r="AZ427" s="280"/>
    </row>
    <row r="428" spans="1:52" ht="12.75" x14ac:dyDescent="0.2">
      <c r="A428" s="280"/>
      <c r="B428" s="280"/>
      <c r="C428" s="280"/>
      <c r="D428" s="280"/>
      <c r="E428" s="280"/>
      <c r="F428" s="280"/>
      <c r="G428" s="280"/>
      <c r="H428" s="280"/>
      <c r="I428" s="280"/>
      <c r="J428" s="280"/>
      <c r="K428" s="280"/>
      <c r="L428" s="280"/>
      <c r="M428" s="280"/>
      <c r="N428" s="280"/>
      <c r="O428" s="280"/>
      <c r="P428" s="280"/>
      <c r="Q428" s="280"/>
      <c r="R428" s="280"/>
      <c r="S428" s="280"/>
      <c r="T428" s="280"/>
      <c r="U428" s="280"/>
      <c r="V428" s="280"/>
      <c r="W428" s="280"/>
      <c r="X428" s="280"/>
      <c r="Y428" s="280"/>
      <c r="Z428" s="280"/>
      <c r="AA428" s="280"/>
      <c r="AB428" s="280"/>
      <c r="AC428" s="280"/>
      <c r="AD428" s="280"/>
      <c r="AE428" s="280"/>
      <c r="AF428" s="280"/>
      <c r="AG428" s="280"/>
      <c r="AH428" s="280"/>
      <c r="AI428" s="280"/>
      <c r="AJ428" s="280"/>
      <c r="AK428" s="280"/>
      <c r="AL428" s="280"/>
      <c r="AM428" s="280"/>
      <c r="AN428" s="280"/>
      <c r="AO428" s="280"/>
      <c r="AP428" s="280"/>
      <c r="AQ428" s="280"/>
      <c r="AR428" s="280"/>
      <c r="AS428" s="280"/>
      <c r="AT428" s="280"/>
      <c r="AU428" s="280"/>
      <c r="AV428" s="280"/>
      <c r="AW428" s="280"/>
      <c r="AX428" s="280"/>
      <c r="AY428" s="280"/>
      <c r="AZ428" s="280"/>
    </row>
    <row r="429" spans="1:52" ht="12.75" x14ac:dyDescent="0.2">
      <c r="A429" s="280"/>
      <c r="B429" s="280"/>
      <c r="C429" s="280"/>
      <c r="D429" s="280"/>
      <c r="E429" s="280"/>
      <c r="F429" s="280"/>
      <c r="G429" s="280"/>
      <c r="H429" s="280"/>
      <c r="I429" s="280"/>
      <c r="J429" s="280"/>
      <c r="K429" s="280"/>
      <c r="L429" s="280"/>
      <c r="M429" s="280"/>
      <c r="N429" s="280"/>
      <c r="O429" s="280"/>
      <c r="P429" s="280"/>
      <c r="Q429" s="280"/>
      <c r="R429" s="280"/>
      <c r="S429" s="280"/>
      <c r="T429" s="280"/>
      <c r="U429" s="280"/>
      <c r="V429" s="280"/>
      <c r="W429" s="280"/>
      <c r="X429" s="280"/>
      <c r="Y429" s="280"/>
      <c r="Z429" s="280"/>
      <c r="AA429" s="280"/>
      <c r="AB429" s="280"/>
      <c r="AC429" s="280"/>
      <c r="AD429" s="280"/>
      <c r="AE429" s="280"/>
      <c r="AF429" s="280"/>
      <c r="AG429" s="280"/>
      <c r="AH429" s="280"/>
      <c r="AI429" s="280"/>
      <c r="AJ429" s="280"/>
      <c r="AK429" s="280"/>
      <c r="AL429" s="280"/>
      <c r="AM429" s="280"/>
      <c r="AN429" s="280"/>
      <c r="AO429" s="280"/>
      <c r="AP429" s="280"/>
      <c r="AQ429" s="280"/>
      <c r="AR429" s="280"/>
      <c r="AS429" s="280"/>
      <c r="AT429" s="280"/>
      <c r="AU429" s="280"/>
      <c r="AV429" s="280"/>
      <c r="AW429" s="280"/>
      <c r="AX429" s="280"/>
      <c r="AY429" s="280"/>
      <c r="AZ429" s="280"/>
    </row>
    <row r="430" spans="1:52" ht="12.75" x14ac:dyDescent="0.2">
      <c r="A430" s="280"/>
      <c r="B430" s="280"/>
      <c r="C430" s="280"/>
      <c r="D430" s="280"/>
      <c r="E430" s="280"/>
      <c r="F430" s="280"/>
      <c r="G430" s="280"/>
      <c r="H430" s="280"/>
      <c r="I430" s="280"/>
      <c r="J430" s="280"/>
      <c r="K430" s="280"/>
      <c r="L430" s="280"/>
      <c r="M430" s="280"/>
      <c r="N430" s="280"/>
      <c r="O430" s="280"/>
      <c r="P430" s="280"/>
      <c r="Q430" s="280"/>
      <c r="R430" s="280"/>
      <c r="S430" s="280"/>
      <c r="T430" s="280"/>
      <c r="U430" s="280"/>
      <c r="V430" s="280"/>
      <c r="W430" s="280"/>
      <c r="X430" s="280"/>
      <c r="Y430" s="280"/>
      <c r="Z430" s="280"/>
      <c r="AA430" s="280"/>
      <c r="AB430" s="280"/>
      <c r="AC430" s="280"/>
      <c r="AD430" s="280"/>
      <c r="AE430" s="280"/>
      <c r="AF430" s="280"/>
      <c r="AG430" s="280"/>
      <c r="AH430" s="280"/>
      <c r="AI430" s="280"/>
      <c r="AJ430" s="280"/>
      <c r="AK430" s="280"/>
      <c r="AL430" s="280"/>
      <c r="AM430" s="280"/>
      <c r="AN430" s="280"/>
      <c r="AO430" s="280"/>
      <c r="AP430" s="280"/>
      <c r="AQ430" s="280"/>
      <c r="AR430" s="280"/>
      <c r="AS430" s="280"/>
      <c r="AT430" s="280"/>
      <c r="AU430" s="280"/>
      <c r="AV430" s="280"/>
      <c r="AW430" s="280"/>
      <c r="AX430" s="280"/>
      <c r="AY430" s="280"/>
      <c r="AZ430" s="280"/>
    </row>
    <row r="431" spans="1:52" ht="12.75" x14ac:dyDescent="0.2">
      <c r="A431" s="280"/>
      <c r="B431" s="280"/>
      <c r="C431" s="280"/>
      <c r="D431" s="280"/>
      <c r="E431" s="280"/>
      <c r="F431" s="280"/>
      <c r="G431" s="280"/>
      <c r="H431" s="280"/>
      <c r="I431" s="280"/>
      <c r="J431" s="280"/>
      <c r="K431" s="280"/>
      <c r="L431" s="280"/>
      <c r="M431" s="280"/>
      <c r="N431" s="280"/>
      <c r="O431" s="280"/>
      <c r="P431" s="280"/>
      <c r="Q431" s="280"/>
      <c r="R431" s="280"/>
      <c r="S431" s="280"/>
      <c r="T431" s="280"/>
      <c r="U431" s="280"/>
      <c r="V431" s="280"/>
      <c r="W431" s="280"/>
      <c r="X431" s="280"/>
      <c r="Y431" s="280"/>
      <c r="Z431" s="280"/>
      <c r="AA431" s="280"/>
      <c r="AB431" s="280"/>
      <c r="AC431" s="280"/>
      <c r="AD431" s="280"/>
      <c r="AE431" s="280"/>
      <c r="AF431" s="280"/>
      <c r="AG431" s="280"/>
      <c r="AH431" s="280"/>
      <c r="AI431" s="280"/>
      <c r="AJ431" s="280"/>
      <c r="AK431" s="280"/>
      <c r="AL431" s="280"/>
      <c r="AM431" s="280"/>
      <c r="AN431" s="280"/>
      <c r="AO431" s="280"/>
      <c r="AP431" s="280"/>
      <c r="AQ431" s="280"/>
      <c r="AR431" s="280"/>
      <c r="AS431" s="280"/>
      <c r="AT431" s="280"/>
      <c r="AU431" s="280"/>
      <c r="AV431" s="280"/>
      <c r="AW431" s="280"/>
      <c r="AX431" s="280"/>
      <c r="AY431" s="280"/>
      <c r="AZ431" s="280"/>
    </row>
    <row r="432" spans="1:52" ht="12.75" x14ac:dyDescent="0.2">
      <c r="A432" s="280"/>
      <c r="B432" s="280"/>
      <c r="C432" s="280"/>
      <c r="D432" s="280"/>
      <c r="E432" s="280"/>
      <c r="F432" s="280"/>
      <c r="G432" s="280"/>
      <c r="H432" s="280"/>
      <c r="I432" s="280"/>
      <c r="J432" s="280"/>
      <c r="K432" s="280"/>
      <c r="L432" s="280"/>
      <c r="M432" s="280"/>
      <c r="N432" s="280"/>
      <c r="O432" s="280"/>
      <c r="P432" s="280"/>
      <c r="Q432" s="280"/>
      <c r="R432" s="280"/>
      <c r="S432" s="280"/>
      <c r="T432" s="280"/>
      <c r="U432" s="280"/>
      <c r="V432" s="280"/>
      <c r="W432" s="280"/>
      <c r="X432" s="280"/>
      <c r="Y432" s="280"/>
      <c r="Z432" s="280"/>
      <c r="AA432" s="280"/>
      <c r="AB432" s="280"/>
      <c r="AC432" s="280"/>
      <c r="AD432" s="280"/>
      <c r="AE432" s="280"/>
      <c r="AF432" s="280"/>
      <c r="AG432" s="280"/>
      <c r="AH432" s="280"/>
      <c r="AI432" s="280"/>
      <c r="AJ432" s="280"/>
      <c r="AK432" s="280"/>
      <c r="AL432" s="280"/>
      <c r="AM432" s="280"/>
      <c r="AN432" s="280"/>
      <c r="AO432" s="280"/>
      <c r="AP432" s="280"/>
      <c r="AQ432" s="280"/>
      <c r="AR432" s="280"/>
      <c r="AS432" s="280"/>
      <c r="AT432" s="280"/>
      <c r="AU432" s="280"/>
      <c r="AV432" s="280"/>
      <c r="AW432" s="280"/>
      <c r="AX432" s="280"/>
      <c r="AY432" s="280"/>
      <c r="AZ432" s="280"/>
    </row>
    <row r="433" spans="1:52" ht="12.75" x14ac:dyDescent="0.2">
      <c r="A433" s="280"/>
      <c r="B433" s="280"/>
      <c r="C433" s="280"/>
      <c r="D433" s="280"/>
      <c r="E433" s="280"/>
      <c r="F433" s="280"/>
      <c r="G433" s="280"/>
      <c r="H433" s="280"/>
      <c r="I433" s="280"/>
      <c r="J433" s="280"/>
      <c r="K433" s="280"/>
      <c r="L433" s="280"/>
      <c r="M433" s="280"/>
      <c r="N433" s="280"/>
      <c r="O433" s="280"/>
      <c r="P433" s="280"/>
      <c r="Q433" s="280"/>
      <c r="R433" s="280"/>
      <c r="S433" s="280"/>
      <c r="T433" s="280"/>
      <c r="U433" s="280"/>
      <c r="V433" s="280"/>
      <c r="W433" s="280"/>
      <c r="X433" s="280"/>
      <c r="Y433" s="280"/>
      <c r="Z433" s="280"/>
      <c r="AA433" s="280"/>
      <c r="AB433" s="280"/>
      <c r="AC433" s="280"/>
      <c r="AD433" s="280"/>
      <c r="AE433" s="280"/>
      <c r="AF433" s="280"/>
      <c r="AG433" s="280"/>
      <c r="AH433" s="280"/>
      <c r="AI433" s="280"/>
      <c r="AJ433" s="280"/>
      <c r="AK433" s="280"/>
      <c r="AL433" s="280"/>
      <c r="AM433" s="280"/>
      <c r="AN433" s="280"/>
      <c r="AO433" s="280"/>
      <c r="AP433" s="280"/>
      <c r="AQ433" s="280"/>
      <c r="AR433" s="280"/>
      <c r="AS433" s="280"/>
      <c r="AT433" s="280"/>
      <c r="AU433" s="280"/>
      <c r="AV433" s="280"/>
      <c r="AW433" s="280"/>
      <c r="AX433" s="280"/>
      <c r="AY433" s="280"/>
      <c r="AZ433" s="280"/>
    </row>
    <row r="434" spans="1:52" ht="12.75" x14ac:dyDescent="0.2">
      <c r="A434" s="280"/>
      <c r="B434" s="280"/>
      <c r="C434" s="280"/>
      <c r="D434" s="280"/>
      <c r="E434" s="280"/>
      <c r="F434" s="280"/>
      <c r="G434" s="280"/>
      <c r="H434" s="280"/>
      <c r="I434" s="280"/>
      <c r="J434" s="280"/>
      <c r="K434" s="280"/>
      <c r="L434" s="280"/>
      <c r="M434" s="280"/>
      <c r="N434" s="280"/>
      <c r="O434" s="280"/>
      <c r="P434" s="280"/>
      <c r="Q434" s="280"/>
      <c r="R434" s="280"/>
      <c r="S434" s="280"/>
      <c r="T434" s="280"/>
      <c r="U434" s="280"/>
      <c r="V434" s="280"/>
      <c r="W434" s="280"/>
      <c r="X434" s="280"/>
      <c r="Y434" s="280"/>
      <c r="Z434" s="280"/>
      <c r="AA434" s="280"/>
      <c r="AB434" s="280"/>
      <c r="AC434" s="280"/>
      <c r="AD434" s="280"/>
      <c r="AE434" s="280"/>
      <c r="AF434" s="280"/>
      <c r="AG434" s="280"/>
      <c r="AH434" s="280"/>
      <c r="AI434" s="280"/>
      <c r="AJ434" s="280"/>
      <c r="AK434" s="280"/>
      <c r="AL434" s="280"/>
      <c r="AM434" s="280"/>
      <c r="AN434" s="280"/>
      <c r="AO434" s="280"/>
      <c r="AP434" s="280"/>
      <c r="AQ434" s="280"/>
      <c r="AR434" s="280"/>
      <c r="AS434" s="280"/>
      <c r="AT434" s="280"/>
      <c r="AU434" s="280"/>
      <c r="AV434" s="280"/>
      <c r="AW434" s="280"/>
      <c r="AX434" s="280"/>
      <c r="AY434" s="280"/>
      <c r="AZ434" s="280"/>
    </row>
    <row r="435" spans="1:52" ht="12.75" x14ac:dyDescent="0.2">
      <c r="A435" s="280"/>
      <c r="B435" s="280"/>
      <c r="C435" s="280"/>
      <c r="D435" s="280"/>
      <c r="E435" s="280"/>
      <c r="F435" s="280"/>
      <c r="G435" s="280"/>
      <c r="H435" s="280"/>
      <c r="I435" s="280"/>
      <c r="J435" s="280"/>
      <c r="K435" s="280"/>
      <c r="L435" s="280"/>
      <c r="M435" s="280"/>
      <c r="N435" s="280"/>
      <c r="O435" s="280"/>
      <c r="P435" s="280"/>
      <c r="Q435" s="280"/>
      <c r="R435" s="280"/>
      <c r="S435" s="280"/>
      <c r="T435" s="280"/>
      <c r="U435" s="280"/>
      <c r="V435" s="280"/>
      <c r="W435" s="280"/>
      <c r="X435" s="280"/>
      <c r="Y435" s="280"/>
      <c r="Z435" s="280"/>
      <c r="AA435" s="280"/>
      <c r="AB435" s="280"/>
      <c r="AC435" s="280"/>
      <c r="AD435" s="280"/>
      <c r="AE435" s="280"/>
      <c r="AF435" s="280"/>
      <c r="AG435" s="280"/>
      <c r="AH435" s="280"/>
      <c r="AI435" s="280"/>
      <c r="AJ435" s="280"/>
      <c r="AK435" s="280"/>
      <c r="AL435" s="280"/>
      <c r="AM435" s="280"/>
      <c r="AN435" s="280"/>
      <c r="AO435" s="280"/>
      <c r="AP435" s="280"/>
      <c r="AQ435" s="280"/>
      <c r="AR435" s="280"/>
      <c r="AS435" s="280"/>
      <c r="AT435" s="280"/>
      <c r="AU435" s="280"/>
      <c r="AV435" s="280"/>
      <c r="AW435" s="280"/>
      <c r="AX435" s="280"/>
      <c r="AY435" s="280"/>
      <c r="AZ435" s="280"/>
    </row>
    <row r="436" spans="1:52" ht="12.75" x14ac:dyDescent="0.2">
      <c r="A436" s="280"/>
      <c r="B436" s="280"/>
      <c r="C436" s="280"/>
      <c r="D436" s="280"/>
      <c r="E436" s="280"/>
      <c r="F436" s="280"/>
      <c r="G436" s="280"/>
      <c r="H436" s="280"/>
      <c r="I436" s="280"/>
      <c r="J436" s="280"/>
      <c r="K436" s="280"/>
      <c r="L436" s="280"/>
      <c r="M436" s="280"/>
      <c r="N436" s="280"/>
      <c r="O436" s="280"/>
      <c r="P436" s="280"/>
      <c r="Q436" s="280"/>
      <c r="R436" s="280"/>
      <c r="S436" s="280"/>
      <c r="T436" s="280"/>
      <c r="U436" s="280"/>
      <c r="V436" s="280"/>
      <c r="W436" s="280"/>
      <c r="X436" s="280"/>
      <c r="Y436" s="280"/>
      <c r="Z436" s="280"/>
      <c r="AA436" s="280"/>
      <c r="AB436" s="280"/>
      <c r="AC436" s="280"/>
      <c r="AD436" s="280"/>
      <c r="AE436" s="280"/>
      <c r="AF436" s="280"/>
      <c r="AG436" s="280"/>
      <c r="AH436" s="280"/>
      <c r="AI436" s="280"/>
      <c r="AJ436" s="280"/>
      <c r="AK436" s="280"/>
      <c r="AL436" s="280"/>
      <c r="AM436" s="280"/>
      <c r="AN436" s="280"/>
      <c r="AO436" s="280"/>
      <c r="AP436" s="280"/>
      <c r="AQ436" s="280"/>
      <c r="AR436" s="280"/>
      <c r="AS436" s="280"/>
      <c r="AT436" s="280"/>
      <c r="AU436" s="280"/>
      <c r="AV436" s="280"/>
      <c r="AW436" s="280"/>
      <c r="AX436" s="280"/>
      <c r="AY436" s="280"/>
      <c r="AZ436" s="280"/>
    </row>
    <row r="437" spans="1:52" ht="12.75" x14ac:dyDescent="0.2">
      <c r="A437" s="280"/>
      <c r="B437" s="280"/>
      <c r="C437" s="280"/>
      <c r="D437" s="280"/>
      <c r="E437" s="280"/>
      <c r="F437" s="280"/>
      <c r="G437" s="280"/>
      <c r="H437" s="280"/>
      <c r="I437" s="280"/>
      <c r="J437" s="280"/>
      <c r="K437" s="280"/>
      <c r="L437" s="280"/>
      <c r="M437" s="280"/>
      <c r="N437" s="280"/>
      <c r="O437" s="280"/>
      <c r="P437" s="280"/>
      <c r="Q437" s="280"/>
      <c r="R437" s="280"/>
      <c r="S437" s="280"/>
      <c r="T437" s="280"/>
      <c r="U437" s="280"/>
      <c r="V437" s="280"/>
      <c r="W437" s="280"/>
      <c r="X437" s="280"/>
      <c r="Y437" s="280"/>
      <c r="Z437" s="280"/>
      <c r="AA437" s="280"/>
      <c r="AB437" s="280"/>
      <c r="AC437" s="280"/>
      <c r="AD437" s="280"/>
      <c r="AE437" s="280"/>
      <c r="AF437" s="280"/>
      <c r="AG437" s="280"/>
      <c r="AH437" s="280"/>
      <c r="AI437" s="280"/>
      <c r="AJ437" s="280"/>
      <c r="AK437" s="280"/>
      <c r="AL437" s="280"/>
      <c r="AM437" s="280"/>
      <c r="AN437" s="280"/>
      <c r="AO437" s="280"/>
      <c r="AP437" s="280"/>
      <c r="AQ437" s="280"/>
      <c r="AR437" s="280"/>
      <c r="AS437" s="280"/>
      <c r="AT437" s="280"/>
      <c r="AU437" s="280"/>
      <c r="AV437" s="280"/>
      <c r="AW437" s="280"/>
      <c r="AX437" s="280"/>
      <c r="AY437" s="280"/>
      <c r="AZ437" s="280"/>
    </row>
    <row r="438" spans="1:52" ht="12.75" x14ac:dyDescent="0.2">
      <c r="A438" s="280"/>
      <c r="B438" s="280"/>
      <c r="C438" s="280"/>
      <c r="D438" s="280"/>
      <c r="E438" s="280"/>
      <c r="F438" s="280"/>
      <c r="G438" s="280"/>
      <c r="H438" s="280"/>
      <c r="I438" s="280"/>
      <c r="J438" s="280"/>
      <c r="K438" s="280"/>
      <c r="L438" s="280"/>
      <c r="M438" s="280"/>
      <c r="N438" s="280"/>
      <c r="O438" s="280"/>
      <c r="P438" s="280"/>
      <c r="Q438" s="280"/>
      <c r="R438" s="280"/>
      <c r="S438" s="280"/>
      <c r="T438" s="280"/>
      <c r="U438" s="280"/>
      <c r="V438" s="280"/>
      <c r="W438" s="280"/>
      <c r="X438" s="280"/>
      <c r="Y438" s="280"/>
      <c r="Z438" s="280"/>
      <c r="AA438" s="280"/>
      <c r="AB438" s="280"/>
      <c r="AC438" s="280"/>
      <c r="AD438" s="280"/>
      <c r="AE438" s="280"/>
      <c r="AF438" s="280"/>
      <c r="AG438" s="280"/>
      <c r="AH438" s="280"/>
      <c r="AI438" s="280"/>
      <c r="AJ438" s="280"/>
      <c r="AK438" s="280"/>
      <c r="AL438" s="280"/>
      <c r="AM438" s="280"/>
      <c r="AN438" s="280"/>
      <c r="AO438" s="280"/>
      <c r="AP438" s="280"/>
      <c r="AQ438" s="280"/>
      <c r="AR438" s="280"/>
      <c r="AS438" s="280"/>
      <c r="AT438" s="280"/>
      <c r="AU438" s="280"/>
      <c r="AV438" s="280"/>
      <c r="AW438" s="280"/>
      <c r="AX438" s="280"/>
      <c r="AY438" s="280"/>
      <c r="AZ438" s="280"/>
    </row>
    <row r="439" spans="1:52" ht="12.75" x14ac:dyDescent="0.2">
      <c r="A439" s="280"/>
      <c r="B439" s="280"/>
      <c r="C439" s="280"/>
      <c r="D439" s="280"/>
      <c r="E439" s="280"/>
      <c r="F439" s="280"/>
      <c r="G439" s="280"/>
      <c r="H439" s="280"/>
      <c r="I439" s="280"/>
      <c r="J439" s="280"/>
      <c r="K439" s="280"/>
      <c r="L439" s="280"/>
      <c r="M439" s="280"/>
      <c r="N439" s="280"/>
      <c r="O439" s="280"/>
      <c r="P439" s="280"/>
      <c r="Q439" s="280"/>
      <c r="R439" s="280"/>
      <c r="S439" s="280"/>
      <c r="T439" s="280"/>
      <c r="U439" s="280"/>
      <c r="V439" s="280"/>
      <c r="W439" s="280"/>
      <c r="X439" s="280"/>
      <c r="Y439" s="280"/>
      <c r="Z439" s="280"/>
      <c r="AA439" s="280"/>
      <c r="AB439" s="280"/>
      <c r="AC439" s="280"/>
      <c r="AD439" s="280"/>
      <c r="AE439" s="280"/>
      <c r="AF439" s="280"/>
      <c r="AG439" s="280"/>
      <c r="AH439" s="280"/>
      <c r="AI439" s="280"/>
      <c r="AJ439" s="280"/>
      <c r="AK439" s="280"/>
      <c r="AL439" s="280"/>
      <c r="AM439" s="280"/>
      <c r="AN439" s="280"/>
      <c r="AO439" s="280"/>
      <c r="AP439" s="280"/>
      <c r="AQ439" s="280"/>
      <c r="AR439" s="280"/>
      <c r="AS439" s="280"/>
      <c r="AT439" s="280"/>
      <c r="AU439" s="280"/>
      <c r="AV439" s="280"/>
      <c r="AW439" s="280"/>
      <c r="AX439" s="280"/>
      <c r="AY439" s="280"/>
      <c r="AZ439" s="280"/>
    </row>
    <row r="440" spans="1:52" ht="12.75" x14ac:dyDescent="0.2">
      <c r="A440" s="280"/>
      <c r="B440" s="280"/>
      <c r="C440" s="280"/>
      <c r="D440" s="280"/>
      <c r="E440" s="280"/>
      <c r="F440" s="280"/>
      <c r="G440" s="280"/>
      <c r="H440" s="280"/>
      <c r="I440" s="280"/>
      <c r="J440" s="280"/>
      <c r="K440" s="280"/>
      <c r="L440" s="280"/>
      <c r="M440" s="280"/>
      <c r="N440" s="280"/>
      <c r="O440" s="280"/>
      <c r="P440" s="280"/>
      <c r="Q440" s="280"/>
      <c r="R440" s="280"/>
      <c r="S440" s="280"/>
      <c r="T440" s="280"/>
      <c r="U440" s="280"/>
      <c r="V440" s="280"/>
      <c r="W440" s="280"/>
      <c r="X440" s="280"/>
      <c r="Y440" s="280"/>
      <c r="Z440" s="280"/>
      <c r="AA440" s="280"/>
      <c r="AB440" s="280"/>
      <c r="AC440" s="280"/>
      <c r="AD440" s="280"/>
      <c r="AE440" s="280"/>
      <c r="AF440" s="280"/>
      <c r="AG440" s="280"/>
      <c r="AH440" s="280"/>
      <c r="AI440" s="280"/>
      <c r="AJ440" s="280"/>
      <c r="AK440" s="280"/>
      <c r="AL440" s="280"/>
      <c r="AM440" s="280"/>
      <c r="AN440" s="280"/>
      <c r="AO440" s="280"/>
      <c r="AP440" s="280"/>
      <c r="AQ440" s="280"/>
      <c r="AR440" s="280"/>
      <c r="AS440" s="280"/>
      <c r="AT440" s="280"/>
      <c r="AU440" s="280"/>
      <c r="AV440" s="280"/>
      <c r="AW440" s="280"/>
      <c r="AX440" s="280"/>
      <c r="AY440" s="280"/>
      <c r="AZ440" s="280"/>
    </row>
    <row r="441" spans="1:52" ht="12.75" x14ac:dyDescent="0.2">
      <c r="A441" s="280"/>
      <c r="B441" s="280"/>
      <c r="C441" s="280"/>
      <c r="D441" s="280"/>
      <c r="E441" s="280"/>
      <c r="F441" s="280"/>
      <c r="G441" s="280"/>
      <c r="H441" s="280"/>
      <c r="I441" s="280"/>
      <c r="J441" s="280"/>
      <c r="K441" s="280"/>
      <c r="L441" s="280"/>
      <c r="M441" s="280"/>
      <c r="N441" s="280"/>
      <c r="O441" s="280"/>
      <c r="P441" s="280"/>
      <c r="Q441" s="280"/>
      <c r="R441" s="280"/>
      <c r="S441" s="280"/>
      <c r="T441" s="280"/>
      <c r="U441" s="280"/>
      <c r="V441" s="280"/>
      <c r="W441" s="280"/>
      <c r="X441" s="280"/>
      <c r="Y441" s="280"/>
      <c r="Z441" s="280"/>
      <c r="AA441" s="280"/>
      <c r="AB441" s="280"/>
      <c r="AC441" s="280"/>
      <c r="AD441" s="280"/>
      <c r="AE441" s="280"/>
      <c r="AF441" s="280"/>
      <c r="AG441" s="280"/>
      <c r="AH441" s="280"/>
      <c r="AI441" s="280"/>
      <c r="AJ441" s="280"/>
      <c r="AK441" s="280"/>
      <c r="AL441" s="280"/>
      <c r="AM441" s="280"/>
      <c r="AN441" s="280"/>
      <c r="AO441" s="280"/>
      <c r="AP441" s="280"/>
      <c r="AQ441" s="280"/>
      <c r="AR441" s="280"/>
      <c r="AS441" s="280"/>
      <c r="AT441" s="280"/>
      <c r="AU441" s="280"/>
      <c r="AV441" s="280"/>
      <c r="AW441" s="280"/>
      <c r="AX441" s="280"/>
      <c r="AY441" s="280"/>
      <c r="AZ441" s="280"/>
    </row>
    <row r="442" spans="1:52" ht="12.75" x14ac:dyDescent="0.2">
      <c r="A442" s="280"/>
      <c r="B442" s="280"/>
      <c r="C442" s="280"/>
      <c r="D442" s="280"/>
      <c r="E442" s="280"/>
      <c r="F442" s="280"/>
      <c r="G442" s="280"/>
      <c r="H442" s="280"/>
      <c r="I442" s="280"/>
      <c r="J442" s="280"/>
      <c r="K442" s="280"/>
      <c r="L442" s="280"/>
      <c r="M442" s="280"/>
      <c r="N442" s="280"/>
      <c r="O442" s="280"/>
      <c r="P442" s="280"/>
      <c r="Q442" s="280"/>
      <c r="R442" s="280"/>
      <c r="S442" s="280"/>
      <c r="T442" s="280"/>
      <c r="U442" s="280"/>
      <c r="V442" s="280"/>
      <c r="W442" s="280"/>
      <c r="X442" s="280"/>
      <c r="Y442" s="280"/>
      <c r="Z442" s="280"/>
      <c r="AA442" s="280"/>
      <c r="AB442" s="280"/>
      <c r="AC442" s="280"/>
      <c r="AD442" s="280"/>
      <c r="AE442" s="280"/>
      <c r="AF442" s="280"/>
      <c r="AG442" s="280"/>
      <c r="AH442" s="280"/>
      <c r="AI442" s="280"/>
      <c r="AJ442" s="280"/>
      <c r="AK442" s="280"/>
      <c r="AL442" s="280"/>
      <c r="AM442" s="280"/>
      <c r="AN442" s="280"/>
      <c r="AO442" s="280"/>
      <c r="AP442" s="280"/>
      <c r="AQ442" s="280"/>
      <c r="AR442" s="280"/>
      <c r="AS442" s="280"/>
      <c r="AT442" s="280"/>
      <c r="AU442" s="280"/>
      <c r="AV442" s="280"/>
      <c r="AW442" s="280"/>
      <c r="AX442" s="280"/>
      <c r="AY442" s="280"/>
      <c r="AZ442" s="280"/>
    </row>
    <row r="443" spans="1:52" ht="12.75" x14ac:dyDescent="0.2">
      <c r="A443" s="280"/>
      <c r="B443" s="280"/>
      <c r="C443" s="280"/>
      <c r="D443" s="280"/>
      <c r="E443" s="280"/>
      <c r="F443" s="280"/>
      <c r="G443" s="280"/>
      <c r="H443" s="280"/>
      <c r="I443" s="280"/>
      <c r="J443" s="280"/>
      <c r="K443" s="280"/>
      <c r="L443" s="280"/>
      <c r="M443" s="280"/>
      <c r="N443" s="280"/>
      <c r="O443" s="280"/>
      <c r="P443" s="280"/>
      <c r="Q443" s="280"/>
      <c r="R443" s="280"/>
      <c r="S443" s="280"/>
      <c r="T443" s="280"/>
      <c r="U443" s="280"/>
      <c r="V443" s="280"/>
      <c r="W443" s="280"/>
      <c r="X443" s="280"/>
      <c r="Y443" s="280"/>
      <c r="Z443" s="280"/>
      <c r="AA443" s="280"/>
      <c r="AB443" s="280"/>
      <c r="AC443" s="280"/>
      <c r="AD443" s="280"/>
      <c r="AE443" s="280"/>
      <c r="AF443" s="280"/>
      <c r="AG443" s="280"/>
      <c r="AH443" s="280"/>
      <c r="AI443" s="280"/>
      <c r="AJ443" s="280"/>
      <c r="AK443" s="280"/>
      <c r="AL443" s="280"/>
      <c r="AM443" s="280"/>
      <c r="AN443" s="280"/>
      <c r="AO443" s="280"/>
      <c r="AP443" s="280"/>
      <c r="AQ443" s="280"/>
      <c r="AR443" s="280"/>
      <c r="AS443" s="280"/>
      <c r="AT443" s="280"/>
      <c r="AU443" s="280"/>
      <c r="AV443" s="280"/>
      <c r="AW443" s="280"/>
      <c r="AX443" s="280"/>
      <c r="AY443" s="280"/>
      <c r="AZ443" s="280"/>
    </row>
    <row r="444" spans="1:52" ht="12.75" x14ac:dyDescent="0.2">
      <c r="A444" s="280"/>
      <c r="B444" s="280"/>
      <c r="C444" s="280"/>
      <c r="D444" s="280"/>
      <c r="E444" s="280"/>
      <c r="F444" s="280"/>
      <c r="G444" s="280"/>
      <c r="H444" s="280"/>
      <c r="I444" s="280"/>
      <c r="J444" s="280"/>
      <c r="K444" s="280"/>
      <c r="L444" s="280"/>
      <c r="M444" s="280"/>
      <c r="N444" s="280"/>
      <c r="O444" s="280"/>
      <c r="P444" s="280"/>
      <c r="Q444" s="280"/>
      <c r="R444" s="280"/>
      <c r="S444" s="280"/>
      <c r="T444" s="280"/>
      <c r="U444" s="280"/>
      <c r="V444" s="280"/>
      <c r="W444" s="280"/>
      <c r="X444" s="280"/>
      <c r="Y444" s="280"/>
      <c r="Z444" s="280"/>
      <c r="AA444" s="280"/>
      <c r="AB444" s="280"/>
      <c r="AC444" s="280"/>
      <c r="AD444" s="280"/>
      <c r="AE444" s="280"/>
      <c r="AF444" s="280"/>
      <c r="AG444" s="280"/>
      <c r="AH444" s="280"/>
      <c r="AI444" s="280"/>
      <c r="AJ444" s="280"/>
      <c r="AK444" s="280"/>
      <c r="AL444" s="280"/>
      <c r="AM444" s="280"/>
      <c r="AN444" s="280"/>
      <c r="AO444" s="280"/>
      <c r="AP444" s="280"/>
      <c r="AQ444" s="280"/>
      <c r="AR444" s="280"/>
      <c r="AS444" s="280"/>
      <c r="AT444" s="280"/>
      <c r="AU444" s="280"/>
      <c r="AV444" s="280"/>
      <c r="AW444" s="280"/>
      <c r="AX444" s="280"/>
      <c r="AY444" s="280"/>
      <c r="AZ444" s="280"/>
    </row>
    <row r="445" spans="1:52" ht="12.75" x14ac:dyDescent="0.2">
      <c r="A445" s="280"/>
      <c r="B445" s="280"/>
      <c r="C445" s="280"/>
      <c r="D445" s="280"/>
      <c r="E445" s="280"/>
      <c r="F445" s="280"/>
      <c r="G445" s="280"/>
      <c r="H445" s="280"/>
      <c r="I445" s="280"/>
      <c r="J445" s="280"/>
      <c r="K445" s="280"/>
      <c r="L445" s="280"/>
      <c r="M445" s="280"/>
      <c r="N445" s="280"/>
      <c r="O445" s="280"/>
      <c r="P445" s="280"/>
      <c r="Q445" s="280"/>
      <c r="R445" s="280"/>
      <c r="S445" s="280"/>
      <c r="T445" s="280"/>
      <c r="U445" s="280"/>
      <c r="V445" s="280"/>
      <c r="W445" s="280"/>
      <c r="X445" s="280"/>
      <c r="Y445" s="280"/>
      <c r="Z445" s="280"/>
      <c r="AA445" s="280"/>
      <c r="AB445" s="280"/>
      <c r="AC445" s="280"/>
      <c r="AD445" s="280"/>
      <c r="AE445" s="280"/>
      <c r="AF445" s="280"/>
      <c r="AG445" s="280"/>
      <c r="AH445" s="280"/>
      <c r="AI445" s="280"/>
      <c r="AJ445" s="280"/>
      <c r="AK445" s="280"/>
      <c r="AL445" s="280"/>
      <c r="AM445" s="280"/>
      <c r="AN445" s="280"/>
      <c r="AO445" s="280"/>
      <c r="AP445" s="280"/>
      <c r="AQ445" s="280"/>
      <c r="AR445" s="280"/>
      <c r="AS445" s="280"/>
      <c r="AT445" s="280"/>
      <c r="AU445" s="280"/>
      <c r="AV445" s="280"/>
      <c r="AW445" s="280"/>
      <c r="AX445" s="280"/>
      <c r="AY445" s="280"/>
      <c r="AZ445" s="280"/>
    </row>
    <row r="446" spans="1:52" ht="12.75" x14ac:dyDescent="0.2">
      <c r="A446" s="280"/>
      <c r="B446" s="280"/>
      <c r="C446" s="280"/>
      <c r="D446" s="280"/>
      <c r="E446" s="280"/>
      <c r="F446" s="280"/>
      <c r="G446" s="280"/>
      <c r="H446" s="280"/>
      <c r="I446" s="280"/>
      <c r="J446" s="280"/>
      <c r="K446" s="280"/>
      <c r="L446" s="280"/>
      <c r="M446" s="280"/>
      <c r="N446" s="280"/>
      <c r="O446" s="280"/>
      <c r="P446" s="280"/>
      <c r="Q446" s="280"/>
      <c r="R446" s="280"/>
      <c r="S446" s="280"/>
      <c r="T446" s="280"/>
      <c r="U446" s="280"/>
      <c r="V446" s="280"/>
      <c r="W446" s="280"/>
      <c r="X446" s="280"/>
      <c r="Y446" s="280"/>
      <c r="Z446" s="280"/>
      <c r="AA446" s="280"/>
      <c r="AB446" s="280"/>
      <c r="AC446" s="280"/>
      <c r="AD446" s="280"/>
      <c r="AE446" s="280"/>
      <c r="AF446" s="280"/>
      <c r="AG446" s="280"/>
      <c r="AH446" s="280"/>
      <c r="AI446" s="280"/>
      <c r="AJ446" s="280"/>
      <c r="AK446" s="280"/>
      <c r="AL446" s="280"/>
      <c r="AM446" s="280"/>
      <c r="AN446" s="280"/>
      <c r="AO446" s="280"/>
      <c r="AP446" s="280"/>
      <c r="AQ446" s="280"/>
      <c r="AR446" s="280"/>
      <c r="AS446" s="280"/>
      <c r="AT446" s="280"/>
      <c r="AU446" s="280"/>
      <c r="AV446" s="280"/>
      <c r="AW446" s="280"/>
      <c r="AX446" s="280"/>
      <c r="AY446" s="280"/>
      <c r="AZ446" s="280"/>
    </row>
    <row r="447" spans="1:52" ht="12.75" x14ac:dyDescent="0.2">
      <c r="A447" s="280"/>
      <c r="B447" s="280"/>
      <c r="C447" s="280"/>
      <c r="D447" s="280"/>
      <c r="E447" s="280"/>
      <c r="F447" s="280"/>
      <c r="G447" s="280"/>
      <c r="H447" s="280"/>
      <c r="I447" s="280"/>
      <c r="J447" s="280"/>
      <c r="K447" s="280"/>
      <c r="L447" s="280"/>
      <c r="M447" s="280"/>
      <c r="N447" s="280"/>
      <c r="O447" s="280"/>
      <c r="P447" s="280"/>
      <c r="Q447" s="280"/>
      <c r="R447" s="280"/>
      <c r="S447" s="280"/>
      <c r="T447" s="280"/>
      <c r="U447" s="280"/>
      <c r="V447" s="280"/>
      <c r="W447" s="280"/>
      <c r="X447" s="280"/>
      <c r="Y447" s="280"/>
      <c r="Z447" s="280"/>
      <c r="AA447" s="280"/>
      <c r="AB447" s="280"/>
      <c r="AC447" s="280"/>
      <c r="AD447" s="280"/>
      <c r="AE447" s="280"/>
      <c r="AF447" s="280"/>
      <c r="AG447" s="280"/>
      <c r="AH447" s="280"/>
      <c r="AI447" s="280"/>
      <c r="AJ447" s="280"/>
      <c r="AK447" s="280"/>
      <c r="AL447" s="280"/>
      <c r="AM447" s="280"/>
      <c r="AN447" s="280"/>
      <c r="AO447" s="280"/>
      <c r="AP447" s="280"/>
      <c r="AQ447" s="280"/>
      <c r="AR447" s="280"/>
      <c r="AS447" s="280"/>
      <c r="AT447" s="280"/>
      <c r="AU447" s="280"/>
      <c r="AV447" s="280"/>
      <c r="AW447" s="280"/>
      <c r="AX447" s="280"/>
      <c r="AY447" s="280"/>
      <c r="AZ447" s="280"/>
    </row>
    <row r="448" spans="1:52" ht="12.75" x14ac:dyDescent="0.2">
      <c r="A448" s="280"/>
      <c r="B448" s="280"/>
      <c r="C448" s="280"/>
      <c r="D448" s="280"/>
      <c r="E448" s="280"/>
      <c r="F448" s="280"/>
      <c r="G448" s="280"/>
      <c r="H448" s="280"/>
      <c r="I448" s="280"/>
      <c r="J448" s="280"/>
      <c r="K448" s="280"/>
      <c r="L448" s="280"/>
      <c r="M448" s="280"/>
      <c r="N448" s="280"/>
      <c r="O448" s="280"/>
      <c r="P448" s="280"/>
      <c r="Q448" s="280"/>
      <c r="R448" s="280"/>
      <c r="S448" s="280"/>
      <c r="T448" s="280"/>
      <c r="U448" s="280"/>
      <c r="V448" s="280"/>
      <c r="W448" s="280"/>
      <c r="X448" s="280"/>
      <c r="Y448" s="280"/>
      <c r="Z448" s="280"/>
      <c r="AA448" s="280"/>
      <c r="AB448" s="280"/>
      <c r="AC448" s="280"/>
      <c r="AD448" s="280"/>
      <c r="AE448" s="280"/>
      <c r="AF448" s="280"/>
      <c r="AG448" s="280"/>
      <c r="AH448" s="280"/>
      <c r="AI448" s="280"/>
      <c r="AJ448" s="280"/>
      <c r="AK448" s="280"/>
      <c r="AL448" s="280"/>
      <c r="AM448" s="280"/>
      <c r="AN448" s="280"/>
      <c r="AO448" s="280"/>
      <c r="AP448" s="280"/>
      <c r="AQ448" s="280"/>
      <c r="AR448" s="280"/>
      <c r="AS448" s="280"/>
      <c r="AT448" s="280"/>
      <c r="AU448" s="280"/>
      <c r="AV448" s="280"/>
      <c r="AW448" s="280"/>
      <c r="AX448" s="280"/>
      <c r="AY448" s="280"/>
      <c r="AZ448" s="280"/>
    </row>
    <row r="449" spans="1:52" ht="12.75" x14ac:dyDescent="0.2">
      <c r="A449" s="280"/>
      <c r="B449" s="280"/>
      <c r="C449" s="280"/>
      <c r="D449" s="280"/>
      <c r="E449" s="280"/>
      <c r="F449" s="280"/>
      <c r="G449" s="280"/>
      <c r="H449" s="280"/>
      <c r="I449" s="280"/>
      <c r="J449" s="280"/>
      <c r="K449" s="280"/>
      <c r="L449" s="280"/>
      <c r="M449" s="280"/>
      <c r="N449" s="280"/>
      <c r="O449" s="280"/>
      <c r="P449" s="280"/>
      <c r="Q449" s="280"/>
      <c r="R449" s="280"/>
      <c r="S449" s="280"/>
      <c r="T449" s="280"/>
      <c r="U449" s="280"/>
      <c r="V449" s="280"/>
      <c r="W449" s="280"/>
      <c r="X449" s="280"/>
      <c r="Y449" s="280"/>
      <c r="Z449" s="280"/>
      <c r="AA449" s="280"/>
      <c r="AB449" s="280"/>
      <c r="AC449" s="280"/>
      <c r="AD449" s="280"/>
      <c r="AE449" s="280"/>
      <c r="AF449" s="280"/>
      <c r="AG449" s="280"/>
      <c r="AH449" s="280"/>
      <c r="AI449" s="280"/>
      <c r="AJ449" s="280"/>
      <c r="AK449" s="280"/>
      <c r="AL449" s="280"/>
      <c r="AM449" s="280"/>
      <c r="AN449" s="280"/>
      <c r="AO449" s="280"/>
      <c r="AP449" s="280"/>
      <c r="AQ449" s="280"/>
      <c r="AR449" s="280"/>
      <c r="AS449" s="280"/>
      <c r="AT449" s="280"/>
      <c r="AU449" s="280"/>
      <c r="AV449" s="280"/>
      <c r="AW449" s="280"/>
      <c r="AX449" s="280"/>
      <c r="AY449" s="280"/>
      <c r="AZ449" s="280"/>
    </row>
    <row r="450" spans="1:52" ht="12.75" x14ac:dyDescent="0.2">
      <c r="A450" s="280"/>
      <c r="B450" s="280"/>
      <c r="C450" s="280"/>
      <c r="D450" s="280"/>
      <c r="E450" s="280"/>
      <c r="F450" s="280"/>
      <c r="G450" s="280"/>
      <c r="H450" s="280"/>
      <c r="I450" s="280"/>
      <c r="J450" s="280"/>
      <c r="K450" s="280"/>
      <c r="L450" s="280"/>
      <c r="M450" s="280"/>
      <c r="N450" s="280"/>
      <c r="O450" s="280"/>
      <c r="P450" s="280"/>
      <c r="Q450" s="280"/>
      <c r="R450" s="280"/>
      <c r="S450" s="280"/>
      <c r="T450" s="280"/>
      <c r="U450" s="280"/>
      <c r="V450" s="280"/>
      <c r="W450" s="280"/>
      <c r="X450" s="280"/>
      <c r="Y450" s="280"/>
      <c r="Z450" s="280"/>
      <c r="AA450" s="280"/>
      <c r="AB450" s="280"/>
      <c r="AC450" s="280"/>
      <c r="AD450" s="280"/>
      <c r="AE450" s="280"/>
      <c r="AF450" s="280"/>
      <c r="AG450" s="280"/>
      <c r="AH450" s="280"/>
      <c r="AI450" s="280"/>
      <c r="AJ450" s="280"/>
      <c r="AK450" s="280"/>
      <c r="AL450" s="280"/>
      <c r="AM450" s="280"/>
      <c r="AN450" s="280"/>
      <c r="AO450" s="280"/>
      <c r="AP450" s="280"/>
      <c r="AQ450" s="280"/>
      <c r="AR450" s="280"/>
      <c r="AS450" s="280"/>
      <c r="AT450" s="280"/>
      <c r="AU450" s="280"/>
      <c r="AV450" s="280"/>
      <c r="AW450" s="280"/>
      <c r="AX450" s="280"/>
      <c r="AY450" s="280"/>
      <c r="AZ450" s="280"/>
    </row>
    <row r="451" spans="1:52" ht="12.75" x14ac:dyDescent="0.2">
      <c r="A451" s="280"/>
      <c r="B451" s="280"/>
      <c r="C451" s="280"/>
      <c r="D451" s="280"/>
      <c r="E451" s="280"/>
      <c r="F451" s="280"/>
      <c r="G451" s="280"/>
      <c r="H451" s="280"/>
      <c r="I451" s="280"/>
      <c r="J451" s="280"/>
      <c r="K451" s="280"/>
      <c r="L451" s="280"/>
      <c r="M451" s="280"/>
      <c r="N451" s="280"/>
      <c r="O451" s="280"/>
      <c r="P451" s="280"/>
      <c r="Q451" s="280"/>
      <c r="R451" s="280"/>
      <c r="S451" s="280"/>
      <c r="T451" s="280"/>
      <c r="U451" s="280"/>
      <c r="V451" s="280"/>
      <c r="W451" s="280"/>
      <c r="X451" s="280"/>
      <c r="Y451" s="280"/>
      <c r="Z451" s="280"/>
      <c r="AA451" s="280"/>
      <c r="AB451" s="280"/>
      <c r="AC451" s="280"/>
      <c r="AD451" s="280"/>
      <c r="AE451" s="280"/>
      <c r="AF451" s="280"/>
      <c r="AG451" s="280"/>
      <c r="AH451" s="280"/>
      <c r="AI451" s="280"/>
      <c r="AJ451" s="280"/>
      <c r="AK451" s="280"/>
      <c r="AL451" s="280"/>
      <c r="AM451" s="280"/>
      <c r="AN451" s="280"/>
      <c r="AO451" s="280"/>
      <c r="AP451" s="280"/>
      <c r="AQ451" s="280"/>
      <c r="AR451" s="280"/>
      <c r="AS451" s="280"/>
      <c r="AT451" s="280"/>
      <c r="AU451" s="280"/>
      <c r="AV451" s="280"/>
      <c r="AW451" s="280"/>
      <c r="AX451" s="280"/>
      <c r="AY451" s="280"/>
      <c r="AZ451" s="280"/>
    </row>
    <row r="452" spans="1:52" ht="12.75" x14ac:dyDescent="0.2">
      <c r="A452" s="280"/>
      <c r="B452" s="280"/>
      <c r="C452" s="280"/>
      <c r="D452" s="280"/>
      <c r="E452" s="280"/>
      <c r="F452" s="280"/>
      <c r="G452" s="280"/>
      <c r="H452" s="280"/>
      <c r="I452" s="280"/>
      <c r="J452" s="280"/>
      <c r="K452" s="280"/>
      <c r="L452" s="280"/>
      <c r="M452" s="280"/>
      <c r="N452" s="280"/>
      <c r="O452" s="280"/>
      <c r="P452" s="280"/>
      <c r="Q452" s="280"/>
      <c r="R452" s="280"/>
      <c r="S452" s="280"/>
      <c r="T452" s="280"/>
      <c r="U452" s="280"/>
      <c r="V452" s="280"/>
      <c r="W452" s="280"/>
      <c r="X452" s="280"/>
      <c r="Y452" s="280"/>
      <c r="Z452" s="280"/>
      <c r="AA452" s="280"/>
      <c r="AB452" s="280"/>
      <c r="AC452" s="280"/>
      <c r="AD452" s="280"/>
      <c r="AE452" s="280"/>
      <c r="AF452" s="280"/>
      <c r="AG452" s="280"/>
      <c r="AH452" s="280"/>
      <c r="AI452" s="280"/>
      <c r="AJ452" s="280"/>
      <c r="AK452" s="280"/>
      <c r="AL452" s="280"/>
      <c r="AM452" s="280"/>
      <c r="AN452" s="280"/>
      <c r="AO452" s="280"/>
      <c r="AP452" s="280"/>
      <c r="AQ452" s="280"/>
      <c r="AR452" s="280"/>
      <c r="AS452" s="280"/>
      <c r="AT452" s="280"/>
      <c r="AU452" s="280"/>
      <c r="AV452" s="280"/>
      <c r="AW452" s="280"/>
      <c r="AX452" s="280"/>
      <c r="AY452" s="280"/>
      <c r="AZ452" s="280"/>
    </row>
    <row r="453" spans="1:52" ht="12.75" x14ac:dyDescent="0.2">
      <c r="A453" s="280"/>
      <c r="B453" s="280"/>
      <c r="C453" s="280"/>
      <c r="D453" s="280"/>
      <c r="E453" s="280"/>
      <c r="F453" s="280"/>
      <c r="G453" s="280"/>
      <c r="H453" s="280"/>
      <c r="I453" s="280"/>
      <c r="J453" s="280"/>
      <c r="K453" s="280"/>
      <c r="L453" s="280"/>
      <c r="M453" s="280"/>
      <c r="N453" s="280"/>
      <c r="O453" s="280"/>
      <c r="P453" s="280"/>
      <c r="Q453" s="280"/>
      <c r="R453" s="280"/>
      <c r="S453" s="280"/>
      <c r="T453" s="280"/>
      <c r="U453" s="280"/>
      <c r="V453" s="280"/>
      <c r="W453" s="280"/>
      <c r="X453" s="280"/>
      <c r="Y453" s="280"/>
      <c r="Z453" s="280"/>
      <c r="AA453" s="280"/>
      <c r="AB453" s="280"/>
      <c r="AC453" s="280"/>
      <c r="AD453" s="280"/>
      <c r="AE453" s="280"/>
      <c r="AF453" s="280"/>
      <c r="AG453" s="280"/>
      <c r="AH453" s="280"/>
      <c r="AI453" s="280"/>
      <c r="AJ453" s="280"/>
      <c r="AK453" s="280"/>
      <c r="AL453" s="280"/>
      <c r="AM453" s="280"/>
      <c r="AN453" s="280"/>
      <c r="AO453" s="280"/>
      <c r="AP453" s="280"/>
      <c r="AQ453" s="280"/>
      <c r="AR453" s="280"/>
      <c r="AS453" s="280"/>
      <c r="AT453" s="280"/>
      <c r="AU453" s="280"/>
      <c r="AV453" s="280"/>
      <c r="AW453" s="280"/>
      <c r="AX453" s="280"/>
      <c r="AY453" s="280"/>
      <c r="AZ453" s="280"/>
    </row>
    <row r="454" spans="1:52" ht="12.75" x14ac:dyDescent="0.2">
      <c r="A454" s="280"/>
      <c r="B454" s="280"/>
      <c r="C454" s="280"/>
      <c r="D454" s="280"/>
      <c r="E454" s="280"/>
      <c r="F454" s="280"/>
      <c r="G454" s="280"/>
      <c r="H454" s="280"/>
      <c r="I454" s="280"/>
      <c r="J454" s="280"/>
      <c r="K454" s="280"/>
      <c r="L454" s="280"/>
      <c r="M454" s="280"/>
      <c r="N454" s="280"/>
      <c r="O454" s="280"/>
      <c r="P454" s="280"/>
      <c r="Q454" s="280"/>
      <c r="R454" s="280"/>
      <c r="S454" s="280"/>
      <c r="T454" s="280"/>
      <c r="U454" s="280"/>
      <c r="V454" s="280"/>
      <c r="W454" s="280"/>
      <c r="X454" s="280"/>
      <c r="Y454" s="280"/>
      <c r="Z454" s="280"/>
      <c r="AA454" s="280"/>
      <c r="AB454" s="280"/>
      <c r="AC454" s="280"/>
      <c r="AD454" s="280"/>
      <c r="AE454" s="280"/>
      <c r="AF454" s="280"/>
      <c r="AG454" s="280"/>
      <c r="AH454" s="280"/>
      <c r="AI454" s="280"/>
      <c r="AJ454" s="280"/>
      <c r="AK454" s="280"/>
      <c r="AL454" s="280"/>
      <c r="AM454" s="280"/>
      <c r="AN454" s="280"/>
      <c r="AO454" s="280"/>
      <c r="AP454" s="280"/>
      <c r="AQ454" s="280"/>
      <c r="AR454" s="280"/>
      <c r="AS454" s="280"/>
      <c r="AT454" s="280"/>
      <c r="AU454" s="280"/>
      <c r="AV454" s="280"/>
      <c r="AW454" s="280"/>
      <c r="AX454" s="280"/>
      <c r="AY454" s="280"/>
      <c r="AZ454" s="280"/>
    </row>
    <row r="455" spans="1:52" ht="12.75" x14ac:dyDescent="0.2">
      <c r="A455" s="280"/>
      <c r="B455" s="280"/>
      <c r="C455" s="280"/>
      <c r="D455" s="280"/>
      <c r="E455" s="280"/>
      <c r="F455" s="280"/>
      <c r="G455" s="280"/>
      <c r="H455" s="280"/>
      <c r="I455" s="280"/>
      <c r="J455" s="280"/>
      <c r="K455" s="280"/>
      <c r="L455" s="280"/>
      <c r="M455" s="280"/>
      <c r="N455" s="280"/>
      <c r="O455" s="280"/>
      <c r="P455" s="280"/>
      <c r="Q455" s="280"/>
      <c r="R455" s="280"/>
      <c r="S455" s="280"/>
      <c r="T455" s="280"/>
      <c r="U455" s="280"/>
      <c r="V455" s="280"/>
      <c r="W455" s="280"/>
      <c r="X455" s="280"/>
      <c r="Y455" s="280"/>
      <c r="Z455" s="280"/>
      <c r="AA455" s="280"/>
      <c r="AB455" s="280"/>
      <c r="AC455" s="280"/>
      <c r="AD455" s="280"/>
      <c r="AE455" s="280"/>
      <c r="AF455" s="280"/>
      <c r="AG455" s="280"/>
      <c r="AH455" s="280"/>
      <c r="AI455" s="280"/>
      <c r="AJ455" s="280"/>
      <c r="AK455" s="280"/>
      <c r="AL455" s="280"/>
      <c r="AM455" s="280"/>
      <c r="AN455" s="280"/>
      <c r="AO455" s="280"/>
      <c r="AP455" s="280"/>
      <c r="AQ455" s="280"/>
      <c r="AR455" s="280"/>
      <c r="AS455" s="280"/>
      <c r="AT455" s="280"/>
      <c r="AU455" s="280"/>
      <c r="AV455" s="280"/>
      <c r="AW455" s="280"/>
      <c r="AX455" s="280"/>
      <c r="AY455" s="280"/>
      <c r="AZ455" s="280"/>
    </row>
    <row r="456" spans="1:52" ht="12.75" x14ac:dyDescent="0.2">
      <c r="A456" s="280"/>
      <c r="B456" s="280"/>
      <c r="C456" s="280"/>
      <c r="D456" s="280"/>
      <c r="E456" s="280"/>
      <c r="F456" s="280"/>
      <c r="G456" s="280"/>
      <c r="H456" s="280"/>
      <c r="I456" s="280"/>
      <c r="J456" s="280"/>
      <c r="K456" s="280"/>
      <c r="L456" s="280"/>
      <c r="M456" s="280"/>
      <c r="N456" s="280"/>
      <c r="O456" s="280"/>
      <c r="P456" s="280"/>
      <c r="Q456" s="280"/>
      <c r="R456" s="280"/>
      <c r="S456" s="280"/>
      <c r="T456" s="280"/>
      <c r="U456" s="280"/>
      <c r="V456" s="280"/>
      <c r="W456" s="280"/>
      <c r="X456" s="280"/>
      <c r="Y456" s="280"/>
      <c r="Z456" s="280"/>
      <c r="AA456" s="280"/>
      <c r="AB456" s="280"/>
      <c r="AC456" s="280"/>
      <c r="AD456" s="280"/>
      <c r="AE456" s="280"/>
      <c r="AF456" s="280"/>
      <c r="AG456" s="280"/>
      <c r="AH456" s="280"/>
      <c r="AI456" s="280"/>
      <c r="AJ456" s="280"/>
      <c r="AK456" s="280"/>
      <c r="AL456" s="280"/>
      <c r="AM456" s="280"/>
      <c r="AN456" s="280"/>
      <c r="AO456" s="280"/>
      <c r="AP456" s="280"/>
      <c r="AQ456" s="280"/>
      <c r="AR456" s="280"/>
      <c r="AS456" s="280"/>
      <c r="AT456" s="280"/>
      <c r="AU456" s="280"/>
      <c r="AV456" s="280"/>
      <c r="AW456" s="280"/>
      <c r="AX456" s="280"/>
      <c r="AY456" s="280"/>
      <c r="AZ456" s="280"/>
    </row>
    <row r="457" spans="1:52" ht="12.75" x14ac:dyDescent="0.2">
      <c r="A457" s="280"/>
      <c r="B457" s="280"/>
      <c r="C457" s="280"/>
      <c r="D457" s="280"/>
      <c r="E457" s="280"/>
      <c r="F457" s="280"/>
      <c r="G457" s="280"/>
      <c r="H457" s="280"/>
      <c r="I457" s="280"/>
      <c r="J457" s="280"/>
      <c r="K457" s="280"/>
      <c r="L457" s="280"/>
      <c r="M457" s="280"/>
      <c r="N457" s="280"/>
      <c r="O457" s="280"/>
      <c r="P457" s="280"/>
      <c r="Q457" s="280"/>
      <c r="R457" s="280"/>
      <c r="S457" s="280"/>
      <c r="T457" s="280"/>
      <c r="U457" s="280"/>
      <c r="V457" s="280"/>
      <c r="W457" s="280"/>
      <c r="X457" s="280"/>
      <c r="Y457" s="280"/>
      <c r="Z457" s="280"/>
      <c r="AA457" s="280"/>
      <c r="AB457" s="280"/>
      <c r="AC457" s="280"/>
      <c r="AD457" s="280"/>
      <c r="AE457" s="280"/>
      <c r="AF457" s="280"/>
      <c r="AG457" s="280"/>
      <c r="AH457" s="280"/>
      <c r="AI457" s="280"/>
      <c r="AJ457" s="280"/>
      <c r="AK457" s="280"/>
      <c r="AL457" s="280"/>
      <c r="AM457" s="280"/>
      <c r="AN457" s="280"/>
      <c r="AO457" s="280"/>
      <c r="AP457" s="280"/>
      <c r="AQ457" s="280"/>
      <c r="AR457" s="280"/>
      <c r="AS457" s="280"/>
      <c r="AT457" s="280"/>
      <c r="AU457" s="280"/>
      <c r="AV457" s="280"/>
      <c r="AW457" s="280"/>
      <c r="AX457" s="280"/>
      <c r="AY457" s="280"/>
      <c r="AZ457" s="280"/>
    </row>
    <row r="458" spans="1:52" ht="12.75" x14ac:dyDescent="0.2">
      <c r="A458" s="280"/>
      <c r="B458" s="280"/>
      <c r="C458" s="280"/>
      <c r="D458" s="280"/>
      <c r="E458" s="280"/>
      <c r="F458" s="280"/>
      <c r="G458" s="280"/>
      <c r="H458" s="280"/>
      <c r="I458" s="280"/>
      <c r="J458" s="280"/>
      <c r="K458" s="280"/>
      <c r="L458" s="280"/>
      <c r="M458" s="280"/>
      <c r="N458" s="280"/>
      <c r="O458" s="280"/>
      <c r="P458" s="280"/>
      <c r="Q458" s="280"/>
      <c r="R458" s="280"/>
      <c r="S458" s="280"/>
      <c r="T458" s="280"/>
      <c r="U458" s="280"/>
      <c r="V458" s="280"/>
      <c r="W458" s="280"/>
      <c r="X458" s="280"/>
      <c r="Y458" s="280"/>
      <c r="Z458" s="280"/>
      <c r="AA458" s="280"/>
      <c r="AB458" s="280"/>
      <c r="AC458" s="280"/>
      <c r="AD458" s="280"/>
      <c r="AE458" s="280"/>
      <c r="AF458" s="280"/>
      <c r="AG458" s="280"/>
      <c r="AH458" s="280"/>
      <c r="AI458" s="280"/>
      <c r="AJ458" s="280"/>
      <c r="AK458" s="280"/>
      <c r="AL458" s="280"/>
      <c r="AM458" s="280"/>
      <c r="AN458" s="280"/>
      <c r="AO458" s="280"/>
      <c r="AP458" s="280"/>
      <c r="AQ458" s="280"/>
      <c r="AR458" s="280"/>
      <c r="AS458" s="280"/>
      <c r="AT458" s="280"/>
      <c r="AU458" s="280"/>
      <c r="AV458" s="280"/>
      <c r="AW458" s="280"/>
      <c r="AX458" s="280"/>
      <c r="AY458" s="280"/>
      <c r="AZ458" s="280"/>
    </row>
    <row r="459" spans="1:52" ht="12.75" x14ac:dyDescent="0.2">
      <c r="A459" s="280"/>
      <c r="B459" s="280"/>
      <c r="C459" s="280"/>
      <c r="D459" s="280"/>
      <c r="E459" s="280"/>
      <c r="F459" s="280"/>
      <c r="G459" s="280"/>
      <c r="H459" s="280"/>
      <c r="I459" s="280"/>
      <c r="J459" s="280"/>
      <c r="K459" s="280"/>
      <c r="L459" s="280"/>
      <c r="M459" s="280"/>
      <c r="N459" s="280"/>
      <c r="O459" s="280"/>
      <c r="P459" s="280"/>
      <c r="Q459" s="280"/>
      <c r="R459" s="280"/>
      <c r="S459" s="280"/>
      <c r="T459" s="280"/>
      <c r="U459" s="280"/>
      <c r="V459" s="280"/>
      <c r="W459" s="280"/>
      <c r="X459" s="280"/>
      <c r="Y459" s="280"/>
      <c r="Z459" s="280"/>
      <c r="AA459" s="280"/>
      <c r="AB459" s="280"/>
      <c r="AC459" s="280"/>
      <c r="AD459" s="280"/>
      <c r="AE459" s="280"/>
      <c r="AF459" s="280"/>
      <c r="AG459" s="280"/>
      <c r="AH459" s="280"/>
      <c r="AI459" s="280"/>
      <c r="AJ459" s="280"/>
      <c r="AK459" s="280"/>
      <c r="AL459" s="280"/>
      <c r="AM459" s="280"/>
      <c r="AN459" s="280"/>
      <c r="AO459" s="280"/>
      <c r="AP459" s="280"/>
      <c r="AQ459" s="280"/>
      <c r="AR459" s="280"/>
      <c r="AS459" s="280"/>
      <c r="AT459" s="280"/>
      <c r="AU459" s="280"/>
      <c r="AV459" s="280"/>
      <c r="AW459" s="280"/>
      <c r="AX459" s="280"/>
      <c r="AY459" s="280"/>
      <c r="AZ459" s="280"/>
    </row>
    <row r="460" spans="1:52" ht="12.75" x14ac:dyDescent="0.2">
      <c r="A460" s="280"/>
      <c r="B460" s="280"/>
      <c r="C460" s="280"/>
      <c r="D460" s="280"/>
      <c r="E460" s="280"/>
      <c r="F460" s="280"/>
      <c r="G460" s="280"/>
      <c r="H460" s="280"/>
      <c r="I460" s="280"/>
      <c r="J460" s="280"/>
      <c r="K460" s="280"/>
      <c r="L460" s="280"/>
      <c r="M460" s="280"/>
      <c r="N460" s="280"/>
      <c r="O460" s="280"/>
      <c r="P460" s="280"/>
      <c r="Q460" s="280"/>
      <c r="R460" s="280"/>
      <c r="S460" s="280"/>
      <c r="T460" s="280"/>
      <c r="U460" s="280"/>
      <c r="V460" s="280"/>
      <c r="W460" s="280"/>
      <c r="X460" s="280"/>
      <c r="Y460" s="280"/>
      <c r="Z460" s="280"/>
      <c r="AA460" s="280"/>
      <c r="AB460" s="280"/>
      <c r="AC460" s="280"/>
      <c r="AD460" s="280"/>
      <c r="AE460" s="280"/>
      <c r="AF460" s="280"/>
      <c r="AG460" s="280"/>
      <c r="AH460" s="280"/>
      <c r="AI460" s="280"/>
      <c r="AJ460" s="280"/>
      <c r="AK460" s="280"/>
      <c r="AL460" s="280"/>
      <c r="AM460" s="280"/>
      <c r="AN460" s="280"/>
      <c r="AO460" s="280"/>
      <c r="AP460" s="280"/>
      <c r="AQ460" s="280"/>
      <c r="AR460" s="280"/>
      <c r="AS460" s="280"/>
      <c r="AT460" s="280"/>
      <c r="AU460" s="280"/>
      <c r="AV460" s="280"/>
      <c r="AW460" s="280"/>
      <c r="AX460" s="280"/>
      <c r="AY460" s="280"/>
      <c r="AZ460" s="280"/>
    </row>
    <row r="461" spans="1:52" ht="12.75" x14ac:dyDescent="0.2">
      <c r="A461" s="280"/>
      <c r="B461" s="280"/>
      <c r="C461" s="280"/>
      <c r="D461" s="280"/>
      <c r="E461" s="280"/>
      <c r="F461" s="280"/>
      <c r="G461" s="280"/>
      <c r="H461" s="280"/>
      <c r="I461" s="280"/>
      <c r="J461" s="280"/>
      <c r="K461" s="280"/>
      <c r="L461" s="280"/>
      <c r="M461" s="280"/>
      <c r="N461" s="280"/>
      <c r="O461" s="280"/>
      <c r="P461" s="280"/>
      <c r="Q461" s="280"/>
      <c r="R461" s="280"/>
      <c r="S461" s="280"/>
      <c r="T461" s="280"/>
      <c r="U461" s="280"/>
      <c r="V461" s="280"/>
      <c r="W461" s="280"/>
      <c r="X461" s="280"/>
      <c r="Y461" s="280"/>
      <c r="Z461" s="280"/>
      <c r="AA461" s="280"/>
      <c r="AB461" s="280"/>
      <c r="AC461" s="280"/>
      <c r="AD461" s="280"/>
      <c r="AE461" s="280"/>
      <c r="AF461" s="280"/>
      <c r="AG461" s="280"/>
      <c r="AH461" s="280"/>
      <c r="AI461" s="280"/>
      <c r="AJ461" s="280"/>
      <c r="AK461" s="280"/>
      <c r="AL461" s="280"/>
      <c r="AM461" s="280"/>
      <c r="AN461" s="280"/>
      <c r="AO461" s="280"/>
      <c r="AP461" s="280"/>
      <c r="AQ461" s="280"/>
      <c r="AR461" s="280"/>
      <c r="AS461" s="280"/>
      <c r="AT461" s="280"/>
      <c r="AU461" s="280"/>
      <c r="AV461" s="280"/>
      <c r="AW461" s="280"/>
      <c r="AX461" s="280"/>
      <c r="AY461" s="280"/>
      <c r="AZ461" s="280"/>
    </row>
    <row r="462" spans="1:52" ht="12.75" x14ac:dyDescent="0.2">
      <c r="A462" s="280"/>
      <c r="B462" s="280"/>
      <c r="C462" s="280"/>
      <c r="D462" s="280"/>
      <c r="E462" s="280"/>
      <c r="F462" s="280"/>
      <c r="G462" s="280"/>
      <c r="H462" s="280"/>
      <c r="I462" s="280"/>
      <c r="J462" s="280"/>
      <c r="K462" s="280"/>
      <c r="L462" s="280"/>
      <c r="M462" s="280"/>
      <c r="N462" s="280"/>
      <c r="O462" s="280"/>
      <c r="P462" s="280"/>
      <c r="Q462" s="280"/>
      <c r="R462" s="280"/>
      <c r="S462" s="280"/>
      <c r="T462" s="280"/>
      <c r="U462" s="280"/>
      <c r="V462" s="280"/>
      <c r="W462" s="280"/>
      <c r="X462" s="280"/>
      <c r="Y462" s="280"/>
      <c r="Z462" s="280"/>
      <c r="AA462" s="280"/>
      <c r="AB462" s="280"/>
      <c r="AC462" s="280"/>
      <c r="AD462" s="280"/>
      <c r="AE462" s="280"/>
      <c r="AF462" s="280"/>
      <c r="AG462" s="280"/>
      <c r="AH462" s="280"/>
      <c r="AI462" s="280"/>
      <c r="AJ462" s="280"/>
      <c r="AK462" s="280"/>
      <c r="AL462" s="280"/>
      <c r="AM462" s="280"/>
      <c r="AN462" s="280"/>
      <c r="AO462" s="280"/>
      <c r="AP462" s="280"/>
      <c r="AQ462" s="280"/>
      <c r="AR462" s="280"/>
      <c r="AS462" s="280"/>
      <c r="AT462" s="280"/>
      <c r="AU462" s="280"/>
      <c r="AV462" s="280"/>
      <c r="AW462" s="280"/>
      <c r="AX462" s="280"/>
      <c r="AY462" s="280"/>
      <c r="AZ462" s="280"/>
    </row>
    <row r="463" spans="1:52" ht="12.75" x14ac:dyDescent="0.2">
      <c r="A463" s="280"/>
      <c r="B463" s="280"/>
      <c r="C463" s="280"/>
      <c r="D463" s="280"/>
      <c r="E463" s="280"/>
      <c r="F463" s="280"/>
      <c r="G463" s="280"/>
      <c r="H463" s="280"/>
      <c r="I463" s="280"/>
      <c r="J463" s="280"/>
      <c r="K463" s="280"/>
      <c r="L463" s="280"/>
      <c r="M463" s="280"/>
      <c r="N463" s="280"/>
      <c r="O463" s="280"/>
      <c r="P463" s="280"/>
      <c r="Q463" s="280"/>
      <c r="R463" s="280"/>
      <c r="S463" s="280"/>
      <c r="T463" s="280"/>
      <c r="U463" s="280"/>
      <c r="V463" s="280"/>
      <c r="W463" s="280"/>
      <c r="X463" s="280"/>
      <c r="Y463" s="280"/>
      <c r="Z463" s="280"/>
      <c r="AA463" s="280"/>
      <c r="AB463" s="280"/>
      <c r="AC463" s="280"/>
      <c r="AD463" s="280"/>
      <c r="AE463" s="280"/>
      <c r="AF463" s="280"/>
      <c r="AG463" s="280"/>
      <c r="AH463" s="280"/>
      <c r="AI463" s="280"/>
      <c r="AJ463" s="280"/>
      <c r="AK463" s="280"/>
      <c r="AL463" s="280"/>
      <c r="AM463" s="280"/>
      <c r="AN463" s="280"/>
      <c r="AO463" s="280"/>
      <c r="AP463" s="280"/>
      <c r="AQ463" s="280"/>
      <c r="AR463" s="280"/>
      <c r="AS463" s="280"/>
      <c r="AT463" s="280"/>
      <c r="AU463" s="280"/>
      <c r="AV463" s="280"/>
      <c r="AW463" s="280"/>
      <c r="AX463" s="280"/>
      <c r="AY463" s="280"/>
      <c r="AZ463" s="280"/>
    </row>
    <row r="464" spans="1:52" ht="12.75" x14ac:dyDescent="0.2">
      <c r="A464" s="280"/>
      <c r="B464" s="280"/>
      <c r="C464" s="280"/>
      <c r="D464" s="280"/>
      <c r="E464" s="280"/>
      <c r="F464" s="280"/>
      <c r="G464" s="280"/>
      <c r="H464" s="280"/>
      <c r="I464" s="280"/>
      <c r="J464" s="280"/>
      <c r="K464" s="280"/>
      <c r="L464" s="280"/>
      <c r="M464" s="280"/>
      <c r="N464" s="280"/>
      <c r="O464" s="280"/>
      <c r="P464" s="280"/>
      <c r="Q464" s="280"/>
      <c r="R464" s="280"/>
      <c r="S464" s="280"/>
      <c r="T464" s="280"/>
      <c r="U464" s="280"/>
      <c r="V464" s="280"/>
      <c r="W464" s="280"/>
      <c r="X464" s="280"/>
      <c r="Y464" s="280"/>
      <c r="Z464" s="280"/>
      <c r="AA464" s="280"/>
      <c r="AB464" s="280"/>
      <c r="AC464" s="280"/>
      <c r="AD464" s="280"/>
      <c r="AE464" s="280"/>
      <c r="AF464" s="280"/>
      <c r="AG464" s="280"/>
      <c r="AH464" s="280"/>
      <c r="AI464" s="280"/>
      <c r="AJ464" s="280"/>
      <c r="AK464" s="280"/>
      <c r="AL464" s="280"/>
      <c r="AM464" s="280"/>
      <c r="AN464" s="280"/>
      <c r="AO464" s="280"/>
      <c r="AP464" s="280"/>
      <c r="AQ464" s="280"/>
      <c r="AR464" s="280"/>
      <c r="AS464" s="280"/>
      <c r="AT464" s="280"/>
      <c r="AU464" s="280"/>
      <c r="AV464" s="280"/>
      <c r="AW464" s="280"/>
      <c r="AX464" s="280"/>
      <c r="AY464" s="280"/>
      <c r="AZ464" s="280"/>
    </row>
    <row r="465" spans="1:52" ht="12.75" x14ac:dyDescent="0.2">
      <c r="A465" s="280"/>
      <c r="B465" s="280"/>
      <c r="C465" s="280"/>
      <c r="D465" s="280"/>
      <c r="E465" s="280"/>
      <c r="F465" s="280"/>
      <c r="G465" s="280"/>
      <c r="H465" s="280"/>
      <c r="I465" s="280"/>
      <c r="J465" s="280"/>
      <c r="K465" s="280"/>
      <c r="L465" s="280"/>
      <c r="M465" s="280"/>
      <c r="N465" s="280"/>
      <c r="O465" s="280"/>
      <c r="P465" s="280"/>
      <c r="Q465" s="280"/>
      <c r="R465" s="280"/>
      <c r="S465" s="280"/>
      <c r="T465" s="280"/>
      <c r="U465" s="280"/>
      <c r="V465" s="280"/>
      <c r="W465" s="280"/>
      <c r="X465" s="280"/>
      <c r="Y465" s="280"/>
      <c r="Z465" s="280"/>
      <c r="AA465" s="280"/>
      <c r="AB465" s="280"/>
      <c r="AC465" s="280"/>
      <c r="AD465" s="280"/>
      <c r="AE465" s="280"/>
      <c r="AF465" s="280"/>
      <c r="AG465" s="280"/>
      <c r="AH465" s="280"/>
      <c r="AI465" s="280"/>
      <c r="AJ465" s="280"/>
      <c r="AK465" s="280"/>
      <c r="AL465" s="280"/>
      <c r="AM465" s="280"/>
      <c r="AN465" s="280"/>
      <c r="AO465" s="280"/>
      <c r="AP465" s="280"/>
      <c r="AQ465" s="280"/>
      <c r="AR465" s="280"/>
      <c r="AS465" s="280"/>
      <c r="AT465" s="280"/>
      <c r="AU465" s="280"/>
      <c r="AV465" s="280"/>
      <c r="AW465" s="280"/>
      <c r="AX465" s="280"/>
      <c r="AY465" s="280"/>
      <c r="AZ465" s="280"/>
    </row>
    <row r="466" spans="1:52" ht="12.75" x14ac:dyDescent="0.2">
      <c r="A466" s="280"/>
      <c r="B466" s="280"/>
      <c r="C466" s="280"/>
      <c r="D466" s="280"/>
      <c r="E466" s="280"/>
      <c r="F466" s="280"/>
      <c r="G466" s="280"/>
      <c r="H466" s="280"/>
      <c r="I466" s="280"/>
      <c r="J466" s="280"/>
      <c r="K466" s="280"/>
      <c r="L466" s="280"/>
      <c r="M466" s="280"/>
      <c r="N466" s="280"/>
      <c r="O466" s="280"/>
      <c r="P466" s="280"/>
      <c r="Q466" s="280"/>
      <c r="R466" s="280"/>
      <c r="S466" s="280"/>
      <c r="T466" s="280"/>
      <c r="U466" s="280"/>
      <c r="V466" s="280"/>
      <c r="W466" s="280"/>
      <c r="X466" s="280"/>
      <c r="Y466" s="280"/>
      <c r="Z466" s="280"/>
      <c r="AA466" s="280"/>
      <c r="AB466" s="280"/>
      <c r="AC466" s="280"/>
      <c r="AD466" s="280"/>
      <c r="AE466" s="280"/>
      <c r="AF466" s="280"/>
      <c r="AG466" s="280"/>
      <c r="AH466" s="280"/>
      <c r="AI466" s="280"/>
      <c r="AJ466" s="280"/>
      <c r="AK466" s="280"/>
      <c r="AL466" s="280"/>
      <c r="AM466" s="280"/>
      <c r="AN466" s="280"/>
      <c r="AO466" s="280"/>
      <c r="AP466" s="280"/>
      <c r="AQ466" s="280"/>
      <c r="AR466" s="280"/>
      <c r="AS466" s="280"/>
      <c r="AT466" s="280"/>
      <c r="AU466" s="280"/>
      <c r="AV466" s="280"/>
      <c r="AW466" s="280"/>
      <c r="AX466" s="280"/>
      <c r="AY466" s="280"/>
      <c r="AZ466" s="280"/>
    </row>
    <row r="467" spans="1:52" ht="12.75" x14ac:dyDescent="0.2">
      <c r="A467" s="280"/>
      <c r="B467" s="280"/>
      <c r="C467" s="280"/>
      <c r="D467" s="280"/>
      <c r="E467" s="280"/>
      <c r="F467" s="280"/>
      <c r="G467" s="280"/>
      <c r="H467" s="280"/>
      <c r="I467" s="280"/>
      <c r="J467" s="280"/>
      <c r="K467" s="280"/>
      <c r="L467" s="280"/>
      <c r="M467" s="280"/>
      <c r="N467" s="280"/>
      <c r="O467" s="280"/>
      <c r="P467" s="280"/>
      <c r="Q467" s="280"/>
      <c r="R467" s="280"/>
      <c r="S467" s="280"/>
      <c r="T467" s="280"/>
      <c r="U467" s="280"/>
      <c r="V467" s="280"/>
      <c r="W467" s="280"/>
      <c r="X467" s="280"/>
      <c r="Y467" s="280"/>
      <c r="Z467" s="280"/>
      <c r="AA467" s="280"/>
      <c r="AB467" s="280"/>
      <c r="AC467" s="280"/>
      <c r="AD467" s="280"/>
      <c r="AE467" s="280"/>
      <c r="AF467" s="280"/>
      <c r="AG467" s="280"/>
      <c r="AH467" s="280"/>
      <c r="AI467" s="280"/>
      <c r="AJ467" s="280"/>
      <c r="AK467" s="280"/>
      <c r="AL467" s="280"/>
      <c r="AM467" s="280"/>
      <c r="AN467" s="280"/>
      <c r="AO467" s="280"/>
      <c r="AP467" s="280"/>
      <c r="AQ467" s="280"/>
      <c r="AR467" s="280"/>
      <c r="AS467" s="280"/>
      <c r="AT467" s="280"/>
      <c r="AU467" s="280"/>
      <c r="AV467" s="280"/>
      <c r="AW467" s="280"/>
      <c r="AX467" s="280"/>
      <c r="AY467" s="280"/>
      <c r="AZ467" s="280"/>
    </row>
    <row r="468" spans="1:52" ht="12.75" x14ac:dyDescent="0.2">
      <c r="A468" s="280"/>
      <c r="B468" s="280"/>
      <c r="C468" s="280"/>
      <c r="D468" s="280"/>
      <c r="E468" s="280"/>
      <c r="F468" s="280"/>
      <c r="G468" s="280"/>
      <c r="H468" s="280"/>
      <c r="I468" s="280"/>
      <c r="J468" s="280"/>
      <c r="K468" s="280"/>
      <c r="L468" s="280"/>
      <c r="M468" s="280"/>
      <c r="N468" s="280"/>
      <c r="O468" s="280"/>
      <c r="P468" s="280"/>
      <c r="Q468" s="280"/>
      <c r="R468" s="280"/>
      <c r="S468" s="280"/>
      <c r="T468" s="280"/>
      <c r="U468" s="280"/>
      <c r="V468" s="280"/>
      <c r="W468" s="280"/>
      <c r="X468" s="280"/>
      <c r="Y468" s="280"/>
      <c r="Z468" s="280"/>
      <c r="AA468" s="280"/>
      <c r="AB468" s="280"/>
      <c r="AC468" s="280"/>
      <c r="AD468" s="280"/>
      <c r="AE468" s="280"/>
      <c r="AF468" s="280"/>
      <c r="AG468" s="280"/>
      <c r="AH468" s="280"/>
      <c r="AI468" s="280"/>
      <c r="AJ468" s="280"/>
      <c r="AK468" s="280"/>
      <c r="AL468" s="280"/>
      <c r="AM468" s="280"/>
      <c r="AN468" s="280"/>
      <c r="AO468" s="280"/>
      <c r="AP468" s="280"/>
      <c r="AQ468" s="280"/>
      <c r="AR468" s="280"/>
      <c r="AS468" s="280"/>
      <c r="AT468" s="280"/>
      <c r="AU468" s="280"/>
      <c r="AV468" s="280"/>
      <c r="AW468" s="280"/>
      <c r="AX468" s="280"/>
      <c r="AY468" s="280"/>
      <c r="AZ468" s="280"/>
    </row>
    <row r="469" spans="1:52" ht="12.75" x14ac:dyDescent="0.2">
      <c r="A469" s="280"/>
      <c r="B469" s="280"/>
      <c r="C469" s="280"/>
      <c r="D469" s="280"/>
      <c r="E469" s="280"/>
      <c r="F469" s="280"/>
      <c r="G469" s="280"/>
      <c r="H469" s="280"/>
      <c r="I469" s="280"/>
      <c r="J469" s="280"/>
      <c r="K469" s="280"/>
      <c r="L469" s="280"/>
      <c r="M469" s="280"/>
      <c r="N469" s="280"/>
      <c r="O469" s="280"/>
      <c r="P469" s="280"/>
      <c r="Q469" s="280"/>
      <c r="R469" s="280"/>
      <c r="S469" s="280"/>
      <c r="T469" s="280"/>
      <c r="U469" s="280"/>
      <c r="V469" s="280"/>
      <c r="W469" s="280"/>
      <c r="X469" s="280"/>
      <c r="Y469" s="280"/>
      <c r="Z469" s="280"/>
      <c r="AA469" s="280"/>
      <c r="AB469" s="280"/>
      <c r="AC469" s="280"/>
      <c r="AD469" s="280"/>
      <c r="AE469" s="280"/>
      <c r="AF469" s="280"/>
      <c r="AG469" s="280"/>
      <c r="AH469" s="280"/>
      <c r="AI469" s="280"/>
      <c r="AJ469" s="280"/>
      <c r="AK469" s="280"/>
      <c r="AL469" s="280"/>
      <c r="AM469" s="280"/>
      <c r="AN469" s="280"/>
      <c r="AO469" s="280"/>
      <c r="AP469" s="280"/>
      <c r="AQ469" s="280"/>
      <c r="AR469" s="280"/>
      <c r="AS469" s="280"/>
      <c r="AT469" s="280"/>
      <c r="AU469" s="280"/>
      <c r="AV469" s="280"/>
      <c r="AW469" s="280"/>
      <c r="AX469" s="280"/>
      <c r="AY469" s="280"/>
      <c r="AZ469" s="280"/>
    </row>
    <row r="470" spans="1:52" ht="12.75" x14ac:dyDescent="0.2">
      <c r="A470" s="280"/>
      <c r="B470" s="280"/>
      <c r="C470" s="280"/>
      <c r="D470" s="280"/>
      <c r="E470" s="280"/>
      <c r="F470" s="280"/>
      <c r="G470" s="280"/>
      <c r="H470" s="280"/>
      <c r="I470" s="280"/>
      <c r="J470" s="280"/>
      <c r="K470" s="280"/>
      <c r="L470" s="280"/>
      <c r="M470" s="280"/>
      <c r="N470" s="280"/>
      <c r="O470" s="280"/>
      <c r="P470" s="280"/>
      <c r="Q470" s="280"/>
      <c r="R470" s="280"/>
      <c r="S470" s="280"/>
      <c r="T470" s="280"/>
      <c r="U470" s="280"/>
      <c r="V470" s="280"/>
      <c r="W470" s="280"/>
      <c r="X470" s="280"/>
      <c r="Y470" s="280"/>
      <c r="Z470" s="280"/>
      <c r="AA470" s="280"/>
      <c r="AB470" s="280"/>
      <c r="AC470" s="280"/>
      <c r="AD470" s="280"/>
      <c r="AE470" s="280"/>
      <c r="AF470" s="280"/>
      <c r="AG470" s="280"/>
      <c r="AH470" s="280"/>
      <c r="AI470" s="280"/>
      <c r="AJ470" s="280"/>
      <c r="AK470" s="280"/>
      <c r="AL470" s="280"/>
      <c r="AM470" s="280"/>
      <c r="AN470" s="280"/>
      <c r="AO470" s="280"/>
      <c r="AP470" s="280"/>
      <c r="AQ470" s="280"/>
      <c r="AR470" s="280"/>
      <c r="AS470" s="280"/>
      <c r="AT470" s="280"/>
      <c r="AU470" s="280"/>
      <c r="AV470" s="280"/>
      <c r="AW470" s="280"/>
      <c r="AX470" s="280"/>
      <c r="AY470" s="280"/>
      <c r="AZ470" s="280"/>
    </row>
    <row r="471" spans="1:52" ht="12.75" x14ac:dyDescent="0.2">
      <c r="A471" s="280"/>
      <c r="B471" s="280"/>
      <c r="C471" s="280"/>
      <c r="D471" s="280"/>
      <c r="E471" s="280"/>
      <c r="F471" s="280"/>
      <c r="G471" s="280"/>
      <c r="H471" s="280"/>
      <c r="I471" s="280"/>
      <c r="J471" s="280"/>
      <c r="K471" s="280"/>
      <c r="L471" s="280"/>
      <c r="M471" s="280"/>
      <c r="N471" s="280"/>
      <c r="O471" s="280"/>
      <c r="P471" s="280"/>
      <c r="Q471" s="280"/>
      <c r="R471" s="280"/>
      <c r="S471" s="280"/>
      <c r="T471" s="280"/>
      <c r="U471" s="280"/>
      <c r="V471" s="280"/>
      <c r="W471" s="280"/>
      <c r="X471" s="280"/>
      <c r="Y471" s="280"/>
      <c r="Z471" s="280"/>
      <c r="AA471" s="280"/>
      <c r="AB471" s="280"/>
      <c r="AC471" s="280"/>
      <c r="AD471" s="280"/>
      <c r="AE471" s="280"/>
      <c r="AF471" s="280"/>
      <c r="AG471" s="280"/>
      <c r="AH471" s="280"/>
      <c r="AI471" s="280"/>
      <c r="AJ471" s="280"/>
      <c r="AK471" s="280"/>
      <c r="AL471" s="280"/>
      <c r="AM471" s="280"/>
      <c r="AN471" s="280"/>
      <c r="AO471" s="280"/>
      <c r="AP471" s="280"/>
      <c r="AQ471" s="280"/>
      <c r="AR471" s="280"/>
      <c r="AS471" s="280"/>
      <c r="AT471" s="280"/>
      <c r="AU471" s="280"/>
      <c r="AV471" s="280"/>
      <c r="AW471" s="280"/>
      <c r="AX471" s="280"/>
      <c r="AY471" s="280"/>
      <c r="AZ471" s="280"/>
    </row>
    <row r="472" spans="1:52" ht="12.75" x14ac:dyDescent="0.2">
      <c r="A472" s="280"/>
      <c r="B472" s="280"/>
      <c r="C472" s="280"/>
      <c r="D472" s="280"/>
      <c r="E472" s="280"/>
      <c r="F472" s="280"/>
      <c r="G472" s="280"/>
      <c r="H472" s="280"/>
      <c r="I472" s="280"/>
      <c r="J472" s="280"/>
      <c r="K472" s="280"/>
      <c r="L472" s="280"/>
      <c r="M472" s="280"/>
      <c r="N472" s="280"/>
      <c r="O472" s="280"/>
      <c r="P472" s="280"/>
      <c r="Q472" s="280"/>
      <c r="R472" s="280"/>
      <c r="S472" s="280"/>
      <c r="T472" s="280"/>
      <c r="U472" s="280"/>
      <c r="V472" s="280"/>
      <c r="W472" s="280"/>
      <c r="X472" s="280"/>
      <c r="Y472" s="280"/>
      <c r="Z472" s="280"/>
      <c r="AA472" s="280"/>
      <c r="AB472" s="280"/>
      <c r="AC472" s="280"/>
      <c r="AD472" s="280"/>
      <c r="AE472" s="280"/>
      <c r="AF472" s="280"/>
      <c r="AG472" s="280"/>
      <c r="AH472" s="280"/>
      <c r="AI472" s="280"/>
      <c r="AJ472" s="280"/>
      <c r="AK472" s="280"/>
      <c r="AL472" s="280"/>
      <c r="AM472" s="280"/>
      <c r="AN472" s="280"/>
      <c r="AO472" s="280"/>
      <c r="AP472" s="280"/>
      <c r="AQ472" s="280"/>
      <c r="AR472" s="280"/>
      <c r="AS472" s="280"/>
      <c r="AT472" s="280"/>
      <c r="AU472" s="280"/>
      <c r="AV472" s="280"/>
      <c r="AW472" s="280"/>
      <c r="AX472" s="280"/>
      <c r="AY472" s="280"/>
      <c r="AZ472" s="280"/>
    </row>
    <row r="473" spans="1:52" ht="12.75" x14ac:dyDescent="0.2">
      <c r="A473" s="280"/>
      <c r="B473" s="280"/>
      <c r="C473" s="280"/>
      <c r="D473" s="280"/>
      <c r="E473" s="280"/>
      <c r="F473" s="280"/>
      <c r="G473" s="280"/>
      <c r="H473" s="280"/>
      <c r="I473" s="280"/>
      <c r="J473" s="280"/>
      <c r="K473" s="280"/>
      <c r="L473" s="280"/>
      <c r="M473" s="280"/>
      <c r="N473" s="280"/>
      <c r="O473" s="280"/>
      <c r="P473" s="280"/>
      <c r="Q473" s="280"/>
      <c r="R473" s="280"/>
      <c r="S473" s="280"/>
      <c r="T473" s="280"/>
      <c r="U473" s="280"/>
      <c r="V473" s="280"/>
      <c r="W473" s="280"/>
      <c r="X473" s="280"/>
      <c r="Y473" s="280"/>
      <c r="Z473" s="280"/>
      <c r="AA473" s="280"/>
      <c r="AB473" s="280"/>
      <c r="AC473" s="280"/>
      <c r="AD473" s="280"/>
      <c r="AE473" s="280"/>
      <c r="AF473" s="280"/>
      <c r="AG473" s="280"/>
      <c r="AH473" s="280"/>
      <c r="AI473" s="280"/>
      <c r="AJ473" s="280"/>
      <c r="AK473" s="280"/>
      <c r="AL473" s="280"/>
      <c r="AM473" s="280"/>
      <c r="AN473" s="280"/>
      <c r="AO473" s="280"/>
      <c r="AP473" s="280"/>
      <c r="AQ473" s="280"/>
      <c r="AR473" s="280"/>
      <c r="AS473" s="280"/>
      <c r="AT473" s="280"/>
      <c r="AU473" s="280"/>
      <c r="AV473" s="280"/>
      <c r="AW473" s="280"/>
      <c r="AX473" s="280"/>
      <c r="AY473" s="280"/>
      <c r="AZ473" s="280"/>
    </row>
    <row r="474" spans="1:52" ht="12.75" x14ac:dyDescent="0.2">
      <c r="A474" s="280"/>
      <c r="B474" s="280"/>
      <c r="C474" s="280"/>
      <c r="D474" s="280"/>
      <c r="E474" s="280"/>
      <c r="F474" s="280"/>
      <c r="G474" s="280"/>
      <c r="H474" s="280"/>
      <c r="I474" s="280"/>
      <c r="J474" s="280"/>
      <c r="K474" s="280"/>
      <c r="L474" s="280"/>
      <c r="M474" s="280"/>
      <c r="N474" s="280"/>
      <c r="O474" s="280"/>
      <c r="P474" s="280"/>
      <c r="Q474" s="280"/>
      <c r="R474" s="280"/>
      <c r="S474" s="280"/>
      <c r="T474" s="280"/>
      <c r="U474" s="280"/>
      <c r="V474" s="280"/>
      <c r="W474" s="280"/>
      <c r="X474" s="280"/>
      <c r="Y474" s="280"/>
      <c r="Z474" s="280"/>
      <c r="AA474" s="280"/>
      <c r="AB474" s="280"/>
      <c r="AC474" s="280"/>
      <c r="AD474" s="280"/>
      <c r="AE474" s="280"/>
      <c r="AF474" s="280"/>
      <c r="AG474" s="280"/>
      <c r="AH474" s="280"/>
      <c r="AI474" s="280"/>
      <c r="AJ474" s="280"/>
      <c r="AK474" s="280"/>
      <c r="AL474" s="280"/>
      <c r="AM474" s="280"/>
      <c r="AN474" s="280"/>
      <c r="AO474" s="280"/>
      <c r="AP474" s="280"/>
      <c r="AQ474" s="280"/>
      <c r="AR474" s="280"/>
      <c r="AS474" s="280"/>
      <c r="AT474" s="280"/>
      <c r="AU474" s="280"/>
      <c r="AV474" s="280"/>
      <c r="AW474" s="280"/>
      <c r="AX474" s="280"/>
      <c r="AY474" s="280"/>
      <c r="AZ474" s="280"/>
    </row>
    <row r="475" spans="1:52" ht="12.75" x14ac:dyDescent="0.2">
      <c r="A475" s="280"/>
      <c r="B475" s="280"/>
      <c r="C475" s="280"/>
      <c r="D475" s="280"/>
      <c r="E475" s="280"/>
      <c r="F475" s="280"/>
      <c r="G475" s="280"/>
      <c r="H475" s="280"/>
      <c r="I475" s="280"/>
      <c r="J475" s="280"/>
      <c r="K475" s="280"/>
      <c r="L475" s="280"/>
      <c r="M475" s="280"/>
      <c r="N475" s="280"/>
      <c r="O475" s="280"/>
      <c r="P475" s="280"/>
      <c r="Q475" s="280"/>
      <c r="R475" s="280"/>
      <c r="S475" s="280"/>
      <c r="T475" s="280"/>
      <c r="U475" s="280"/>
      <c r="V475" s="280"/>
      <c r="W475" s="280"/>
      <c r="X475" s="280"/>
      <c r="Y475" s="280"/>
      <c r="Z475" s="280"/>
      <c r="AA475" s="280"/>
      <c r="AB475" s="280"/>
      <c r="AC475" s="280"/>
      <c r="AD475" s="280"/>
      <c r="AE475" s="280"/>
      <c r="AF475" s="280"/>
      <c r="AG475" s="280"/>
      <c r="AH475" s="280"/>
      <c r="AI475" s="280"/>
      <c r="AJ475" s="280"/>
      <c r="AK475" s="280"/>
      <c r="AL475" s="280"/>
      <c r="AM475" s="280"/>
      <c r="AN475" s="280"/>
      <c r="AO475" s="280"/>
      <c r="AP475" s="280"/>
      <c r="AQ475" s="280"/>
      <c r="AR475" s="280"/>
      <c r="AS475" s="280"/>
      <c r="AT475" s="280"/>
      <c r="AU475" s="280"/>
      <c r="AV475" s="280"/>
      <c r="AW475" s="280"/>
      <c r="AX475" s="280"/>
      <c r="AY475" s="280"/>
      <c r="AZ475" s="280"/>
    </row>
    <row r="476" spans="1:52" ht="12.75" x14ac:dyDescent="0.2">
      <c r="A476" s="280"/>
      <c r="B476" s="280"/>
      <c r="C476" s="280"/>
      <c r="D476" s="280"/>
      <c r="E476" s="280"/>
      <c r="F476" s="280"/>
      <c r="G476" s="280"/>
      <c r="H476" s="280"/>
      <c r="I476" s="280"/>
      <c r="J476" s="280"/>
      <c r="K476" s="280"/>
      <c r="L476" s="280"/>
      <c r="M476" s="280"/>
      <c r="N476" s="280"/>
      <c r="O476" s="280"/>
      <c r="P476" s="280"/>
      <c r="Q476" s="280"/>
      <c r="R476" s="280"/>
      <c r="S476" s="280"/>
      <c r="T476" s="280"/>
      <c r="U476" s="280"/>
      <c r="V476" s="280"/>
      <c r="W476" s="280"/>
      <c r="X476" s="280"/>
      <c r="Y476" s="280"/>
      <c r="Z476" s="280"/>
      <c r="AA476" s="280"/>
      <c r="AB476" s="280"/>
      <c r="AC476" s="280"/>
      <c r="AD476" s="280"/>
      <c r="AE476" s="280"/>
      <c r="AF476" s="280"/>
      <c r="AG476" s="280"/>
      <c r="AH476" s="280"/>
      <c r="AI476" s="280"/>
      <c r="AJ476" s="280"/>
      <c r="AK476" s="280"/>
      <c r="AL476" s="280"/>
      <c r="AM476" s="280"/>
      <c r="AN476" s="280"/>
      <c r="AO476" s="280"/>
      <c r="AP476" s="280"/>
      <c r="AQ476" s="280"/>
      <c r="AR476" s="280"/>
      <c r="AS476" s="280"/>
      <c r="AT476" s="280"/>
      <c r="AU476" s="280"/>
      <c r="AV476" s="280"/>
      <c r="AW476" s="280"/>
      <c r="AX476" s="280"/>
      <c r="AY476" s="280"/>
      <c r="AZ476" s="280"/>
    </row>
    <row r="477" spans="1:52" ht="12.75" x14ac:dyDescent="0.2">
      <c r="A477" s="280"/>
      <c r="B477" s="280"/>
      <c r="C477" s="280"/>
      <c r="D477" s="280"/>
      <c r="E477" s="280"/>
      <c r="F477" s="280"/>
      <c r="G477" s="280"/>
      <c r="H477" s="280"/>
      <c r="I477" s="280"/>
      <c r="J477" s="280"/>
      <c r="K477" s="280"/>
      <c r="L477" s="280"/>
      <c r="M477" s="280"/>
      <c r="N477" s="280"/>
      <c r="O477" s="280"/>
      <c r="P477" s="280"/>
      <c r="Q477" s="280"/>
      <c r="R477" s="280"/>
      <c r="S477" s="280"/>
      <c r="T477" s="280"/>
      <c r="U477" s="280"/>
      <c r="V477" s="280"/>
      <c r="W477" s="280"/>
      <c r="X477" s="280"/>
      <c r="Y477" s="280"/>
      <c r="Z477" s="280"/>
      <c r="AA477" s="280"/>
      <c r="AB477" s="280"/>
      <c r="AC477" s="280"/>
      <c r="AD477" s="280"/>
      <c r="AE477" s="280"/>
      <c r="AF477" s="280"/>
      <c r="AG477" s="280"/>
      <c r="AH477" s="280"/>
      <c r="AI477" s="280"/>
      <c r="AJ477" s="280"/>
      <c r="AK477" s="280"/>
      <c r="AL477" s="280"/>
      <c r="AM477" s="280"/>
      <c r="AN477" s="280"/>
      <c r="AO477" s="280"/>
      <c r="AP477" s="280"/>
      <c r="AQ477" s="280"/>
      <c r="AR477" s="280"/>
      <c r="AS477" s="280"/>
      <c r="AT477" s="280"/>
      <c r="AU477" s="280"/>
      <c r="AV477" s="280"/>
      <c r="AW477" s="280"/>
      <c r="AX477" s="280"/>
      <c r="AY477" s="280"/>
      <c r="AZ477" s="280"/>
    </row>
    <row r="478" spans="1:52" ht="12.75" x14ac:dyDescent="0.2">
      <c r="A478" s="280"/>
      <c r="B478" s="280"/>
      <c r="C478" s="280"/>
      <c r="D478" s="280"/>
      <c r="E478" s="280"/>
      <c r="F478" s="280"/>
      <c r="G478" s="280"/>
      <c r="H478" s="280"/>
      <c r="I478" s="280"/>
      <c r="J478" s="280"/>
      <c r="K478" s="280"/>
      <c r="L478" s="280"/>
      <c r="M478" s="280"/>
      <c r="N478" s="280"/>
      <c r="O478" s="280"/>
      <c r="P478" s="280"/>
      <c r="Q478" s="280"/>
      <c r="R478" s="280"/>
      <c r="S478" s="280"/>
      <c r="T478" s="280"/>
      <c r="U478" s="280"/>
      <c r="V478" s="280"/>
      <c r="W478" s="280"/>
      <c r="X478" s="280"/>
      <c r="Y478" s="280"/>
      <c r="Z478" s="280"/>
      <c r="AA478" s="280"/>
      <c r="AB478" s="280"/>
      <c r="AC478" s="280"/>
      <c r="AD478" s="280"/>
      <c r="AE478" s="280"/>
      <c r="AF478" s="280"/>
      <c r="AG478" s="280"/>
      <c r="AH478" s="280"/>
      <c r="AI478" s="280"/>
      <c r="AJ478" s="280"/>
      <c r="AK478" s="280"/>
      <c r="AL478" s="280"/>
      <c r="AM478" s="280"/>
      <c r="AN478" s="280"/>
      <c r="AO478" s="280"/>
      <c r="AP478" s="280"/>
      <c r="AQ478" s="280"/>
      <c r="AR478" s="280"/>
      <c r="AS478" s="280"/>
      <c r="AT478" s="280"/>
      <c r="AU478" s="280"/>
      <c r="AV478" s="280"/>
      <c r="AW478" s="280"/>
      <c r="AX478" s="280"/>
      <c r="AY478" s="280"/>
      <c r="AZ478" s="280"/>
    </row>
    <row r="479" spans="1:52" ht="12.75" x14ac:dyDescent="0.2">
      <c r="A479" s="280"/>
      <c r="B479" s="280"/>
      <c r="C479" s="280"/>
      <c r="D479" s="280"/>
      <c r="E479" s="280"/>
      <c r="F479" s="280"/>
      <c r="G479" s="280"/>
      <c r="H479" s="280"/>
      <c r="I479" s="280"/>
      <c r="J479" s="280"/>
      <c r="K479" s="280"/>
      <c r="L479" s="280"/>
      <c r="M479" s="280"/>
      <c r="N479" s="280"/>
      <c r="O479" s="280"/>
      <c r="P479" s="280"/>
      <c r="Q479" s="280"/>
      <c r="R479" s="280"/>
      <c r="S479" s="280"/>
      <c r="T479" s="280"/>
      <c r="U479" s="280"/>
      <c r="V479" s="280"/>
      <c r="W479" s="280"/>
      <c r="X479" s="280"/>
      <c r="Y479" s="280"/>
      <c r="Z479" s="280"/>
      <c r="AA479" s="280"/>
      <c r="AB479" s="280"/>
      <c r="AC479" s="280"/>
      <c r="AD479" s="280"/>
      <c r="AE479" s="280"/>
      <c r="AF479" s="280"/>
      <c r="AG479" s="280"/>
      <c r="AH479" s="280"/>
      <c r="AI479" s="280"/>
      <c r="AJ479" s="280"/>
      <c r="AK479" s="280"/>
      <c r="AL479" s="280"/>
      <c r="AM479" s="280"/>
      <c r="AN479" s="280"/>
      <c r="AO479" s="280"/>
      <c r="AP479" s="280"/>
      <c r="AQ479" s="280"/>
      <c r="AR479" s="280"/>
      <c r="AS479" s="280"/>
      <c r="AT479" s="280"/>
      <c r="AU479" s="280"/>
      <c r="AV479" s="280"/>
      <c r="AW479" s="280"/>
      <c r="AX479" s="280"/>
      <c r="AY479" s="280"/>
      <c r="AZ479" s="280"/>
    </row>
    <row r="480" spans="1:52" ht="12.75" x14ac:dyDescent="0.2">
      <c r="A480" s="280"/>
      <c r="B480" s="280"/>
      <c r="C480" s="280"/>
      <c r="D480" s="280"/>
      <c r="E480" s="280"/>
      <c r="F480" s="280"/>
      <c r="G480" s="280"/>
      <c r="H480" s="280"/>
      <c r="I480" s="280"/>
      <c r="J480" s="280"/>
      <c r="K480" s="280"/>
      <c r="L480" s="280"/>
      <c r="M480" s="280"/>
      <c r="N480" s="280"/>
      <c r="O480" s="280"/>
      <c r="P480" s="280"/>
      <c r="Q480" s="280"/>
      <c r="R480" s="280"/>
      <c r="S480" s="280"/>
      <c r="T480" s="280"/>
      <c r="U480" s="280"/>
      <c r="V480" s="280"/>
      <c r="W480" s="280"/>
      <c r="X480" s="280"/>
      <c r="Y480" s="280"/>
      <c r="Z480" s="280"/>
      <c r="AA480" s="280"/>
      <c r="AB480" s="280"/>
      <c r="AC480" s="280"/>
      <c r="AD480" s="280"/>
      <c r="AE480" s="280"/>
      <c r="AF480" s="280"/>
      <c r="AG480" s="280"/>
      <c r="AH480" s="280"/>
      <c r="AI480" s="280"/>
      <c r="AJ480" s="280"/>
      <c r="AK480" s="280"/>
      <c r="AL480" s="280"/>
      <c r="AM480" s="280"/>
      <c r="AN480" s="280"/>
      <c r="AO480" s="280"/>
      <c r="AP480" s="280"/>
      <c r="AQ480" s="280"/>
      <c r="AR480" s="280"/>
      <c r="AS480" s="280"/>
      <c r="AT480" s="280"/>
      <c r="AU480" s="280"/>
      <c r="AV480" s="280"/>
      <c r="AW480" s="280"/>
      <c r="AX480" s="280"/>
      <c r="AY480" s="280"/>
      <c r="AZ480" s="280"/>
    </row>
    <row r="481" spans="1:52" ht="12.75" x14ac:dyDescent="0.2">
      <c r="A481" s="280"/>
      <c r="B481" s="280"/>
      <c r="C481" s="280"/>
      <c r="D481" s="280"/>
      <c r="E481" s="280"/>
      <c r="F481" s="280"/>
      <c r="G481" s="280"/>
      <c r="H481" s="280"/>
      <c r="I481" s="280"/>
      <c r="J481" s="280"/>
      <c r="K481" s="280"/>
      <c r="L481" s="280"/>
      <c r="M481" s="280"/>
      <c r="N481" s="280"/>
      <c r="O481" s="280"/>
      <c r="P481" s="280"/>
      <c r="Q481" s="280"/>
      <c r="R481" s="280"/>
      <c r="S481" s="280"/>
      <c r="T481" s="280"/>
      <c r="U481" s="280"/>
      <c r="V481" s="280"/>
      <c r="W481" s="280"/>
      <c r="X481" s="280"/>
      <c r="Y481" s="280"/>
      <c r="Z481" s="280"/>
      <c r="AA481" s="280"/>
      <c r="AB481" s="280"/>
      <c r="AC481" s="280"/>
      <c r="AD481" s="280"/>
      <c r="AE481" s="280"/>
      <c r="AF481" s="280"/>
      <c r="AG481" s="280"/>
      <c r="AH481" s="280"/>
      <c r="AI481" s="280"/>
      <c r="AJ481" s="280"/>
      <c r="AK481" s="280"/>
      <c r="AL481" s="280"/>
      <c r="AM481" s="280"/>
      <c r="AN481" s="280"/>
      <c r="AO481" s="280"/>
      <c r="AP481" s="280"/>
      <c r="AQ481" s="280"/>
      <c r="AR481" s="280"/>
      <c r="AS481" s="280"/>
      <c r="AT481" s="280"/>
      <c r="AU481" s="280"/>
      <c r="AV481" s="280"/>
      <c r="AW481" s="280"/>
      <c r="AX481" s="280"/>
      <c r="AY481" s="280"/>
      <c r="AZ481" s="280"/>
    </row>
    <row r="482" spans="1:52" ht="12.75" x14ac:dyDescent="0.2">
      <c r="A482" s="280"/>
      <c r="B482" s="280"/>
      <c r="C482" s="280"/>
      <c r="D482" s="280"/>
      <c r="E482" s="280"/>
      <c r="F482" s="280"/>
      <c r="G482" s="280"/>
      <c r="H482" s="280"/>
      <c r="I482" s="280"/>
      <c r="J482" s="280"/>
      <c r="K482" s="280"/>
      <c r="L482" s="280"/>
      <c r="M482" s="280"/>
      <c r="N482" s="280"/>
      <c r="O482" s="280"/>
      <c r="P482" s="280"/>
      <c r="Q482" s="280"/>
      <c r="R482" s="280"/>
      <c r="S482" s="280"/>
      <c r="T482" s="280"/>
      <c r="U482" s="280"/>
      <c r="V482" s="280"/>
      <c r="W482" s="280"/>
      <c r="X482" s="280"/>
      <c r="Y482" s="280"/>
      <c r="Z482" s="280"/>
      <c r="AA482" s="280"/>
      <c r="AB482" s="280"/>
      <c r="AC482" s="280"/>
      <c r="AD482" s="280"/>
      <c r="AE482" s="280"/>
      <c r="AF482" s="280"/>
      <c r="AG482" s="280"/>
      <c r="AH482" s="280"/>
      <c r="AI482" s="280"/>
      <c r="AJ482" s="280"/>
      <c r="AK482" s="280"/>
      <c r="AL482" s="280"/>
      <c r="AM482" s="280"/>
      <c r="AN482" s="280"/>
      <c r="AO482" s="280"/>
      <c r="AP482" s="280"/>
      <c r="AQ482" s="280"/>
      <c r="AR482" s="280"/>
      <c r="AS482" s="280"/>
      <c r="AT482" s="280"/>
      <c r="AU482" s="280"/>
      <c r="AV482" s="280"/>
      <c r="AW482" s="280"/>
      <c r="AX482" s="280"/>
      <c r="AY482" s="280"/>
      <c r="AZ482" s="280"/>
    </row>
    <row r="483" spans="1:52" ht="12.75" x14ac:dyDescent="0.2">
      <c r="A483" s="280"/>
      <c r="B483" s="280"/>
      <c r="C483" s="280"/>
      <c r="D483" s="280"/>
      <c r="E483" s="280"/>
      <c r="F483" s="280"/>
      <c r="G483" s="280"/>
      <c r="H483" s="280"/>
      <c r="I483" s="280"/>
      <c r="J483" s="280"/>
      <c r="K483" s="280"/>
      <c r="L483" s="280"/>
      <c r="M483" s="280"/>
      <c r="N483" s="280"/>
      <c r="O483" s="280"/>
      <c r="P483" s="280"/>
      <c r="Q483" s="280"/>
      <c r="R483" s="280"/>
      <c r="S483" s="280"/>
      <c r="T483" s="280"/>
      <c r="U483" s="280"/>
      <c r="V483" s="280"/>
      <c r="W483" s="280"/>
      <c r="X483" s="280"/>
      <c r="Y483" s="280"/>
      <c r="Z483" s="280"/>
      <c r="AA483" s="280"/>
      <c r="AB483" s="280"/>
      <c r="AC483" s="280"/>
      <c r="AD483" s="280"/>
      <c r="AE483" s="280"/>
      <c r="AF483" s="280"/>
      <c r="AG483" s="280"/>
      <c r="AH483" s="280"/>
      <c r="AI483" s="280"/>
      <c r="AJ483" s="280"/>
      <c r="AK483" s="280"/>
      <c r="AL483" s="280"/>
      <c r="AM483" s="280"/>
      <c r="AN483" s="280"/>
      <c r="AO483" s="280"/>
      <c r="AP483" s="280"/>
      <c r="AQ483" s="280"/>
      <c r="AR483" s="280"/>
      <c r="AS483" s="280"/>
      <c r="AT483" s="280"/>
      <c r="AU483" s="280"/>
      <c r="AV483" s="280"/>
      <c r="AW483" s="280"/>
      <c r="AX483" s="280"/>
      <c r="AY483" s="280"/>
      <c r="AZ483" s="280"/>
    </row>
    <row r="484" spans="1:52" ht="12.75" x14ac:dyDescent="0.2">
      <c r="A484" s="280"/>
      <c r="B484" s="280"/>
      <c r="C484" s="280"/>
      <c r="D484" s="280"/>
      <c r="E484" s="280"/>
      <c r="F484" s="280"/>
      <c r="G484" s="280"/>
      <c r="H484" s="280"/>
      <c r="I484" s="280"/>
      <c r="J484" s="280"/>
      <c r="K484" s="280"/>
      <c r="L484" s="280"/>
      <c r="M484" s="280"/>
      <c r="N484" s="280"/>
      <c r="O484" s="280"/>
      <c r="P484" s="280"/>
      <c r="Q484" s="280"/>
      <c r="R484" s="280"/>
      <c r="S484" s="280"/>
      <c r="T484" s="280"/>
      <c r="U484" s="280"/>
      <c r="V484" s="280"/>
      <c r="W484" s="280"/>
      <c r="X484" s="280"/>
      <c r="Y484" s="280"/>
      <c r="Z484" s="280"/>
      <c r="AA484" s="280"/>
      <c r="AB484" s="280"/>
      <c r="AC484" s="280"/>
      <c r="AD484" s="280"/>
      <c r="AE484" s="280"/>
      <c r="AF484" s="280"/>
      <c r="AG484" s="280"/>
      <c r="AH484" s="280"/>
      <c r="AI484" s="280"/>
      <c r="AJ484" s="280"/>
      <c r="AK484" s="280"/>
      <c r="AL484" s="280"/>
      <c r="AM484" s="280"/>
      <c r="AN484" s="280"/>
      <c r="AO484" s="280"/>
      <c r="AP484" s="280"/>
      <c r="AQ484" s="280"/>
      <c r="AR484" s="280"/>
      <c r="AS484" s="280"/>
      <c r="AT484" s="280"/>
      <c r="AU484" s="280"/>
      <c r="AV484" s="280"/>
      <c r="AW484" s="280"/>
      <c r="AX484" s="280"/>
      <c r="AY484" s="280"/>
      <c r="AZ484" s="280"/>
    </row>
    <row r="485" spans="1:52" ht="12.75" x14ac:dyDescent="0.2">
      <c r="A485" s="280"/>
      <c r="B485" s="280"/>
      <c r="C485" s="280"/>
      <c r="D485" s="280"/>
      <c r="E485" s="280"/>
      <c r="F485" s="280"/>
      <c r="G485" s="280"/>
      <c r="H485" s="280"/>
      <c r="I485" s="280"/>
      <c r="J485" s="280"/>
      <c r="K485" s="280"/>
      <c r="L485" s="280"/>
      <c r="M485" s="280"/>
      <c r="N485" s="280"/>
      <c r="O485" s="280"/>
      <c r="P485" s="280"/>
      <c r="Q485" s="280"/>
      <c r="R485" s="280"/>
      <c r="S485" s="280"/>
      <c r="T485" s="280"/>
      <c r="U485" s="280"/>
      <c r="V485" s="280"/>
      <c r="W485" s="280"/>
      <c r="X485" s="280"/>
      <c r="Y485" s="280"/>
      <c r="Z485" s="280"/>
      <c r="AA485" s="280"/>
      <c r="AB485" s="280"/>
      <c r="AC485" s="280"/>
      <c r="AD485" s="280"/>
      <c r="AE485" s="280"/>
      <c r="AF485" s="280"/>
      <c r="AG485" s="280"/>
      <c r="AH485" s="280"/>
      <c r="AI485" s="280"/>
      <c r="AJ485" s="280"/>
      <c r="AK485" s="280"/>
      <c r="AL485" s="280"/>
      <c r="AM485" s="280"/>
      <c r="AN485" s="280"/>
      <c r="AO485" s="280"/>
      <c r="AP485" s="280"/>
      <c r="AQ485" s="280"/>
      <c r="AR485" s="280"/>
      <c r="AS485" s="280"/>
      <c r="AT485" s="280"/>
      <c r="AU485" s="280"/>
      <c r="AV485" s="280"/>
      <c r="AW485" s="280"/>
      <c r="AX485" s="280"/>
      <c r="AY485" s="280"/>
      <c r="AZ485" s="280"/>
    </row>
    <row r="486" spans="1:52" ht="12.75" x14ac:dyDescent="0.2">
      <c r="A486" s="280"/>
      <c r="B486" s="280"/>
      <c r="C486" s="280"/>
      <c r="D486" s="280"/>
      <c r="E486" s="280"/>
      <c r="F486" s="280"/>
      <c r="G486" s="280"/>
      <c r="H486" s="280"/>
      <c r="I486" s="280"/>
      <c r="J486" s="280"/>
      <c r="K486" s="280"/>
      <c r="L486" s="280"/>
      <c r="M486" s="280"/>
      <c r="N486" s="280"/>
      <c r="O486" s="280"/>
      <c r="P486" s="280"/>
      <c r="Q486" s="280"/>
      <c r="R486" s="280"/>
      <c r="S486" s="280"/>
      <c r="T486" s="280"/>
      <c r="U486" s="280"/>
      <c r="V486" s="280"/>
      <c r="W486" s="280"/>
      <c r="X486" s="280"/>
      <c r="Y486" s="280"/>
      <c r="Z486" s="280"/>
      <c r="AA486" s="280"/>
      <c r="AB486" s="280"/>
      <c r="AC486" s="280"/>
      <c r="AD486" s="280"/>
      <c r="AE486" s="280"/>
      <c r="AF486" s="280"/>
      <c r="AG486" s="280"/>
      <c r="AH486" s="280"/>
      <c r="AI486" s="280"/>
      <c r="AJ486" s="280"/>
      <c r="AK486" s="280"/>
      <c r="AL486" s="280"/>
      <c r="AM486" s="280"/>
      <c r="AN486" s="280"/>
      <c r="AO486" s="280"/>
      <c r="AP486" s="280"/>
      <c r="AQ486" s="280"/>
      <c r="AR486" s="280"/>
      <c r="AS486" s="280"/>
      <c r="AT486" s="280"/>
      <c r="AU486" s="280"/>
      <c r="AV486" s="280"/>
      <c r="AW486" s="280"/>
      <c r="AX486" s="280"/>
      <c r="AY486" s="280"/>
      <c r="AZ486" s="280"/>
    </row>
    <row r="487" spans="1:52" ht="12.75" x14ac:dyDescent="0.2">
      <c r="A487" s="280"/>
      <c r="B487" s="280"/>
      <c r="C487" s="280"/>
      <c r="D487" s="280"/>
      <c r="E487" s="280"/>
      <c r="F487" s="280"/>
      <c r="G487" s="280"/>
      <c r="H487" s="280"/>
      <c r="I487" s="280"/>
      <c r="J487" s="280"/>
      <c r="K487" s="280"/>
      <c r="L487" s="280"/>
      <c r="M487" s="280"/>
      <c r="N487" s="280"/>
      <c r="O487" s="280"/>
      <c r="P487" s="280"/>
      <c r="Q487" s="280"/>
      <c r="R487" s="280"/>
      <c r="S487" s="280"/>
      <c r="T487" s="280"/>
      <c r="U487" s="280"/>
      <c r="V487" s="280"/>
      <c r="W487" s="280"/>
      <c r="X487" s="280"/>
      <c r="Y487" s="280"/>
      <c r="Z487" s="280"/>
      <c r="AA487" s="280"/>
      <c r="AB487" s="280"/>
      <c r="AC487" s="280"/>
      <c r="AD487" s="280"/>
      <c r="AE487" s="280"/>
      <c r="AF487" s="280"/>
      <c r="AG487" s="280"/>
      <c r="AH487" s="280"/>
      <c r="AI487" s="280"/>
      <c r="AJ487" s="280"/>
      <c r="AK487" s="280"/>
      <c r="AL487" s="280"/>
      <c r="AM487" s="280"/>
      <c r="AN487" s="280"/>
      <c r="AO487" s="280"/>
      <c r="AP487" s="280"/>
      <c r="AQ487" s="280"/>
      <c r="AR487" s="280"/>
      <c r="AS487" s="280"/>
      <c r="AT487" s="280"/>
      <c r="AU487" s="280"/>
      <c r="AV487" s="280"/>
      <c r="AW487" s="280"/>
      <c r="AX487" s="280"/>
      <c r="AY487" s="280"/>
      <c r="AZ487" s="280"/>
    </row>
    <row r="488" spans="1:52" ht="12.75" x14ac:dyDescent="0.2">
      <c r="A488" s="280"/>
      <c r="B488" s="280"/>
      <c r="C488" s="280"/>
      <c r="D488" s="280"/>
      <c r="E488" s="280"/>
      <c r="F488" s="280"/>
      <c r="G488" s="280"/>
      <c r="H488" s="280"/>
      <c r="I488" s="280"/>
      <c r="J488" s="280"/>
      <c r="K488" s="280"/>
      <c r="L488" s="280"/>
      <c r="M488" s="280"/>
      <c r="N488" s="280"/>
      <c r="O488" s="280"/>
      <c r="P488" s="280"/>
      <c r="Q488" s="280"/>
      <c r="R488" s="280"/>
      <c r="S488" s="280"/>
      <c r="T488" s="280"/>
      <c r="U488" s="280"/>
      <c r="V488" s="280"/>
      <c r="W488" s="280"/>
      <c r="X488" s="280"/>
      <c r="Y488" s="280"/>
      <c r="Z488" s="280"/>
      <c r="AA488" s="280"/>
      <c r="AB488" s="280"/>
      <c r="AC488" s="280"/>
      <c r="AD488" s="280"/>
      <c r="AE488" s="280"/>
      <c r="AF488" s="280"/>
      <c r="AG488" s="280"/>
      <c r="AH488" s="280"/>
      <c r="AI488" s="280"/>
      <c r="AJ488" s="280"/>
      <c r="AK488" s="280"/>
      <c r="AL488" s="280"/>
      <c r="AM488" s="280"/>
      <c r="AN488" s="280"/>
      <c r="AO488" s="280"/>
      <c r="AP488" s="280"/>
      <c r="AQ488" s="280"/>
      <c r="AR488" s="280"/>
      <c r="AS488" s="280"/>
      <c r="AT488" s="280"/>
      <c r="AU488" s="280"/>
      <c r="AV488" s="280"/>
      <c r="AW488" s="280"/>
      <c r="AX488" s="280"/>
      <c r="AY488" s="280"/>
      <c r="AZ488" s="280"/>
    </row>
    <row r="489" spans="1:52" ht="12.75" x14ac:dyDescent="0.2">
      <c r="A489" s="280"/>
      <c r="B489" s="280"/>
      <c r="C489" s="280"/>
      <c r="D489" s="280"/>
      <c r="E489" s="280"/>
      <c r="F489" s="280"/>
      <c r="G489" s="280"/>
      <c r="H489" s="280"/>
      <c r="I489" s="280"/>
      <c r="J489" s="280"/>
      <c r="K489" s="280"/>
      <c r="L489" s="280"/>
      <c r="M489" s="280"/>
      <c r="N489" s="280"/>
      <c r="O489" s="280"/>
      <c r="P489" s="280"/>
      <c r="Q489" s="280"/>
      <c r="R489" s="280"/>
      <c r="S489" s="280"/>
      <c r="T489" s="280"/>
      <c r="U489" s="280"/>
      <c r="V489" s="280"/>
      <c r="W489" s="280"/>
      <c r="X489" s="280"/>
      <c r="Y489" s="280"/>
      <c r="Z489" s="280"/>
      <c r="AA489" s="280"/>
      <c r="AB489" s="280"/>
      <c r="AC489" s="280"/>
      <c r="AD489" s="280"/>
      <c r="AE489" s="280"/>
      <c r="AF489" s="280"/>
      <c r="AG489" s="280"/>
      <c r="AH489" s="280"/>
      <c r="AI489" s="280"/>
      <c r="AJ489" s="280"/>
      <c r="AK489" s="280"/>
      <c r="AL489" s="280"/>
      <c r="AM489" s="280"/>
      <c r="AN489" s="280"/>
      <c r="AO489" s="280"/>
      <c r="AP489" s="280"/>
      <c r="AQ489" s="280"/>
      <c r="AR489" s="280"/>
      <c r="AS489" s="280"/>
      <c r="AT489" s="280"/>
      <c r="AU489" s="280"/>
      <c r="AV489" s="280"/>
      <c r="AW489" s="280"/>
      <c r="AX489" s="280"/>
      <c r="AY489" s="280"/>
      <c r="AZ489" s="280"/>
    </row>
    <row r="490" spans="1:52" ht="12.75" x14ac:dyDescent="0.2">
      <c r="A490" s="280"/>
      <c r="B490" s="280"/>
      <c r="C490" s="280"/>
      <c r="D490" s="280"/>
      <c r="E490" s="280"/>
      <c r="F490" s="280"/>
      <c r="G490" s="280"/>
      <c r="H490" s="280"/>
      <c r="I490" s="280"/>
      <c r="J490" s="280"/>
      <c r="K490" s="280"/>
      <c r="L490" s="280"/>
      <c r="M490" s="280"/>
      <c r="N490" s="280"/>
      <c r="O490" s="280"/>
      <c r="P490" s="280"/>
      <c r="Q490" s="280"/>
      <c r="R490" s="280"/>
      <c r="S490" s="280"/>
      <c r="T490" s="280"/>
      <c r="U490" s="280"/>
      <c r="V490" s="280"/>
      <c r="W490" s="280"/>
      <c r="X490" s="280"/>
      <c r="Y490" s="280"/>
      <c r="Z490" s="280"/>
      <c r="AA490" s="280"/>
      <c r="AB490" s="280"/>
      <c r="AC490" s="280"/>
      <c r="AD490" s="280"/>
      <c r="AE490" s="280"/>
      <c r="AF490" s="280"/>
      <c r="AG490" s="280"/>
      <c r="AH490" s="280"/>
      <c r="AI490" s="280"/>
      <c r="AJ490" s="280"/>
      <c r="AK490" s="280"/>
      <c r="AL490" s="280"/>
      <c r="AM490" s="280"/>
      <c r="AN490" s="280"/>
      <c r="AO490" s="280"/>
      <c r="AP490" s="280"/>
      <c r="AQ490" s="280"/>
      <c r="AR490" s="280"/>
      <c r="AS490" s="280"/>
      <c r="AT490" s="280"/>
      <c r="AU490" s="280"/>
      <c r="AV490" s="280"/>
      <c r="AW490" s="280"/>
      <c r="AX490" s="280"/>
      <c r="AY490" s="280"/>
      <c r="AZ490" s="280"/>
    </row>
    <row r="491" spans="1:52" ht="12.75" x14ac:dyDescent="0.2">
      <c r="A491" s="280"/>
      <c r="B491" s="280"/>
      <c r="C491" s="280"/>
      <c r="D491" s="280"/>
      <c r="E491" s="280"/>
      <c r="F491" s="280"/>
      <c r="G491" s="280"/>
      <c r="H491" s="280"/>
      <c r="I491" s="280"/>
      <c r="J491" s="280"/>
      <c r="K491" s="280"/>
      <c r="L491" s="280"/>
      <c r="M491" s="280"/>
      <c r="N491" s="280"/>
      <c r="O491" s="280"/>
      <c r="P491" s="280"/>
      <c r="Q491" s="280"/>
      <c r="R491" s="280"/>
      <c r="S491" s="280"/>
      <c r="T491" s="280"/>
      <c r="U491" s="280"/>
      <c r="V491" s="280"/>
      <c r="W491" s="280"/>
      <c r="X491" s="280"/>
      <c r="Y491" s="280"/>
      <c r="Z491" s="280"/>
      <c r="AA491" s="280"/>
      <c r="AB491" s="280"/>
      <c r="AC491" s="280"/>
      <c r="AD491" s="280"/>
      <c r="AE491" s="280"/>
      <c r="AF491" s="280"/>
      <c r="AG491" s="280"/>
      <c r="AH491" s="280"/>
      <c r="AI491" s="280"/>
      <c r="AJ491" s="280"/>
      <c r="AK491" s="280"/>
      <c r="AL491" s="280"/>
      <c r="AM491" s="280"/>
      <c r="AN491" s="280"/>
      <c r="AO491" s="280"/>
      <c r="AP491" s="280"/>
      <c r="AQ491" s="280"/>
      <c r="AR491" s="280"/>
      <c r="AS491" s="280"/>
      <c r="AT491" s="280"/>
      <c r="AU491" s="280"/>
      <c r="AV491" s="280"/>
      <c r="AW491" s="280"/>
      <c r="AX491" s="280"/>
      <c r="AY491" s="280"/>
      <c r="AZ491" s="280"/>
    </row>
    <row r="492" spans="1:52" ht="12.75" x14ac:dyDescent="0.2">
      <c r="A492" s="280"/>
      <c r="B492" s="280"/>
      <c r="C492" s="280"/>
      <c r="D492" s="280"/>
      <c r="E492" s="280"/>
      <c r="F492" s="280"/>
      <c r="G492" s="280"/>
      <c r="H492" s="280"/>
      <c r="I492" s="280"/>
      <c r="J492" s="280"/>
      <c r="K492" s="280"/>
      <c r="L492" s="280"/>
      <c r="M492" s="280"/>
      <c r="N492" s="280"/>
      <c r="O492" s="280"/>
      <c r="P492" s="280"/>
      <c r="Q492" s="280"/>
      <c r="R492" s="280"/>
      <c r="S492" s="280"/>
      <c r="T492" s="280"/>
      <c r="U492" s="280"/>
      <c r="V492" s="280"/>
      <c r="W492" s="280"/>
      <c r="X492" s="280"/>
      <c r="Y492" s="280"/>
      <c r="Z492" s="280"/>
      <c r="AA492" s="280"/>
      <c r="AB492" s="280"/>
      <c r="AC492" s="280"/>
      <c r="AD492" s="280"/>
      <c r="AE492" s="280"/>
      <c r="AF492" s="280"/>
      <c r="AG492" s="280"/>
      <c r="AH492" s="280"/>
      <c r="AI492" s="280"/>
      <c r="AJ492" s="280"/>
      <c r="AK492" s="280"/>
      <c r="AL492" s="280"/>
      <c r="AM492" s="280"/>
      <c r="AN492" s="280"/>
      <c r="AO492" s="280"/>
      <c r="AP492" s="280"/>
      <c r="AQ492" s="280"/>
      <c r="AR492" s="280"/>
      <c r="AS492" s="280"/>
      <c r="AT492" s="280"/>
      <c r="AU492" s="280"/>
      <c r="AV492" s="280"/>
      <c r="AW492" s="280"/>
      <c r="AX492" s="280"/>
      <c r="AY492" s="280"/>
      <c r="AZ492" s="280"/>
    </row>
    <row r="493" spans="1:52" ht="12.75" x14ac:dyDescent="0.2">
      <c r="A493" s="280"/>
      <c r="B493" s="280"/>
      <c r="C493" s="280"/>
      <c r="D493" s="280"/>
      <c r="E493" s="280"/>
      <c r="F493" s="280"/>
      <c r="G493" s="280"/>
      <c r="H493" s="280"/>
      <c r="I493" s="280"/>
      <c r="J493" s="280"/>
      <c r="K493" s="280"/>
      <c r="L493" s="280"/>
      <c r="M493" s="280"/>
      <c r="N493" s="280"/>
      <c r="O493" s="280"/>
      <c r="P493" s="280"/>
      <c r="Q493" s="280"/>
      <c r="R493" s="280"/>
      <c r="S493" s="280"/>
      <c r="T493" s="280"/>
      <c r="U493" s="280"/>
      <c r="V493" s="280"/>
      <c r="W493" s="280"/>
      <c r="X493" s="280"/>
      <c r="Y493" s="280"/>
      <c r="Z493" s="280"/>
      <c r="AA493" s="280"/>
      <c r="AB493" s="280"/>
      <c r="AC493" s="280"/>
      <c r="AD493" s="280"/>
      <c r="AE493" s="280"/>
      <c r="AF493" s="280"/>
      <c r="AG493" s="280"/>
      <c r="AH493" s="280"/>
      <c r="AI493" s="280"/>
      <c r="AJ493" s="280"/>
      <c r="AK493" s="280"/>
      <c r="AL493" s="280"/>
      <c r="AM493" s="280"/>
      <c r="AN493" s="280"/>
      <c r="AO493" s="280"/>
      <c r="AP493" s="280"/>
      <c r="AQ493" s="280"/>
      <c r="AR493" s="280"/>
      <c r="AS493" s="280"/>
      <c r="AT493" s="280"/>
      <c r="AU493" s="280"/>
      <c r="AV493" s="280"/>
      <c r="AW493" s="280"/>
      <c r="AX493" s="280"/>
      <c r="AY493" s="280"/>
      <c r="AZ493" s="280"/>
    </row>
    <row r="494" spans="1:52" ht="12.75" x14ac:dyDescent="0.2">
      <c r="A494" s="280"/>
      <c r="B494" s="280"/>
      <c r="C494" s="280"/>
      <c r="D494" s="280"/>
      <c r="E494" s="280"/>
      <c r="F494" s="280"/>
      <c r="G494" s="280"/>
      <c r="H494" s="280"/>
      <c r="I494" s="280"/>
      <c r="J494" s="280"/>
      <c r="K494" s="280"/>
      <c r="L494" s="280"/>
      <c r="M494" s="280"/>
      <c r="N494" s="280"/>
      <c r="O494" s="280"/>
      <c r="P494" s="280"/>
      <c r="Q494" s="280"/>
      <c r="R494" s="280"/>
      <c r="S494" s="280"/>
      <c r="T494" s="280"/>
      <c r="U494" s="280"/>
      <c r="V494" s="280"/>
      <c r="W494" s="280"/>
      <c r="X494" s="280"/>
      <c r="Y494" s="280"/>
      <c r="Z494" s="280"/>
      <c r="AA494" s="280"/>
      <c r="AB494" s="280"/>
      <c r="AC494" s="280"/>
      <c r="AD494" s="280"/>
      <c r="AE494" s="280"/>
      <c r="AF494" s="280"/>
      <c r="AG494" s="280"/>
      <c r="AH494" s="280"/>
      <c r="AI494" s="280"/>
      <c r="AJ494" s="280"/>
      <c r="AK494" s="280"/>
      <c r="AL494" s="280"/>
      <c r="AM494" s="280"/>
      <c r="AN494" s="280"/>
      <c r="AO494" s="280"/>
      <c r="AP494" s="280"/>
      <c r="AQ494" s="280"/>
      <c r="AR494" s="280"/>
      <c r="AS494" s="280"/>
      <c r="AT494" s="280"/>
      <c r="AU494" s="280"/>
      <c r="AV494" s="280"/>
      <c r="AW494" s="280"/>
      <c r="AX494" s="280"/>
      <c r="AY494" s="280"/>
      <c r="AZ494" s="280"/>
    </row>
    <row r="495" spans="1:52" ht="12.75" x14ac:dyDescent="0.2">
      <c r="A495" s="280"/>
      <c r="B495" s="280"/>
      <c r="C495" s="280"/>
      <c r="D495" s="280"/>
      <c r="E495" s="280"/>
      <c r="F495" s="280"/>
      <c r="G495" s="280"/>
      <c r="H495" s="280"/>
      <c r="I495" s="280"/>
      <c r="J495" s="280"/>
      <c r="K495" s="280"/>
      <c r="L495" s="280"/>
      <c r="M495" s="280"/>
      <c r="N495" s="280"/>
      <c r="O495" s="280"/>
      <c r="P495" s="280"/>
      <c r="Q495" s="280"/>
      <c r="R495" s="280"/>
      <c r="S495" s="280"/>
      <c r="T495" s="280"/>
      <c r="U495" s="280"/>
      <c r="V495" s="280"/>
      <c r="W495" s="280"/>
      <c r="X495" s="280"/>
      <c r="Y495" s="280"/>
      <c r="Z495" s="280"/>
      <c r="AA495" s="280"/>
      <c r="AB495" s="280"/>
      <c r="AC495" s="280"/>
      <c r="AD495" s="280"/>
      <c r="AE495" s="280"/>
      <c r="AF495" s="280"/>
      <c r="AG495" s="280"/>
      <c r="AH495" s="280"/>
      <c r="AI495" s="280"/>
      <c r="AJ495" s="280"/>
      <c r="AK495" s="280"/>
      <c r="AL495" s="280"/>
      <c r="AM495" s="280"/>
      <c r="AN495" s="280"/>
      <c r="AO495" s="280"/>
      <c r="AP495" s="280"/>
      <c r="AQ495" s="280"/>
      <c r="AR495" s="280"/>
      <c r="AS495" s="280"/>
      <c r="AT495" s="280"/>
      <c r="AU495" s="280"/>
      <c r="AV495" s="280"/>
      <c r="AW495" s="280"/>
      <c r="AX495" s="280"/>
      <c r="AY495" s="280"/>
      <c r="AZ495" s="280"/>
    </row>
    <row r="496" spans="1:52" ht="12.75" x14ac:dyDescent="0.2">
      <c r="A496" s="280"/>
      <c r="B496" s="280"/>
      <c r="C496" s="280"/>
      <c r="D496" s="280"/>
      <c r="E496" s="280"/>
      <c r="F496" s="280"/>
      <c r="G496" s="280"/>
      <c r="H496" s="280"/>
      <c r="I496" s="280"/>
      <c r="J496" s="280"/>
      <c r="K496" s="280"/>
      <c r="L496" s="280"/>
      <c r="M496" s="280"/>
      <c r="N496" s="280"/>
      <c r="O496" s="280"/>
      <c r="P496" s="280"/>
      <c r="Q496" s="280"/>
      <c r="R496" s="280"/>
      <c r="S496" s="280"/>
      <c r="T496" s="280"/>
      <c r="U496" s="280"/>
      <c r="V496" s="280"/>
      <c r="W496" s="280"/>
      <c r="X496" s="280"/>
      <c r="Y496" s="280"/>
      <c r="Z496" s="280"/>
      <c r="AA496" s="280"/>
      <c r="AB496" s="280"/>
      <c r="AC496" s="280"/>
      <c r="AD496" s="280"/>
      <c r="AE496" s="280"/>
      <c r="AF496" s="280"/>
      <c r="AG496" s="280"/>
      <c r="AH496" s="280"/>
      <c r="AI496" s="280"/>
      <c r="AJ496" s="280"/>
      <c r="AK496" s="280"/>
      <c r="AL496" s="280"/>
      <c r="AM496" s="280"/>
      <c r="AN496" s="280"/>
      <c r="AO496" s="280"/>
      <c r="AP496" s="280"/>
      <c r="AQ496" s="280"/>
      <c r="AR496" s="280"/>
      <c r="AS496" s="280"/>
      <c r="AT496" s="280"/>
      <c r="AU496" s="280"/>
      <c r="AV496" s="280"/>
      <c r="AW496" s="280"/>
      <c r="AX496" s="280"/>
      <c r="AY496" s="280"/>
      <c r="AZ496" s="280"/>
    </row>
    <row r="497" spans="1:52" ht="12.75" x14ac:dyDescent="0.2">
      <c r="A497" s="280"/>
      <c r="B497" s="280"/>
      <c r="C497" s="280"/>
      <c r="D497" s="280"/>
      <c r="E497" s="280"/>
      <c r="F497" s="280"/>
      <c r="G497" s="280"/>
      <c r="H497" s="280"/>
      <c r="I497" s="280"/>
      <c r="J497" s="280"/>
      <c r="K497" s="280"/>
      <c r="L497" s="280"/>
      <c r="M497" s="280"/>
      <c r="N497" s="280"/>
      <c r="O497" s="280"/>
      <c r="P497" s="280"/>
      <c r="Q497" s="280"/>
      <c r="R497" s="280"/>
      <c r="S497" s="280"/>
      <c r="T497" s="280"/>
      <c r="U497" s="280"/>
      <c r="V497" s="280"/>
      <c r="W497" s="280"/>
      <c r="X497" s="280"/>
      <c r="Y497" s="280"/>
      <c r="Z497" s="280"/>
      <c r="AA497" s="280"/>
      <c r="AB497" s="280"/>
      <c r="AC497" s="280"/>
      <c r="AD497" s="280"/>
      <c r="AE497" s="280"/>
      <c r="AF497" s="280"/>
      <c r="AG497" s="280"/>
      <c r="AH497" s="280"/>
      <c r="AI497" s="280"/>
      <c r="AJ497" s="280"/>
      <c r="AK497" s="280"/>
      <c r="AL497" s="280"/>
      <c r="AM497" s="280"/>
      <c r="AN497" s="280"/>
      <c r="AO497" s="280"/>
      <c r="AP497" s="280"/>
      <c r="AQ497" s="280"/>
      <c r="AR497" s="280"/>
      <c r="AS497" s="280"/>
      <c r="AT497" s="280"/>
      <c r="AU497" s="280"/>
      <c r="AV497" s="280"/>
      <c r="AW497" s="280"/>
      <c r="AX497" s="280"/>
      <c r="AY497" s="280"/>
      <c r="AZ497" s="280"/>
    </row>
    <row r="498" spans="1:52" ht="12.75" x14ac:dyDescent="0.2">
      <c r="A498" s="280"/>
      <c r="B498" s="280"/>
      <c r="C498" s="280"/>
      <c r="D498" s="280"/>
      <c r="E498" s="280"/>
      <c r="F498" s="280"/>
      <c r="G498" s="280"/>
      <c r="H498" s="280"/>
      <c r="I498" s="280"/>
      <c r="J498" s="280"/>
      <c r="K498" s="280"/>
      <c r="L498" s="280"/>
      <c r="M498" s="280"/>
      <c r="N498" s="280"/>
      <c r="O498" s="280"/>
      <c r="P498" s="280"/>
      <c r="Q498" s="280"/>
      <c r="R498" s="280"/>
      <c r="S498" s="280"/>
      <c r="T498" s="280"/>
      <c r="U498" s="280"/>
      <c r="V498" s="280"/>
      <c r="W498" s="280"/>
      <c r="X498" s="280"/>
      <c r="Y498" s="280"/>
      <c r="Z498" s="280"/>
      <c r="AA498" s="280"/>
      <c r="AB498" s="280"/>
      <c r="AC498" s="280"/>
      <c r="AD498" s="280"/>
      <c r="AE498" s="280"/>
      <c r="AF498" s="280"/>
      <c r="AG498" s="280"/>
      <c r="AH498" s="280"/>
      <c r="AI498" s="280"/>
      <c r="AJ498" s="280"/>
      <c r="AK498" s="280"/>
      <c r="AL498" s="280"/>
      <c r="AM498" s="280"/>
      <c r="AN498" s="280"/>
      <c r="AO498" s="280"/>
      <c r="AP498" s="280"/>
      <c r="AQ498" s="280"/>
      <c r="AR498" s="280"/>
      <c r="AS498" s="280"/>
      <c r="AT498" s="280"/>
      <c r="AU498" s="280"/>
      <c r="AV498" s="280"/>
      <c r="AW498" s="280"/>
      <c r="AX498" s="280"/>
      <c r="AY498" s="280"/>
      <c r="AZ498" s="280"/>
    </row>
    <row r="499" spans="1:52" ht="12.75" x14ac:dyDescent="0.2">
      <c r="A499" s="280"/>
      <c r="B499" s="280"/>
      <c r="C499" s="280"/>
      <c r="D499" s="280"/>
      <c r="E499" s="280"/>
      <c r="F499" s="280"/>
      <c r="G499" s="280"/>
      <c r="H499" s="280"/>
      <c r="I499" s="280"/>
      <c r="J499" s="280"/>
      <c r="K499" s="280"/>
      <c r="L499" s="280"/>
      <c r="M499" s="280"/>
      <c r="N499" s="280"/>
      <c r="O499" s="280"/>
      <c r="P499" s="280"/>
      <c r="Q499" s="280"/>
      <c r="R499" s="280"/>
      <c r="S499" s="280"/>
      <c r="T499" s="280"/>
      <c r="U499" s="280"/>
      <c r="V499" s="280"/>
      <c r="W499" s="280"/>
      <c r="X499" s="280"/>
      <c r="Y499" s="280"/>
      <c r="Z499" s="280"/>
      <c r="AA499" s="280"/>
      <c r="AB499" s="280"/>
      <c r="AC499" s="280"/>
      <c r="AD499" s="280"/>
      <c r="AE499" s="280"/>
      <c r="AF499" s="280"/>
      <c r="AG499" s="280"/>
      <c r="AH499" s="280"/>
      <c r="AI499" s="280"/>
      <c r="AJ499" s="280"/>
      <c r="AK499" s="280"/>
      <c r="AL499" s="280"/>
      <c r="AM499" s="280"/>
      <c r="AN499" s="280"/>
      <c r="AO499" s="280"/>
      <c r="AP499" s="280"/>
      <c r="AQ499" s="280"/>
      <c r="AR499" s="280"/>
      <c r="AS499" s="280"/>
      <c r="AT499" s="280"/>
      <c r="AU499" s="280"/>
      <c r="AV499" s="280"/>
      <c r="AW499" s="280"/>
      <c r="AX499" s="280"/>
      <c r="AY499" s="280"/>
      <c r="AZ499" s="280"/>
    </row>
    <row r="500" spans="1:52" ht="12.75" x14ac:dyDescent="0.2">
      <c r="A500" s="280"/>
      <c r="B500" s="280"/>
      <c r="C500" s="280"/>
      <c r="D500" s="280"/>
      <c r="E500" s="280"/>
      <c r="F500" s="280"/>
      <c r="G500" s="280"/>
      <c r="H500" s="280"/>
      <c r="I500" s="280"/>
      <c r="J500" s="280"/>
      <c r="K500" s="280"/>
      <c r="L500" s="280"/>
      <c r="M500" s="280"/>
      <c r="N500" s="280"/>
      <c r="O500" s="280"/>
      <c r="P500" s="280"/>
      <c r="Q500" s="280"/>
      <c r="R500" s="280"/>
      <c r="S500" s="280"/>
      <c r="T500" s="280"/>
      <c r="U500" s="280"/>
      <c r="V500" s="280"/>
      <c r="W500" s="280"/>
      <c r="X500" s="280"/>
      <c r="Y500" s="280"/>
      <c r="Z500" s="280"/>
      <c r="AA500" s="280"/>
      <c r="AB500" s="280"/>
      <c r="AC500" s="280"/>
      <c r="AD500" s="280"/>
      <c r="AE500" s="280"/>
      <c r="AF500" s="280"/>
      <c r="AG500" s="280"/>
      <c r="AH500" s="280"/>
      <c r="AI500" s="280"/>
      <c r="AJ500" s="280"/>
      <c r="AK500" s="280"/>
      <c r="AL500" s="280"/>
      <c r="AM500" s="280"/>
      <c r="AN500" s="280"/>
      <c r="AO500" s="280"/>
      <c r="AP500" s="280"/>
      <c r="AQ500" s="280"/>
      <c r="AR500" s="280"/>
      <c r="AS500" s="280"/>
      <c r="AT500" s="280"/>
      <c r="AU500" s="280"/>
      <c r="AV500" s="280"/>
      <c r="AW500" s="280"/>
      <c r="AX500" s="280"/>
      <c r="AY500" s="280"/>
      <c r="AZ500" s="280"/>
    </row>
    <row r="501" spans="1:52" ht="12.75" x14ac:dyDescent="0.2">
      <c r="A501" s="280"/>
      <c r="B501" s="280"/>
      <c r="C501" s="280"/>
      <c r="D501" s="280"/>
      <c r="E501" s="280"/>
      <c r="F501" s="280"/>
      <c r="G501" s="280"/>
      <c r="H501" s="280"/>
      <c r="I501" s="280"/>
      <c r="J501" s="280"/>
      <c r="K501" s="280"/>
      <c r="L501" s="280"/>
      <c r="M501" s="280"/>
      <c r="N501" s="280"/>
      <c r="O501" s="280"/>
      <c r="P501" s="280"/>
      <c r="Q501" s="280"/>
      <c r="R501" s="280"/>
      <c r="S501" s="280"/>
      <c r="T501" s="280"/>
      <c r="U501" s="280"/>
      <c r="V501" s="280"/>
      <c r="W501" s="280"/>
      <c r="X501" s="280"/>
      <c r="Y501" s="280"/>
      <c r="Z501" s="280"/>
      <c r="AA501" s="280"/>
      <c r="AB501" s="280"/>
      <c r="AC501" s="280"/>
      <c r="AD501" s="280"/>
      <c r="AE501" s="280"/>
      <c r="AF501" s="280"/>
      <c r="AG501" s="280"/>
      <c r="AH501" s="280"/>
      <c r="AI501" s="280"/>
      <c r="AJ501" s="280"/>
      <c r="AK501" s="280"/>
      <c r="AL501" s="280"/>
      <c r="AM501" s="280"/>
      <c r="AN501" s="280"/>
      <c r="AO501" s="280"/>
      <c r="AP501" s="280"/>
      <c r="AQ501" s="280"/>
      <c r="AR501" s="280"/>
      <c r="AS501" s="280"/>
      <c r="AT501" s="280"/>
      <c r="AU501" s="280"/>
      <c r="AV501" s="280"/>
      <c r="AW501" s="280"/>
      <c r="AX501" s="280"/>
      <c r="AY501" s="280"/>
      <c r="AZ501" s="280"/>
    </row>
    <row r="502" spans="1:52" ht="12.75" x14ac:dyDescent="0.2">
      <c r="A502" s="280"/>
      <c r="B502" s="280"/>
      <c r="C502" s="280"/>
      <c r="D502" s="280"/>
      <c r="E502" s="280"/>
      <c r="F502" s="280"/>
      <c r="G502" s="280"/>
      <c r="H502" s="280"/>
      <c r="I502" s="280"/>
      <c r="J502" s="280"/>
      <c r="K502" s="280"/>
      <c r="L502" s="280"/>
      <c r="M502" s="280"/>
      <c r="N502" s="280"/>
      <c r="O502" s="280"/>
      <c r="P502" s="280"/>
      <c r="Q502" s="280"/>
      <c r="R502" s="280"/>
      <c r="S502" s="280"/>
      <c r="T502" s="280"/>
      <c r="U502" s="280"/>
      <c r="V502" s="280"/>
      <c r="W502" s="280"/>
      <c r="X502" s="280"/>
      <c r="Y502" s="280"/>
      <c r="Z502" s="280"/>
      <c r="AA502" s="280"/>
      <c r="AB502" s="280"/>
      <c r="AC502" s="280"/>
      <c r="AD502" s="280"/>
      <c r="AE502" s="280"/>
      <c r="AF502" s="280"/>
      <c r="AG502" s="280"/>
      <c r="AH502" s="280"/>
      <c r="AI502" s="280"/>
      <c r="AJ502" s="280"/>
      <c r="AK502" s="280"/>
      <c r="AL502" s="280"/>
      <c r="AM502" s="280"/>
      <c r="AN502" s="280"/>
      <c r="AO502" s="280"/>
      <c r="AP502" s="280"/>
      <c r="AQ502" s="280"/>
      <c r="AR502" s="280"/>
      <c r="AS502" s="280"/>
      <c r="AT502" s="280"/>
      <c r="AU502" s="280"/>
      <c r="AV502" s="280"/>
      <c r="AW502" s="280"/>
      <c r="AX502" s="280"/>
      <c r="AY502" s="280"/>
      <c r="AZ502" s="280"/>
    </row>
    <row r="503" spans="1:52" ht="12.75" x14ac:dyDescent="0.2">
      <c r="A503" s="280"/>
      <c r="B503" s="280"/>
      <c r="C503" s="280"/>
      <c r="D503" s="280"/>
      <c r="E503" s="280"/>
      <c r="F503" s="280"/>
      <c r="G503" s="280"/>
      <c r="H503" s="280"/>
      <c r="I503" s="280"/>
      <c r="J503" s="280"/>
      <c r="K503" s="280"/>
      <c r="L503" s="280"/>
      <c r="M503" s="280"/>
      <c r="N503" s="280"/>
      <c r="O503" s="280"/>
      <c r="P503" s="280"/>
      <c r="Q503" s="280"/>
      <c r="R503" s="280"/>
      <c r="S503" s="280"/>
      <c r="T503" s="280"/>
      <c r="U503" s="280"/>
      <c r="V503" s="280"/>
      <c r="W503" s="280"/>
      <c r="X503" s="280"/>
      <c r="Y503" s="280"/>
      <c r="Z503" s="280"/>
      <c r="AA503" s="280"/>
      <c r="AB503" s="280"/>
      <c r="AC503" s="280"/>
      <c r="AD503" s="280"/>
      <c r="AE503" s="280"/>
      <c r="AF503" s="280"/>
      <c r="AG503" s="280"/>
      <c r="AH503" s="280"/>
      <c r="AI503" s="280"/>
      <c r="AJ503" s="280"/>
      <c r="AK503" s="280"/>
      <c r="AL503" s="280"/>
      <c r="AM503" s="280"/>
      <c r="AN503" s="280"/>
      <c r="AO503" s="280"/>
      <c r="AP503" s="280"/>
      <c r="AQ503" s="280"/>
      <c r="AR503" s="280"/>
      <c r="AS503" s="280"/>
      <c r="AT503" s="280"/>
      <c r="AU503" s="280"/>
      <c r="AV503" s="280"/>
      <c r="AW503" s="280"/>
      <c r="AX503" s="280"/>
      <c r="AY503" s="280"/>
      <c r="AZ503" s="280"/>
    </row>
    <row r="504" spans="1:52" ht="12.75" x14ac:dyDescent="0.2">
      <c r="A504" s="280"/>
      <c r="B504" s="280"/>
      <c r="C504" s="280"/>
      <c r="D504" s="280"/>
      <c r="E504" s="280"/>
      <c r="F504" s="280"/>
      <c r="G504" s="280"/>
      <c r="H504" s="280"/>
      <c r="I504" s="280"/>
      <c r="J504" s="280"/>
      <c r="K504" s="280"/>
      <c r="L504" s="280"/>
      <c r="M504" s="280"/>
      <c r="N504" s="280"/>
      <c r="O504" s="280"/>
      <c r="P504" s="280"/>
      <c r="Q504" s="280"/>
      <c r="R504" s="280"/>
      <c r="S504" s="280"/>
      <c r="T504" s="280"/>
      <c r="U504" s="280"/>
      <c r="V504" s="280"/>
      <c r="W504" s="280"/>
      <c r="X504" s="280"/>
      <c r="Y504" s="280"/>
      <c r="Z504" s="280"/>
      <c r="AA504" s="280"/>
      <c r="AB504" s="280"/>
      <c r="AC504" s="280"/>
      <c r="AD504" s="280"/>
      <c r="AE504" s="280"/>
      <c r="AF504" s="280"/>
      <c r="AG504" s="280"/>
      <c r="AH504" s="280"/>
      <c r="AI504" s="280"/>
      <c r="AJ504" s="280"/>
      <c r="AK504" s="280"/>
      <c r="AL504" s="280"/>
      <c r="AM504" s="280"/>
      <c r="AN504" s="280"/>
      <c r="AO504" s="280"/>
      <c r="AP504" s="280"/>
      <c r="AQ504" s="280"/>
      <c r="AR504" s="280"/>
      <c r="AS504" s="280"/>
      <c r="AT504" s="280"/>
      <c r="AU504" s="280"/>
      <c r="AV504" s="280"/>
      <c r="AW504" s="280"/>
      <c r="AX504" s="280"/>
      <c r="AY504" s="280"/>
      <c r="AZ504" s="280"/>
    </row>
    <row r="505" spans="1:52" ht="12.75" x14ac:dyDescent="0.2">
      <c r="A505" s="280"/>
      <c r="B505" s="280"/>
      <c r="C505" s="280"/>
      <c r="D505" s="280"/>
      <c r="E505" s="280"/>
      <c r="F505" s="280"/>
      <c r="G505" s="280"/>
      <c r="H505" s="280"/>
      <c r="I505" s="280"/>
      <c r="J505" s="280"/>
      <c r="K505" s="280"/>
      <c r="L505" s="280"/>
      <c r="M505" s="280"/>
      <c r="N505" s="280"/>
      <c r="O505" s="280"/>
      <c r="P505" s="280"/>
      <c r="Q505" s="280"/>
      <c r="R505" s="280"/>
      <c r="S505" s="280"/>
      <c r="T505" s="280"/>
      <c r="U505" s="280"/>
      <c r="V505" s="280"/>
      <c r="W505" s="280"/>
      <c r="X505" s="280"/>
      <c r="Y505" s="280"/>
      <c r="Z505" s="280"/>
      <c r="AA505" s="280"/>
      <c r="AB505" s="280"/>
      <c r="AC505" s="280"/>
      <c r="AD505" s="280"/>
      <c r="AE505" s="280"/>
      <c r="AF505" s="280"/>
      <c r="AG505" s="280"/>
      <c r="AH505" s="280"/>
      <c r="AI505" s="280"/>
      <c r="AJ505" s="280"/>
      <c r="AK505" s="280"/>
      <c r="AL505" s="280"/>
      <c r="AM505" s="280"/>
      <c r="AN505" s="280"/>
      <c r="AO505" s="280"/>
      <c r="AP505" s="280"/>
      <c r="AQ505" s="280"/>
      <c r="AR505" s="280"/>
      <c r="AS505" s="280"/>
      <c r="AT505" s="280"/>
      <c r="AU505" s="280"/>
      <c r="AV505" s="280"/>
      <c r="AW505" s="280"/>
      <c r="AX505" s="280"/>
      <c r="AY505" s="280"/>
      <c r="AZ505" s="280"/>
    </row>
    <row r="506" spans="1:52" ht="12.75" x14ac:dyDescent="0.2">
      <c r="A506" s="280"/>
      <c r="B506" s="280"/>
      <c r="C506" s="280"/>
      <c r="D506" s="280"/>
      <c r="E506" s="280"/>
      <c r="F506" s="280"/>
      <c r="G506" s="280"/>
      <c r="H506" s="280"/>
      <c r="I506" s="280"/>
      <c r="J506" s="280"/>
      <c r="K506" s="280"/>
      <c r="L506" s="280"/>
      <c r="M506" s="280"/>
      <c r="N506" s="280"/>
      <c r="O506" s="280"/>
      <c r="P506" s="280"/>
      <c r="Q506" s="280"/>
      <c r="R506" s="280"/>
      <c r="S506" s="280"/>
      <c r="T506" s="280"/>
      <c r="U506" s="280"/>
      <c r="V506" s="280"/>
      <c r="W506" s="280"/>
      <c r="X506" s="280"/>
      <c r="Y506" s="280"/>
      <c r="Z506" s="280"/>
      <c r="AA506" s="280"/>
      <c r="AB506" s="280"/>
      <c r="AC506" s="280"/>
      <c r="AD506" s="280"/>
      <c r="AE506" s="280"/>
      <c r="AF506" s="280"/>
      <c r="AG506" s="280"/>
      <c r="AH506" s="280"/>
      <c r="AI506" s="280"/>
      <c r="AJ506" s="280"/>
      <c r="AK506" s="280"/>
      <c r="AL506" s="280"/>
      <c r="AM506" s="280"/>
      <c r="AN506" s="280"/>
      <c r="AO506" s="280"/>
      <c r="AP506" s="280"/>
      <c r="AQ506" s="280"/>
      <c r="AR506" s="280"/>
      <c r="AS506" s="280"/>
      <c r="AT506" s="280"/>
      <c r="AU506" s="280"/>
      <c r="AV506" s="280"/>
      <c r="AW506" s="280"/>
      <c r="AX506" s="280"/>
      <c r="AY506" s="280"/>
      <c r="AZ506" s="280"/>
    </row>
    <row r="507" spans="1:52" ht="12.75" x14ac:dyDescent="0.2">
      <c r="A507" s="280"/>
      <c r="B507" s="280"/>
      <c r="C507" s="280"/>
      <c r="D507" s="280"/>
      <c r="E507" s="280"/>
      <c r="F507" s="280"/>
      <c r="G507" s="280"/>
      <c r="H507" s="280"/>
      <c r="I507" s="280"/>
      <c r="J507" s="280"/>
      <c r="K507" s="280"/>
      <c r="L507" s="280"/>
      <c r="M507" s="280"/>
      <c r="N507" s="280"/>
      <c r="O507" s="280"/>
      <c r="P507" s="280"/>
      <c r="Q507" s="280"/>
      <c r="R507" s="280"/>
      <c r="S507" s="280"/>
      <c r="T507" s="280"/>
      <c r="U507" s="280"/>
      <c r="V507" s="280"/>
      <c r="W507" s="280"/>
      <c r="X507" s="280"/>
      <c r="Y507" s="280"/>
      <c r="Z507" s="280"/>
      <c r="AA507" s="280"/>
      <c r="AB507" s="280"/>
      <c r="AC507" s="280"/>
      <c r="AD507" s="280"/>
      <c r="AE507" s="280"/>
      <c r="AF507" s="280"/>
      <c r="AG507" s="280"/>
      <c r="AH507" s="280"/>
      <c r="AI507" s="280"/>
      <c r="AJ507" s="280"/>
      <c r="AK507" s="280"/>
      <c r="AL507" s="280"/>
      <c r="AM507" s="280"/>
      <c r="AN507" s="280"/>
      <c r="AO507" s="280"/>
      <c r="AP507" s="280"/>
      <c r="AQ507" s="280"/>
      <c r="AR507" s="280"/>
      <c r="AS507" s="280"/>
      <c r="AT507" s="280"/>
      <c r="AU507" s="280"/>
      <c r="AV507" s="280"/>
      <c r="AW507" s="280"/>
      <c r="AX507" s="280"/>
      <c r="AY507" s="280"/>
      <c r="AZ507" s="280"/>
    </row>
    <row r="508" spans="1:52" ht="12.75" x14ac:dyDescent="0.2">
      <c r="A508" s="280"/>
      <c r="B508" s="280"/>
      <c r="C508" s="280"/>
      <c r="D508" s="280"/>
      <c r="E508" s="280"/>
      <c r="F508" s="280"/>
      <c r="G508" s="280"/>
      <c r="H508" s="280"/>
      <c r="I508" s="280"/>
      <c r="J508" s="280"/>
      <c r="K508" s="280"/>
      <c r="L508" s="280"/>
      <c r="M508" s="280"/>
      <c r="N508" s="280"/>
      <c r="O508" s="280"/>
      <c r="P508" s="280"/>
      <c r="Q508" s="280"/>
      <c r="R508" s="280"/>
      <c r="S508" s="280"/>
      <c r="T508" s="280"/>
      <c r="U508" s="280"/>
      <c r="V508" s="280"/>
      <c r="W508" s="280"/>
      <c r="X508" s="280"/>
      <c r="Y508" s="280"/>
      <c r="Z508" s="280"/>
      <c r="AA508" s="280"/>
      <c r="AB508" s="280"/>
      <c r="AC508" s="280"/>
      <c r="AD508" s="280"/>
      <c r="AE508" s="280"/>
      <c r="AF508" s="280"/>
      <c r="AG508" s="280"/>
      <c r="AH508" s="280"/>
      <c r="AI508" s="280"/>
      <c r="AJ508" s="280"/>
      <c r="AK508" s="280"/>
      <c r="AL508" s="280"/>
      <c r="AM508" s="280"/>
      <c r="AN508" s="280"/>
      <c r="AO508" s="280"/>
      <c r="AP508" s="280"/>
      <c r="AQ508" s="280"/>
      <c r="AR508" s="280"/>
      <c r="AS508" s="280"/>
      <c r="AT508" s="280"/>
      <c r="AU508" s="280"/>
      <c r="AV508" s="280"/>
      <c r="AW508" s="280"/>
      <c r="AX508" s="280"/>
      <c r="AY508" s="280"/>
      <c r="AZ508" s="280"/>
    </row>
    <row r="509" spans="1:52" ht="12.75" x14ac:dyDescent="0.2">
      <c r="A509" s="280"/>
      <c r="B509" s="280"/>
      <c r="C509" s="280"/>
      <c r="D509" s="280"/>
      <c r="E509" s="280"/>
      <c r="F509" s="280"/>
      <c r="G509" s="280"/>
      <c r="H509" s="280"/>
      <c r="I509" s="280"/>
      <c r="J509" s="280"/>
      <c r="K509" s="280"/>
      <c r="L509" s="280"/>
      <c r="M509" s="280"/>
      <c r="N509" s="280"/>
      <c r="O509" s="280"/>
      <c r="P509" s="280"/>
      <c r="Q509" s="280"/>
      <c r="R509" s="280"/>
      <c r="S509" s="280"/>
      <c r="T509" s="280"/>
      <c r="U509" s="280"/>
      <c r="V509" s="280"/>
      <c r="W509" s="280"/>
      <c r="X509" s="280"/>
      <c r="Y509" s="280"/>
      <c r="Z509" s="280"/>
      <c r="AA509" s="280"/>
      <c r="AB509" s="280"/>
      <c r="AC509" s="280"/>
      <c r="AD509" s="280"/>
      <c r="AE509" s="280"/>
      <c r="AF509" s="280"/>
      <c r="AG509" s="280"/>
      <c r="AH509" s="280"/>
      <c r="AI509" s="280"/>
      <c r="AJ509" s="280"/>
      <c r="AK509" s="280"/>
      <c r="AL509" s="280"/>
      <c r="AM509" s="280"/>
      <c r="AN509" s="280"/>
      <c r="AO509" s="280"/>
      <c r="AP509" s="280"/>
      <c r="AQ509" s="280"/>
      <c r="AR509" s="280"/>
      <c r="AS509" s="280"/>
      <c r="AT509" s="280"/>
      <c r="AU509" s="280"/>
      <c r="AV509" s="280"/>
      <c r="AW509" s="280"/>
      <c r="AX509" s="280"/>
      <c r="AY509" s="280"/>
      <c r="AZ509" s="280"/>
    </row>
    <row r="510" spans="1:52" ht="12.75" x14ac:dyDescent="0.2">
      <c r="A510" s="280"/>
      <c r="B510" s="280"/>
      <c r="C510" s="280"/>
      <c r="D510" s="280"/>
      <c r="E510" s="280"/>
      <c r="F510" s="280"/>
      <c r="G510" s="280"/>
      <c r="H510" s="280"/>
      <c r="I510" s="280"/>
      <c r="J510" s="280"/>
      <c r="K510" s="280"/>
      <c r="L510" s="280"/>
      <c r="M510" s="280"/>
      <c r="N510" s="280"/>
      <c r="O510" s="280"/>
      <c r="P510" s="280"/>
      <c r="Q510" s="280"/>
      <c r="R510" s="280"/>
      <c r="S510" s="280"/>
      <c r="T510" s="280"/>
      <c r="U510" s="280"/>
      <c r="V510" s="280"/>
      <c r="W510" s="280"/>
      <c r="X510" s="280"/>
      <c r="Y510" s="280"/>
      <c r="Z510" s="280"/>
      <c r="AA510" s="280"/>
      <c r="AB510" s="280"/>
      <c r="AC510" s="280"/>
      <c r="AD510" s="280"/>
      <c r="AE510" s="280"/>
      <c r="AF510" s="280"/>
      <c r="AG510" s="280"/>
      <c r="AH510" s="280"/>
      <c r="AI510" s="280"/>
      <c r="AJ510" s="280"/>
      <c r="AK510" s="280"/>
      <c r="AL510" s="280"/>
      <c r="AM510" s="280"/>
      <c r="AN510" s="280"/>
      <c r="AO510" s="280"/>
      <c r="AP510" s="280"/>
      <c r="AQ510" s="280"/>
      <c r="AR510" s="280"/>
      <c r="AS510" s="280"/>
      <c r="AT510" s="280"/>
      <c r="AU510" s="280"/>
      <c r="AV510" s="280"/>
      <c r="AW510" s="280"/>
      <c r="AX510" s="280"/>
      <c r="AY510" s="280"/>
      <c r="AZ510" s="280"/>
    </row>
    <row r="511" spans="1:52" ht="12.75" x14ac:dyDescent="0.2">
      <c r="A511" s="280"/>
      <c r="B511" s="280"/>
      <c r="C511" s="280"/>
      <c r="D511" s="280"/>
      <c r="E511" s="280"/>
      <c r="F511" s="280"/>
      <c r="G511" s="280"/>
      <c r="H511" s="280"/>
      <c r="I511" s="280"/>
      <c r="J511" s="280"/>
      <c r="K511" s="280"/>
      <c r="L511" s="280"/>
      <c r="M511" s="280"/>
      <c r="N511" s="280"/>
      <c r="O511" s="280"/>
      <c r="P511" s="280"/>
      <c r="Q511" s="280"/>
      <c r="R511" s="280"/>
      <c r="S511" s="280"/>
      <c r="T511" s="280"/>
      <c r="U511" s="280"/>
      <c r="V511" s="280"/>
      <c r="W511" s="280"/>
      <c r="X511" s="280"/>
      <c r="Y511" s="280"/>
      <c r="Z511" s="280"/>
      <c r="AA511" s="280"/>
      <c r="AB511" s="280"/>
      <c r="AC511" s="280"/>
      <c r="AD511" s="280"/>
      <c r="AE511" s="280"/>
      <c r="AF511" s="280"/>
      <c r="AG511" s="280"/>
      <c r="AH511" s="280"/>
      <c r="AI511" s="280"/>
      <c r="AJ511" s="280"/>
      <c r="AK511" s="280"/>
      <c r="AL511" s="280"/>
      <c r="AM511" s="280"/>
      <c r="AN511" s="280"/>
      <c r="AO511" s="280"/>
      <c r="AP511" s="280"/>
      <c r="AQ511" s="280"/>
      <c r="AR511" s="280"/>
      <c r="AS511" s="280"/>
      <c r="AT511" s="280"/>
      <c r="AU511" s="280"/>
      <c r="AV511" s="280"/>
      <c r="AW511" s="280"/>
      <c r="AX511" s="280"/>
      <c r="AY511" s="280"/>
      <c r="AZ511" s="280"/>
    </row>
    <row r="512" spans="1:52" ht="12.75" x14ac:dyDescent="0.2">
      <c r="A512" s="280"/>
      <c r="B512" s="280"/>
      <c r="C512" s="280"/>
      <c r="D512" s="280"/>
      <c r="E512" s="280"/>
      <c r="F512" s="280"/>
      <c r="G512" s="280"/>
      <c r="H512" s="280"/>
      <c r="I512" s="280"/>
      <c r="J512" s="280"/>
      <c r="K512" s="280"/>
      <c r="L512" s="280"/>
      <c r="M512" s="280"/>
      <c r="N512" s="280"/>
      <c r="O512" s="280"/>
      <c r="P512" s="280"/>
      <c r="Q512" s="280"/>
      <c r="R512" s="280"/>
      <c r="S512" s="280"/>
      <c r="T512" s="280"/>
      <c r="U512" s="280"/>
      <c r="V512" s="280"/>
      <c r="W512" s="280"/>
      <c r="X512" s="280"/>
      <c r="Y512" s="280"/>
      <c r="Z512" s="280"/>
      <c r="AA512" s="280"/>
      <c r="AB512" s="280"/>
      <c r="AC512" s="280"/>
      <c r="AD512" s="280"/>
      <c r="AE512" s="280"/>
      <c r="AF512" s="280"/>
      <c r="AG512" s="280"/>
      <c r="AH512" s="280"/>
      <c r="AI512" s="280"/>
      <c r="AJ512" s="280"/>
      <c r="AK512" s="280"/>
      <c r="AL512" s="280"/>
      <c r="AM512" s="280"/>
      <c r="AN512" s="280"/>
      <c r="AO512" s="280"/>
      <c r="AP512" s="280"/>
      <c r="AQ512" s="280"/>
      <c r="AR512" s="280"/>
      <c r="AS512" s="280"/>
      <c r="AT512" s="280"/>
      <c r="AU512" s="280"/>
      <c r="AV512" s="280"/>
      <c r="AW512" s="280"/>
      <c r="AX512" s="280"/>
      <c r="AY512" s="280"/>
      <c r="AZ512" s="280"/>
    </row>
    <row r="513" spans="1:52" ht="12.75" x14ac:dyDescent="0.2">
      <c r="A513" s="280"/>
      <c r="B513" s="280"/>
      <c r="C513" s="280"/>
      <c r="D513" s="280"/>
      <c r="E513" s="280"/>
      <c r="F513" s="280"/>
      <c r="G513" s="280"/>
      <c r="H513" s="280"/>
      <c r="I513" s="280"/>
      <c r="J513" s="280"/>
      <c r="K513" s="280"/>
      <c r="L513" s="280"/>
      <c r="M513" s="280"/>
      <c r="N513" s="280"/>
      <c r="O513" s="280"/>
      <c r="P513" s="280"/>
      <c r="Q513" s="280"/>
      <c r="R513" s="280"/>
      <c r="S513" s="280"/>
      <c r="T513" s="280"/>
      <c r="U513" s="280"/>
      <c r="V513" s="280"/>
      <c r="W513" s="280"/>
      <c r="X513" s="280"/>
      <c r="Y513" s="280"/>
      <c r="Z513" s="280"/>
      <c r="AA513" s="280"/>
      <c r="AB513" s="280"/>
      <c r="AC513" s="280"/>
      <c r="AD513" s="280"/>
      <c r="AE513" s="280"/>
      <c r="AF513" s="280"/>
      <c r="AG513" s="280"/>
      <c r="AH513" s="280"/>
      <c r="AI513" s="280"/>
      <c r="AJ513" s="280"/>
      <c r="AK513" s="280"/>
      <c r="AL513" s="280"/>
      <c r="AM513" s="280"/>
      <c r="AN513" s="280"/>
      <c r="AO513" s="280"/>
      <c r="AP513" s="280"/>
      <c r="AQ513" s="280"/>
      <c r="AR513" s="280"/>
      <c r="AS513" s="280"/>
      <c r="AT513" s="280"/>
      <c r="AU513" s="280"/>
      <c r="AV513" s="280"/>
      <c r="AW513" s="280"/>
      <c r="AX513" s="280"/>
      <c r="AY513" s="280"/>
      <c r="AZ513" s="280"/>
    </row>
    <row r="514" spans="1:52" ht="12.75" x14ac:dyDescent="0.2">
      <c r="A514" s="280"/>
      <c r="B514" s="280"/>
      <c r="C514" s="280"/>
      <c r="D514" s="280"/>
      <c r="E514" s="280"/>
      <c r="F514" s="280"/>
      <c r="G514" s="280"/>
      <c r="H514" s="280"/>
      <c r="I514" s="280"/>
      <c r="J514" s="280"/>
      <c r="K514" s="280"/>
      <c r="L514" s="280"/>
      <c r="M514" s="280"/>
      <c r="N514" s="280"/>
      <c r="O514" s="280"/>
      <c r="P514" s="280"/>
      <c r="Q514" s="280"/>
      <c r="R514" s="280"/>
      <c r="S514" s="280"/>
      <c r="T514" s="280"/>
      <c r="U514" s="280"/>
      <c r="V514" s="280"/>
      <c r="W514" s="280"/>
      <c r="X514" s="280"/>
      <c r="Y514" s="280"/>
      <c r="Z514" s="280"/>
      <c r="AA514" s="280"/>
      <c r="AB514" s="280"/>
      <c r="AC514" s="280"/>
      <c r="AD514" s="280"/>
      <c r="AE514" s="280"/>
      <c r="AF514" s="280"/>
      <c r="AG514" s="280"/>
      <c r="AH514" s="280"/>
      <c r="AI514" s="280"/>
      <c r="AJ514" s="280"/>
      <c r="AK514" s="280"/>
      <c r="AL514" s="280"/>
      <c r="AM514" s="280"/>
      <c r="AN514" s="280"/>
      <c r="AO514" s="280"/>
      <c r="AP514" s="280"/>
      <c r="AQ514" s="280"/>
      <c r="AR514" s="280"/>
      <c r="AS514" s="280"/>
      <c r="AT514" s="280"/>
      <c r="AU514" s="280"/>
      <c r="AV514" s="280"/>
      <c r="AW514" s="280"/>
      <c r="AX514" s="280"/>
      <c r="AY514" s="280"/>
      <c r="AZ514" s="280"/>
    </row>
    <row r="515" spans="1:52" ht="12.75" x14ac:dyDescent="0.2">
      <c r="A515" s="280"/>
      <c r="B515" s="280"/>
      <c r="C515" s="280"/>
      <c r="D515" s="280"/>
      <c r="E515" s="280"/>
      <c r="F515" s="280"/>
      <c r="G515" s="280"/>
      <c r="H515" s="280"/>
      <c r="I515" s="280"/>
      <c r="J515" s="280"/>
      <c r="K515" s="280"/>
      <c r="L515" s="280"/>
      <c r="M515" s="280"/>
      <c r="N515" s="280"/>
      <c r="O515" s="280"/>
      <c r="P515" s="280"/>
      <c r="Q515" s="280"/>
      <c r="R515" s="280"/>
      <c r="S515" s="280"/>
      <c r="T515" s="280"/>
      <c r="U515" s="280"/>
      <c r="V515" s="280"/>
      <c r="W515" s="280"/>
      <c r="X515" s="280"/>
      <c r="Y515" s="280"/>
      <c r="Z515" s="280"/>
      <c r="AA515" s="280"/>
      <c r="AB515" s="280"/>
      <c r="AC515" s="280"/>
      <c r="AD515" s="280"/>
      <c r="AE515" s="280"/>
      <c r="AF515" s="280"/>
      <c r="AG515" s="280"/>
      <c r="AH515" s="280"/>
      <c r="AI515" s="280"/>
      <c r="AJ515" s="280"/>
      <c r="AK515" s="280"/>
      <c r="AL515" s="280"/>
      <c r="AM515" s="280"/>
      <c r="AN515" s="280"/>
      <c r="AO515" s="280"/>
      <c r="AP515" s="280"/>
      <c r="AQ515" s="280"/>
      <c r="AR515" s="280"/>
      <c r="AS515" s="280"/>
      <c r="AT515" s="280"/>
      <c r="AU515" s="280"/>
      <c r="AV515" s="280"/>
      <c r="AW515" s="280"/>
      <c r="AX515" s="280"/>
      <c r="AY515" s="280"/>
      <c r="AZ515" s="280"/>
    </row>
    <row r="516" spans="1:52" ht="12.75" x14ac:dyDescent="0.2">
      <c r="A516" s="280"/>
      <c r="B516" s="280"/>
      <c r="C516" s="280"/>
      <c r="D516" s="280"/>
      <c r="E516" s="280"/>
      <c r="F516" s="280"/>
      <c r="G516" s="280"/>
      <c r="H516" s="280"/>
      <c r="I516" s="280"/>
      <c r="J516" s="280"/>
      <c r="K516" s="280"/>
      <c r="L516" s="280"/>
      <c r="M516" s="280"/>
      <c r="N516" s="280"/>
      <c r="O516" s="280"/>
      <c r="P516" s="280"/>
      <c r="Q516" s="280"/>
      <c r="R516" s="280"/>
      <c r="S516" s="280"/>
      <c r="T516" s="280"/>
      <c r="U516" s="280"/>
      <c r="V516" s="280"/>
      <c r="W516" s="280"/>
      <c r="X516" s="280"/>
      <c r="Y516" s="280"/>
      <c r="Z516" s="280"/>
      <c r="AA516" s="280"/>
      <c r="AB516" s="280"/>
      <c r="AC516" s="280"/>
      <c r="AD516" s="280"/>
      <c r="AE516" s="280"/>
      <c r="AF516" s="280"/>
      <c r="AG516" s="280"/>
      <c r="AH516" s="280"/>
      <c r="AI516" s="280"/>
      <c r="AJ516" s="280"/>
      <c r="AK516" s="280"/>
      <c r="AL516" s="280"/>
      <c r="AM516" s="280"/>
      <c r="AN516" s="280"/>
      <c r="AO516" s="280"/>
      <c r="AP516" s="280"/>
      <c r="AQ516" s="280"/>
      <c r="AR516" s="280"/>
      <c r="AS516" s="280"/>
      <c r="AT516" s="280"/>
      <c r="AU516" s="280"/>
      <c r="AV516" s="280"/>
      <c r="AW516" s="280"/>
      <c r="AX516" s="280"/>
      <c r="AY516" s="280"/>
      <c r="AZ516" s="280"/>
    </row>
    <row r="517" spans="1:52" ht="12.75" x14ac:dyDescent="0.2">
      <c r="A517" s="280"/>
      <c r="B517" s="280"/>
      <c r="C517" s="280"/>
      <c r="D517" s="280"/>
      <c r="E517" s="280"/>
      <c r="F517" s="280"/>
      <c r="G517" s="280"/>
      <c r="H517" s="280"/>
      <c r="I517" s="280"/>
      <c r="J517" s="280"/>
      <c r="K517" s="280"/>
      <c r="L517" s="280"/>
      <c r="M517" s="280"/>
      <c r="N517" s="280"/>
      <c r="O517" s="280"/>
      <c r="P517" s="280"/>
      <c r="Q517" s="280"/>
      <c r="R517" s="280"/>
      <c r="S517" s="280"/>
      <c r="T517" s="280"/>
      <c r="U517" s="280"/>
      <c r="V517" s="280"/>
      <c r="W517" s="280"/>
      <c r="X517" s="280"/>
      <c r="Y517" s="280"/>
      <c r="Z517" s="280"/>
      <c r="AA517" s="280"/>
      <c r="AB517" s="280"/>
      <c r="AC517" s="280"/>
      <c r="AD517" s="280"/>
      <c r="AE517" s="280"/>
      <c r="AF517" s="280"/>
      <c r="AG517" s="280"/>
      <c r="AH517" s="280"/>
      <c r="AI517" s="280"/>
      <c r="AJ517" s="280"/>
      <c r="AK517" s="280"/>
      <c r="AL517" s="280"/>
      <c r="AM517" s="280"/>
      <c r="AN517" s="280"/>
      <c r="AO517" s="280"/>
      <c r="AP517" s="280"/>
      <c r="AQ517" s="280"/>
      <c r="AR517" s="280"/>
      <c r="AS517" s="280"/>
      <c r="AT517" s="280"/>
      <c r="AU517" s="280"/>
      <c r="AV517" s="280"/>
      <c r="AW517" s="280"/>
      <c r="AX517" s="280"/>
      <c r="AY517" s="280"/>
      <c r="AZ517" s="280"/>
    </row>
    <row r="518" spans="1:52" ht="12.75" x14ac:dyDescent="0.2">
      <c r="A518" s="280"/>
      <c r="B518" s="280"/>
      <c r="C518" s="280"/>
      <c r="D518" s="280"/>
      <c r="E518" s="280"/>
      <c r="F518" s="280"/>
      <c r="G518" s="280"/>
      <c r="H518" s="280"/>
      <c r="I518" s="280"/>
      <c r="J518" s="280"/>
      <c r="K518" s="280"/>
      <c r="L518" s="280"/>
      <c r="M518" s="280"/>
      <c r="N518" s="280"/>
      <c r="O518" s="280"/>
      <c r="P518" s="280"/>
      <c r="Q518" s="280"/>
      <c r="R518" s="280"/>
      <c r="S518" s="280"/>
      <c r="T518" s="280"/>
      <c r="U518" s="280"/>
      <c r="V518" s="280"/>
      <c r="W518" s="280"/>
      <c r="X518" s="280"/>
      <c r="Y518" s="280"/>
      <c r="Z518" s="280"/>
      <c r="AA518" s="280"/>
      <c r="AB518" s="280"/>
      <c r="AC518" s="280"/>
      <c r="AD518" s="280"/>
      <c r="AE518" s="280"/>
      <c r="AF518" s="280"/>
      <c r="AG518" s="280"/>
      <c r="AH518" s="280"/>
      <c r="AI518" s="280"/>
      <c r="AJ518" s="280"/>
      <c r="AK518" s="280"/>
      <c r="AL518" s="280"/>
      <c r="AM518" s="280"/>
      <c r="AN518" s="280"/>
      <c r="AO518" s="280"/>
      <c r="AP518" s="280"/>
      <c r="AQ518" s="280"/>
      <c r="AR518" s="280"/>
      <c r="AS518" s="280"/>
      <c r="AT518" s="280"/>
      <c r="AU518" s="280"/>
      <c r="AV518" s="280"/>
      <c r="AW518" s="280"/>
      <c r="AX518" s="280"/>
      <c r="AY518" s="280"/>
      <c r="AZ518" s="280"/>
    </row>
    <row r="519" spans="1:52" ht="12.75" x14ac:dyDescent="0.2">
      <c r="A519" s="280"/>
      <c r="B519" s="280"/>
      <c r="C519" s="280"/>
      <c r="D519" s="280"/>
      <c r="E519" s="280"/>
      <c r="F519" s="280"/>
      <c r="G519" s="280"/>
      <c r="H519" s="280"/>
      <c r="I519" s="280"/>
      <c r="J519" s="280"/>
      <c r="K519" s="280"/>
      <c r="L519" s="280"/>
      <c r="M519" s="280"/>
      <c r="N519" s="280"/>
      <c r="O519" s="280"/>
      <c r="P519" s="280"/>
      <c r="Q519" s="280"/>
      <c r="R519" s="280"/>
      <c r="S519" s="280"/>
      <c r="T519" s="280"/>
      <c r="U519" s="280"/>
      <c r="V519" s="280"/>
      <c r="W519" s="280"/>
      <c r="X519" s="280"/>
      <c r="Y519" s="280"/>
      <c r="Z519" s="280"/>
      <c r="AA519" s="280"/>
      <c r="AB519" s="280"/>
      <c r="AC519" s="280"/>
      <c r="AD519" s="280"/>
      <c r="AE519" s="280"/>
      <c r="AF519" s="280"/>
      <c r="AG519" s="280"/>
      <c r="AH519" s="280"/>
      <c r="AI519" s="280"/>
      <c r="AJ519" s="280"/>
      <c r="AK519" s="280"/>
      <c r="AL519" s="280"/>
      <c r="AM519" s="280"/>
      <c r="AN519" s="280"/>
      <c r="AO519" s="280"/>
      <c r="AP519" s="280"/>
      <c r="AQ519" s="280"/>
      <c r="AR519" s="280"/>
      <c r="AS519" s="280"/>
      <c r="AT519" s="280"/>
      <c r="AU519" s="280"/>
      <c r="AV519" s="280"/>
      <c r="AW519" s="280"/>
      <c r="AX519" s="280"/>
      <c r="AY519" s="280"/>
      <c r="AZ519" s="280"/>
    </row>
    <row r="520" spans="1:52" ht="12.75" x14ac:dyDescent="0.2">
      <c r="A520" s="280"/>
      <c r="B520" s="280"/>
      <c r="C520" s="280"/>
      <c r="D520" s="280"/>
      <c r="E520" s="280"/>
      <c r="F520" s="280"/>
      <c r="G520" s="280"/>
      <c r="H520" s="280"/>
      <c r="I520" s="280"/>
      <c r="J520" s="280"/>
      <c r="K520" s="280"/>
      <c r="L520" s="280"/>
      <c r="M520" s="280"/>
      <c r="N520" s="280"/>
      <c r="O520" s="280"/>
      <c r="P520" s="280"/>
      <c r="Q520" s="280"/>
      <c r="R520" s="280"/>
      <c r="S520" s="280"/>
      <c r="T520" s="280"/>
      <c r="U520" s="280"/>
      <c r="V520" s="280"/>
      <c r="W520" s="280"/>
      <c r="X520" s="280"/>
      <c r="Y520" s="280"/>
      <c r="Z520" s="280"/>
      <c r="AA520" s="280"/>
      <c r="AB520" s="280"/>
      <c r="AC520" s="280"/>
      <c r="AD520" s="280"/>
      <c r="AE520" s="280"/>
      <c r="AF520" s="280"/>
      <c r="AG520" s="280"/>
      <c r="AH520" s="280"/>
      <c r="AI520" s="280"/>
      <c r="AJ520" s="280"/>
      <c r="AK520" s="280"/>
      <c r="AL520" s="280"/>
      <c r="AM520" s="280"/>
      <c r="AN520" s="280"/>
      <c r="AO520" s="280"/>
      <c r="AP520" s="280"/>
      <c r="AQ520" s="280"/>
      <c r="AR520" s="280"/>
      <c r="AS520" s="280"/>
      <c r="AT520" s="280"/>
      <c r="AU520" s="280"/>
      <c r="AV520" s="280"/>
      <c r="AW520" s="280"/>
      <c r="AX520" s="280"/>
      <c r="AY520" s="280"/>
      <c r="AZ520" s="280"/>
    </row>
    <row r="521" spans="1:52" ht="12.75" x14ac:dyDescent="0.2">
      <c r="A521" s="280"/>
      <c r="B521" s="280"/>
      <c r="C521" s="280"/>
      <c r="D521" s="280"/>
      <c r="E521" s="280"/>
      <c r="F521" s="280"/>
      <c r="G521" s="280"/>
      <c r="H521" s="280"/>
      <c r="I521" s="280"/>
      <c r="J521" s="280"/>
      <c r="K521" s="280"/>
      <c r="L521" s="280"/>
      <c r="M521" s="280"/>
      <c r="N521" s="280"/>
      <c r="O521" s="280"/>
      <c r="P521" s="280"/>
      <c r="Q521" s="280"/>
      <c r="R521" s="280"/>
      <c r="S521" s="280"/>
      <c r="T521" s="280"/>
      <c r="U521" s="280"/>
      <c r="V521" s="280"/>
      <c r="W521" s="280"/>
      <c r="X521" s="280"/>
      <c r="Y521" s="280"/>
      <c r="Z521" s="280"/>
      <c r="AA521" s="280"/>
      <c r="AB521" s="280"/>
      <c r="AC521" s="280"/>
      <c r="AD521" s="280"/>
      <c r="AE521" s="280"/>
      <c r="AF521" s="280"/>
      <c r="AG521" s="280"/>
      <c r="AH521" s="280"/>
      <c r="AI521" s="280"/>
      <c r="AJ521" s="280"/>
      <c r="AK521" s="280"/>
      <c r="AL521" s="280"/>
      <c r="AM521" s="280"/>
      <c r="AN521" s="280"/>
      <c r="AO521" s="280"/>
      <c r="AP521" s="280"/>
      <c r="AQ521" s="280"/>
      <c r="AR521" s="280"/>
      <c r="AS521" s="280"/>
      <c r="AT521" s="280"/>
      <c r="AU521" s="280"/>
      <c r="AV521" s="280"/>
      <c r="AW521" s="280"/>
      <c r="AX521" s="280"/>
      <c r="AY521" s="280"/>
      <c r="AZ521" s="280"/>
    </row>
    <row r="522" spans="1:52" ht="12.75" x14ac:dyDescent="0.2">
      <c r="A522" s="280"/>
      <c r="B522" s="280"/>
      <c r="C522" s="280"/>
      <c r="D522" s="280"/>
      <c r="E522" s="280"/>
      <c r="F522" s="280"/>
      <c r="G522" s="280"/>
      <c r="H522" s="280"/>
      <c r="I522" s="280"/>
      <c r="J522" s="280"/>
      <c r="K522" s="280"/>
      <c r="L522" s="280"/>
      <c r="M522" s="280"/>
      <c r="N522" s="280"/>
      <c r="O522" s="280"/>
      <c r="P522" s="280"/>
      <c r="Q522" s="280"/>
      <c r="R522" s="280"/>
      <c r="S522" s="280"/>
      <c r="T522" s="280"/>
      <c r="U522" s="280"/>
      <c r="V522" s="280"/>
      <c r="W522" s="280"/>
      <c r="X522" s="280"/>
      <c r="Y522" s="280"/>
      <c r="Z522" s="280"/>
      <c r="AA522" s="280"/>
      <c r="AB522" s="280"/>
      <c r="AC522" s="280"/>
      <c r="AD522" s="280"/>
      <c r="AE522" s="280"/>
      <c r="AF522" s="280"/>
      <c r="AG522" s="280"/>
      <c r="AH522" s="280"/>
      <c r="AI522" s="280"/>
      <c r="AJ522" s="280"/>
      <c r="AK522" s="280"/>
      <c r="AL522" s="280"/>
      <c r="AM522" s="280"/>
      <c r="AN522" s="280"/>
      <c r="AO522" s="280"/>
      <c r="AP522" s="280"/>
      <c r="AQ522" s="280"/>
      <c r="AR522" s="280"/>
      <c r="AS522" s="280"/>
      <c r="AT522" s="280"/>
      <c r="AU522" s="280"/>
      <c r="AV522" s="280"/>
      <c r="AW522" s="280"/>
      <c r="AX522" s="280"/>
      <c r="AY522" s="280"/>
      <c r="AZ522" s="280"/>
    </row>
    <row r="523" spans="1:52" ht="12.75" x14ac:dyDescent="0.2">
      <c r="A523" s="280"/>
      <c r="B523" s="280"/>
      <c r="C523" s="280"/>
      <c r="D523" s="280"/>
      <c r="E523" s="280"/>
      <c r="F523" s="280"/>
      <c r="G523" s="280"/>
      <c r="H523" s="280"/>
      <c r="I523" s="280"/>
      <c r="J523" s="280"/>
      <c r="K523" s="280"/>
      <c r="L523" s="280"/>
      <c r="M523" s="280"/>
      <c r="N523" s="280"/>
      <c r="O523" s="280"/>
      <c r="P523" s="280"/>
      <c r="Q523" s="280"/>
      <c r="R523" s="280"/>
      <c r="S523" s="280"/>
      <c r="T523" s="280"/>
      <c r="U523" s="280"/>
      <c r="V523" s="280"/>
      <c r="W523" s="280"/>
      <c r="X523" s="280"/>
      <c r="Y523" s="280"/>
      <c r="Z523" s="280"/>
      <c r="AA523" s="280"/>
      <c r="AB523" s="280"/>
      <c r="AC523" s="280"/>
      <c r="AD523" s="280"/>
      <c r="AE523" s="280"/>
      <c r="AF523" s="280"/>
      <c r="AG523" s="280"/>
      <c r="AH523" s="280"/>
      <c r="AI523" s="280"/>
      <c r="AJ523" s="280"/>
      <c r="AK523" s="280"/>
      <c r="AL523" s="280"/>
      <c r="AM523" s="280"/>
      <c r="AN523" s="280"/>
      <c r="AO523" s="280"/>
      <c r="AP523" s="280"/>
      <c r="AQ523" s="280"/>
      <c r="AR523" s="280"/>
      <c r="AS523" s="280"/>
      <c r="AT523" s="280"/>
      <c r="AU523" s="280"/>
      <c r="AV523" s="280"/>
      <c r="AW523" s="280"/>
      <c r="AX523" s="280"/>
      <c r="AY523" s="280"/>
      <c r="AZ523" s="280"/>
    </row>
    <row r="524" spans="1:52" ht="12.75" x14ac:dyDescent="0.2">
      <c r="A524" s="280"/>
      <c r="B524" s="280"/>
      <c r="C524" s="280"/>
      <c r="D524" s="280"/>
      <c r="E524" s="280"/>
      <c r="F524" s="280"/>
      <c r="G524" s="280"/>
      <c r="H524" s="280"/>
      <c r="I524" s="280"/>
      <c r="J524" s="280"/>
      <c r="K524" s="280"/>
      <c r="L524" s="280"/>
      <c r="M524" s="280"/>
      <c r="N524" s="280"/>
      <c r="O524" s="280"/>
      <c r="P524" s="280"/>
      <c r="Q524" s="280"/>
      <c r="R524" s="280"/>
      <c r="S524" s="280"/>
      <c r="T524" s="280"/>
      <c r="U524" s="280"/>
      <c r="V524" s="280"/>
      <c r="W524" s="280"/>
      <c r="X524" s="280"/>
      <c r="Y524" s="280"/>
      <c r="Z524" s="280"/>
      <c r="AA524" s="280"/>
      <c r="AB524" s="280"/>
      <c r="AC524" s="280"/>
      <c r="AD524" s="280"/>
      <c r="AE524" s="280"/>
      <c r="AF524" s="280"/>
      <c r="AG524" s="280"/>
      <c r="AH524" s="280"/>
      <c r="AI524" s="280"/>
      <c r="AJ524" s="280"/>
      <c r="AK524" s="280"/>
      <c r="AL524" s="280"/>
      <c r="AM524" s="280"/>
      <c r="AN524" s="280"/>
      <c r="AO524" s="280"/>
      <c r="AP524" s="280"/>
      <c r="AQ524" s="280"/>
      <c r="AR524" s="280"/>
      <c r="AS524" s="280"/>
      <c r="AT524" s="280"/>
      <c r="AU524" s="280"/>
      <c r="AV524" s="280"/>
      <c r="AW524" s="280"/>
      <c r="AX524" s="280"/>
      <c r="AY524" s="280"/>
      <c r="AZ524" s="280"/>
    </row>
    <row r="525" spans="1:52" ht="12.75" x14ac:dyDescent="0.2">
      <c r="A525" s="280"/>
      <c r="B525" s="280"/>
      <c r="C525" s="280"/>
      <c r="D525" s="280"/>
      <c r="E525" s="280"/>
      <c r="F525" s="280"/>
      <c r="G525" s="280"/>
      <c r="H525" s="280"/>
      <c r="I525" s="280"/>
      <c r="J525" s="280"/>
      <c r="K525" s="280"/>
      <c r="L525" s="280"/>
      <c r="M525" s="280"/>
      <c r="N525" s="280"/>
      <c r="O525" s="280"/>
      <c r="P525" s="280"/>
      <c r="Q525" s="280"/>
      <c r="R525" s="280"/>
      <c r="S525" s="280"/>
      <c r="T525" s="280"/>
      <c r="U525" s="280"/>
      <c r="V525" s="280"/>
      <c r="W525" s="280"/>
      <c r="X525" s="280"/>
      <c r="Y525" s="280"/>
      <c r="Z525" s="280"/>
      <c r="AA525" s="280"/>
      <c r="AB525" s="280"/>
      <c r="AC525" s="280"/>
      <c r="AD525" s="280"/>
      <c r="AE525" s="280"/>
      <c r="AF525" s="280"/>
      <c r="AG525" s="280"/>
      <c r="AH525" s="280"/>
      <c r="AI525" s="280"/>
      <c r="AJ525" s="280"/>
      <c r="AK525" s="280"/>
      <c r="AL525" s="280"/>
      <c r="AM525" s="280"/>
      <c r="AN525" s="280"/>
      <c r="AO525" s="280"/>
      <c r="AP525" s="280"/>
      <c r="AQ525" s="280"/>
      <c r="AR525" s="280"/>
      <c r="AS525" s="280"/>
      <c r="AT525" s="280"/>
      <c r="AU525" s="280"/>
      <c r="AV525" s="280"/>
      <c r="AW525" s="280"/>
      <c r="AX525" s="280"/>
      <c r="AY525" s="280"/>
      <c r="AZ525" s="280"/>
    </row>
    <row r="526" spans="1:52" ht="12.75" x14ac:dyDescent="0.2">
      <c r="A526" s="280"/>
      <c r="B526" s="280"/>
      <c r="C526" s="280"/>
      <c r="D526" s="280"/>
      <c r="E526" s="280"/>
      <c r="F526" s="280"/>
      <c r="G526" s="280"/>
      <c r="H526" s="280"/>
      <c r="I526" s="280"/>
      <c r="J526" s="280"/>
      <c r="K526" s="280"/>
      <c r="L526" s="280"/>
      <c r="M526" s="280"/>
      <c r="N526" s="280"/>
      <c r="O526" s="280"/>
      <c r="P526" s="280"/>
      <c r="Q526" s="280"/>
      <c r="R526" s="280"/>
      <c r="S526" s="280"/>
      <c r="T526" s="280"/>
      <c r="U526" s="280"/>
      <c r="V526" s="280"/>
      <c r="W526" s="280"/>
      <c r="X526" s="280"/>
      <c r="Y526" s="280"/>
      <c r="Z526" s="280"/>
      <c r="AA526" s="280"/>
      <c r="AB526" s="280"/>
      <c r="AC526" s="280"/>
      <c r="AD526" s="280"/>
      <c r="AE526" s="280"/>
      <c r="AF526" s="280"/>
      <c r="AG526" s="280"/>
      <c r="AH526" s="280"/>
      <c r="AI526" s="280"/>
      <c r="AJ526" s="280"/>
      <c r="AK526" s="280"/>
      <c r="AL526" s="280"/>
      <c r="AM526" s="280"/>
      <c r="AN526" s="280"/>
      <c r="AO526" s="280"/>
      <c r="AP526" s="280"/>
      <c r="AQ526" s="280"/>
      <c r="AR526" s="280"/>
      <c r="AS526" s="280"/>
      <c r="AT526" s="280"/>
      <c r="AU526" s="280"/>
      <c r="AV526" s="280"/>
      <c r="AW526" s="280"/>
      <c r="AX526" s="280"/>
      <c r="AY526" s="280"/>
      <c r="AZ526" s="280"/>
    </row>
    <row r="527" spans="1:52" ht="12.75" x14ac:dyDescent="0.2">
      <c r="A527" s="280"/>
      <c r="B527" s="280"/>
      <c r="C527" s="280"/>
      <c r="D527" s="280"/>
      <c r="E527" s="280"/>
      <c r="F527" s="280"/>
      <c r="G527" s="280"/>
      <c r="H527" s="280"/>
      <c r="I527" s="280"/>
      <c r="J527" s="280"/>
      <c r="K527" s="280"/>
      <c r="L527" s="280"/>
      <c r="M527" s="280"/>
      <c r="N527" s="280"/>
      <c r="O527" s="280"/>
      <c r="P527" s="280"/>
      <c r="Q527" s="280"/>
      <c r="R527" s="280"/>
      <c r="S527" s="280"/>
      <c r="T527" s="280"/>
      <c r="U527" s="280"/>
      <c r="V527" s="280"/>
      <c r="W527" s="280"/>
      <c r="X527" s="280"/>
      <c r="Y527" s="280"/>
      <c r="Z527" s="280"/>
      <c r="AA527" s="280"/>
      <c r="AB527" s="280"/>
      <c r="AC527" s="280"/>
      <c r="AD527" s="280"/>
      <c r="AE527" s="280"/>
      <c r="AF527" s="280"/>
      <c r="AG527" s="280"/>
      <c r="AH527" s="280"/>
      <c r="AI527" s="280"/>
      <c r="AJ527" s="280"/>
      <c r="AK527" s="280"/>
      <c r="AL527" s="280"/>
      <c r="AM527" s="280"/>
      <c r="AN527" s="280"/>
      <c r="AO527" s="280"/>
      <c r="AP527" s="280"/>
      <c r="AQ527" s="280"/>
      <c r="AR527" s="280"/>
      <c r="AS527" s="280"/>
      <c r="AT527" s="280"/>
      <c r="AU527" s="280"/>
      <c r="AV527" s="280"/>
      <c r="AW527" s="280"/>
      <c r="AX527" s="280"/>
      <c r="AY527" s="280"/>
      <c r="AZ527" s="280"/>
    </row>
    <row r="528" spans="1:52" ht="12.75" x14ac:dyDescent="0.2">
      <c r="A528" s="280"/>
      <c r="B528" s="280"/>
      <c r="C528" s="280"/>
      <c r="D528" s="280"/>
      <c r="E528" s="280"/>
      <c r="F528" s="280"/>
      <c r="G528" s="280"/>
      <c r="H528" s="280"/>
      <c r="I528" s="280"/>
      <c r="J528" s="280"/>
      <c r="K528" s="280"/>
      <c r="L528" s="280"/>
      <c r="M528" s="280"/>
      <c r="N528" s="280"/>
      <c r="O528" s="280"/>
      <c r="P528" s="280"/>
      <c r="Q528" s="280"/>
      <c r="R528" s="280"/>
      <c r="S528" s="280"/>
      <c r="T528" s="280"/>
      <c r="U528" s="280"/>
      <c r="V528" s="280"/>
      <c r="W528" s="280"/>
      <c r="X528" s="280"/>
      <c r="Y528" s="280"/>
      <c r="Z528" s="280"/>
      <c r="AA528" s="280"/>
      <c r="AB528" s="280"/>
      <c r="AC528" s="280"/>
      <c r="AD528" s="280"/>
      <c r="AE528" s="280"/>
      <c r="AF528" s="280"/>
      <c r="AG528" s="280"/>
      <c r="AH528" s="280"/>
      <c r="AI528" s="280"/>
      <c r="AJ528" s="280"/>
      <c r="AK528" s="280"/>
      <c r="AL528" s="280"/>
      <c r="AM528" s="280"/>
      <c r="AN528" s="280"/>
      <c r="AO528" s="280"/>
      <c r="AP528" s="280"/>
      <c r="AQ528" s="280"/>
      <c r="AR528" s="280"/>
      <c r="AS528" s="280"/>
      <c r="AT528" s="280"/>
      <c r="AU528" s="280"/>
      <c r="AV528" s="280"/>
      <c r="AW528" s="280"/>
      <c r="AX528" s="280"/>
      <c r="AY528" s="280"/>
      <c r="AZ528" s="280"/>
    </row>
    <row r="529" spans="1:52" ht="12.75" x14ac:dyDescent="0.2">
      <c r="A529" s="280"/>
      <c r="B529" s="280"/>
      <c r="C529" s="280"/>
      <c r="D529" s="280"/>
      <c r="E529" s="280"/>
      <c r="F529" s="280"/>
      <c r="G529" s="280"/>
      <c r="H529" s="280"/>
      <c r="I529" s="280"/>
      <c r="J529" s="280"/>
      <c r="K529" s="280"/>
      <c r="L529" s="280"/>
      <c r="M529" s="280"/>
      <c r="N529" s="280"/>
      <c r="O529" s="280"/>
      <c r="P529" s="280"/>
      <c r="Q529" s="280"/>
      <c r="R529" s="280"/>
      <c r="S529" s="280"/>
      <c r="T529" s="280"/>
      <c r="U529" s="280"/>
      <c r="V529" s="280"/>
      <c r="W529" s="280"/>
      <c r="X529" s="280"/>
      <c r="Y529" s="280"/>
      <c r="Z529" s="280"/>
      <c r="AA529" s="280"/>
      <c r="AB529" s="280"/>
      <c r="AC529" s="280"/>
      <c r="AD529" s="280"/>
      <c r="AE529" s="280"/>
      <c r="AF529" s="280"/>
      <c r="AG529" s="280"/>
      <c r="AH529" s="280"/>
      <c r="AI529" s="280"/>
      <c r="AJ529" s="280"/>
      <c r="AK529" s="280"/>
      <c r="AL529" s="280"/>
      <c r="AM529" s="280"/>
      <c r="AN529" s="280"/>
      <c r="AO529" s="280"/>
      <c r="AP529" s="280"/>
      <c r="AQ529" s="280"/>
      <c r="AR529" s="280"/>
      <c r="AS529" s="280"/>
      <c r="AT529" s="280"/>
      <c r="AU529" s="280"/>
      <c r="AV529" s="280"/>
      <c r="AW529" s="280"/>
      <c r="AX529" s="280"/>
      <c r="AY529" s="280"/>
      <c r="AZ529" s="280"/>
    </row>
    <row r="530" spans="1:52" ht="12.75" x14ac:dyDescent="0.2">
      <c r="A530" s="280"/>
      <c r="B530" s="280"/>
      <c r="C530" s="280"/>
      <c r="D530" s="280"/>
      <c r="E530" s="280"/>
      <c r="F530" s="280"/>
      <c r="G530" s="280"/>
      <c r="H530" s="280"/>
      <c r="I530" s="280"/>
      <c r="J530" s="280"/>
      <c r="K530" s="280"/>
      <c r="L530" s="280"/>
      <c r="M530" s="280"/>
      <c r="N530" s="280"/>
      <c r="O530" s="280"/>
      <c r="P530" s="280"/>
      <c r="Q530" s="280"/>
      <c r="R530" s="280"/>
      <c r="S530" s="280"/>
      <c r="T530" s="280"/>
      <c r="U530" s="280"/>
      <c r="V530" s="280"/>
      <c r="W530" s="280"/>
      <c r="X530" s="280"/>
      <c r="Y530" s="280"/>
      <c r="Z530" s="280"/>
      <c r="AA530" s="280"/>
      <c r="AB530" s="280"/>
      <c r="AC530" s="280"/>
      <c r="AD530" s="280"/>
      <c r="AE530" s="280"/>
      <c r="AF530" s="280"/>
      <c r="AG530" s="280"/>
      <c r="AH530" s="280"/>
      <c r="AI530" s="280"/>
      <c r="AJ530" s="280"/>
      <c r="AK530" s="280"/>
      <c r="AL530" s="280"/>
      <c r="AM530" s="280"/>
      <c r="AN530" s="280"/>
      <c r="AO530" s="280"/>
      <c r="AP530" s="280"/>
      <c r="AQ530" s="280"/>
      <c r="AR530" s="280"/>
      <c r="AS530" s="280"/>
      <c r="AT530" s="280"/>
      <c r="AU530" s="280"/>
      <c r="AV530" s="280"/>
      <c r="AW530" s="280"/>
      <c r="AX530" s="280"/>
      <c r="AY530" s="280"/>
      <c r="AZ530" s="280"/>
    </row>
    <row r="531" spans="1:52" ht="12.75" x14ac:dyDescent="0.2">
      <c r="A531" s="280"/>
      <c r="B531" s="280"/>
      <c r="C531" s="280"/>
      <c r="D531" s="280"/>
      <c r="E531" s="280"/>
      <c r="F531" s="280"/>
      <c r="G531" s="280"/>
      <c r="H531" s="280"/>
      <c r="I531" s="280"/>
      <c r="J531" s="280"/>
      <c r="K531" s="280"/>
      <c r="L531" s="280"/>
      <c r="M531" s="280"/>
      <c r="N531" s="280"/>
      <c r="O531" s="280"/>
      <c r="P531" s="280"/>
      <c r="Q531" s="280"/>
      <c r="R531" s="280"/>
      <c r="S531" s="280"/>
      <c r="T531" s="280"/>
      <c r="U531" s="280"/>
      <c r="V531" s="280"/>
      <c r="W531" s="280"/>
      <c r="X531" s="280"/>
      <c r="Y531" s="280"/>
      <c r="Z531" s="280"/>
      <c r="AA531" s="280"/>
      <c r="AB531" s="280"/>
      <c r="AC531" s="280"/>
      <c r="AD531" s="280"/>
      <c r="AE531" s="280"/>
      <c r="AF531" s="280"/>
      <c r="AG531" s="280"/>
      <c r="AH531" s="280"/>
      <c r="AI531" s="280"/>
      <c r="AJ531" s="280"/>
      <c r="AK531" s="280"/>
      <c r="AL531" s="280"/>
      <c r="AM531" s="280"/>
      <c r="AN531" s="280"/>
      <c r="AO531" s="280"/>
      <c r="AP531" s="280"/>
      <c r="AQ531" s="280"/>
      <c r="AR531" s="280"/>
      <c r="AS531" s="280"/>
      <c r="AT531" s="280"/>
      <c r="AU531" s="280"/>
      <c r="AV531" s="280"/>
      <c r="AW531" s="280"/>
      <c r="AX531" s="280"/>
      <c r="AY531" s="280"/>
      <c r="AZ531" s="280"/>
    </row>
    <row r="532" spans="1:52" ht="12.75" x14ac:dyDescent="0.2">
      <c r="A532" s="280"/>
      <c r="B532" s="280"/>
      <c r="C532" s="280"/>
      <c r="D532" s="280"/>
      <c r="E532" s="280"/>
      <c r="F532" s="280"/>
      <c r="G532" s="280"/>
      <c r="H532" s="280"/>
      <c r="I532" s="280"/>
      <c r="J532" s="280"/>
      <c r="K532" s="280"/>
      <c r="L532" s="280"/>
      <c r="M532" s="280"/>
      <c r="N532" s="280"/>
      <c r="O532" s="280"/>
      <c r="P532" s="280"/>
      <c r="Q532" s="280"/>
      <c r="R532" s="280"/>
      <c r="S532" s="280"/>
      <c r="T532" s="280"/>
      <c r="U532" s="280"/>
      <c r="V532" s="280"/>
      <c r="W532" s="280"/>
      <c r="X532" s="280"/>
      <c r="Y532" s="280"/>
      <c r="Z532" s="280"/>
      <c r="AA532" s="280"/>
      <c r="AB532" s="280"/>
      <c r="AC532" s="280"/>
      <c r="AD532" s="280"/>
      <c r="AE532" s="280"/>
      <c r="AF532" s="280"/>
      <c r="AG532" s="280"/>
      <c r="AH532" s="280"/>
      <c r="AI532" s="280"/>
      <c r="AJ532" s="280"/>
      <c r="AK532" s="280"/>
      <c r="AL532" s="280"/>
      <c r="AM532" s="280"/>
      <c r="AN532" s="280"/>
      <c r="AO532" s="280"/>
      <c r="AP532" s="280"/>
      <c r="AQ532" s="280"/>
      <c r="AR532" s="280"/>
      <c r="AS532" s="280"/>
      <c r="AT532" s="280"/>
      <c r="AU532" s="280"/>
      <c r="AV532" s="280"/>
      <c r="AW532" s="280"/>
      <c r="AX532" s="280"/>
      <c r="AY532" s="280"/>
      <c r="AZ532" s="280"/>
    </row>
    <row r="533" spans="1:52" ht="12.75" x14ac:dyDescent="0.2">
      <c r="A533" s="280"/>
      <c r="B533" s="280"/>
      <c r="C533" s="280"/>
      <c r="D533" s="280"/>
      <c r="E533" s="280"/>
      <c r="F533" s="280"/>
      <c r="G533" s="280"/>
      <c r="H533" s="280"/>
      <c r="I533" s="280"/>
      <c r="J533" s="280"/>
      <c r="K533" s="280"/>
      <c r="L533" s="280"/>
      <c r="M533" s="280"/>
      <c r="N533" s="280"/>
      <c r="O533" s="280"/>
      <c r="P533" s="280"/>
      <c r="Q533" s="280"/>
      <c r="R533" s="280"/>
      <c r="S533" s="280"/>
      <c r="T533" s="280"/>
      <c r="U533" s="280"/>
      <c r="V533" s="280"/>
      <c r="W533" s="280"/>
      <c r="X533" s="280"/>
      <c r="Y533" s="280"/>
      <c r="Z533" s="280"/>
      <c r="AA533" s="280"/>
      <c r="AB533" s="280"/>
      <c r="AC533" s="280"/>
      <c r="AD533" s="280"/>
      <c r="AE533" s="280"/>
      <c r="AF533" s="280"/>
      <c r="AG533" s="280"/>
      <c r="AH533" s="280"/>
      <c r="AI533" s="280"/>
      <c r="AJ533" s="280"/>
      <c r="AK533" s="280"/>
      <c r="AL533" s="280"/>
      <c r="AM533" s="280"/>
      <c r="AN533" s="280"/>
      <c r="AO533" s="280"/>
      <c r="AP533" s="280"/>
      <c r="AQ533" s="280"/>
      <c r="AR533" s="280"/>
      <c r="AS533" s="280"/>
      <c r="AT533" s="280"/>
      <c r="AU533" s="280"/>
      <c r="AV533" s="280"/>
      <c r="AW533" s="280"/>
      <c r="AX533" s="280"/>
      <c r="AY533" s="280"/>
      <c r="AZ533" s="280"/>
    </row>
    <row r="534" spans="1:52" ht="12.75" x14ac:dyDescent="0.2">
      <c r="A534" s="280"/>
      <c r="B534" s="280"/>
      <c r="C534" s="280"/>
      <c r="D534" s="280"/>
      <c r="E534" s="280"/>
      <c r="F534" s="280"/>
      <c r="G534" s="280"/>
      <c r="H534" s="280"/>
      <c r="I534" s="280"/>
      <c r="J534" s="280"/>
      <c r="K534" s="280"/>
      <c r="L534" s="280"/>
      <c r="M534" s="280"/>
      <c r="N534" s="280"/>
      <c r="O534" s="280"/>
      <c r="P534" s="280"/>
      <c r="Q534" s="280"/>
      <c r="R534" s="280"/>
      <c r="S534" s="280"/>
      <c r="T534" s="280"/>
      <c r="U534" s="280"/>
      <c r="V534" s="280"/>
      <c r="W534" s="280"/>
      <c r="X534" s="280"/>
      <c r="Y534" s="280"/>
      <c r="Z534" s="280"/>
      <c r="AA534" s="280"/>
      <c r="AB534" s="280"/>
      <c r="AC534" s="280"/>
      <c r="AD534" s="280"/>
      <c r="AE534" s="280"/>
      <c r="AF534" s="280"/>
      <c r="AG534" s="280"/>
      <c r="AH534" s="280"/>
      <c r="AI534" s="280"/>
      <c r="AJ534" s="280"/>
      <c r="AK534" s="280"/>
      <c r="AL534" s="280"/>
      <c r="AM534" s="280"/>
      <c r="AN534" s="280"/>
      <c r="AO534" s="280"/>
      <c r="AP534" s="280"/>
      <c r="AQ534" s="280"/>
      <c r="AR534" s="280"/>
      <c r="AS534" s="280"/>
      <c r="AT534" s="280"/>
      <c r="AU534" s="280"/>
      <c r="AV534" s="280"/>
      <c r="AW534" s="280"/>
      <c r="AX534" s="280"/>
      <c r="AY534" s="280"/>
      <c r="AZ534" s="280"/>
    </row>
    <row r="535" spans="1:52" ht="12.75" x14ac:dyDescent="0.2">
      <c r="A535" s="280"/>
      <c r="B535" s="280"/>
      <c r="C535" s="280"/>
      <c r="D535" s="280"/>
      <c r="E535" s="280"/>
      <c r="F535" s="280"/>
      <c r="G535" s="280"/>
      <c r="H535" s="280"/>
      <c r="I535" s="280"/>
      <c r="J535" s="280"/>
      <c r="K535" s="280"/>
      <c r="L535" s="280"/>
      <c r="M535" s="280"/>
      <c r="N535" s="280"/>
      <c r="O535" s="280"/>
      <c r="P535" s="280"/>
      <c r="Q535" s="280"/>
      <c r="R535" s="280"/>
      <c r="S535" s="280"/>
      <c r="T535" s="280"/>
      <c r="U535" s="280"/>
      <c r="V535" s="280"/>
      <c r="W535" s="280"/>
      <c r="X535" s="280"/>
      <c r="Y535" s="280"/>
      <c r="Z535" s="280"/>
      <c r="AA535" s="280"/>
      <c r="AB535" s="280"/>
      <c r="AC535" s="280"/>
      <c r="AD535" s="280"/>
      <c r="AE535" s="280"/>
      <c r="AF535" s="280"/>
      <c r="AG535" s="280"/>
      <c r="AH535" s="280"/>
      <c r="AI535" s="280"/>
      <c r="AJ535" s="280"/>
      <c r="AK535" s="280"/>
      <c r="AL535" s="280"/>
      <c r="AM535" s="280"/>
      <c r="AN535" s="280"/>
      <c r="AO535" s="280"/>
      <c r="AP535" s="280"/>
      <c r="AQ535" s="280"/>
      <c r="AR535" s="280"/>
      <c r="AS535" s="280"/>
      <c r="AT535" s="280"/>
      <c r="AU535" s="280"/>
      <c r="AV535" s="280"/>
      <c r="AW535" s="280"/>
      <c r="AX535" s="280"/>
      <c r="AY535" s="280"/>
      <c r="AZ535" s="280"/>
    </row>
    <row r="536" spans="1:52" ht="12.75" x14ac:dyDescent="0.2">
      <c r="A536" s="280"/>
      <c r="B536" s="280"/>
      <c r="C536" s="280"/>
      <c r="D536" s="280"/>
      <c r="E536" s="280"/>
      <c r="F536" s="280"/>
      <c r="G536" s="280"/>
      <c r="H536" s="280"/>
      <c r="I536" s="280"/>
      <c r="J536" s="280"/>
      <c r="K536" s="280"/>
      <c r="L536" s="280"/>
      <c r="M536" s="280"/>
      <c r="N536" s="280"/>
      <c r="O536" s="280"/>
      <c r="P536" s="280"/>
      <c r="Q536" s="280"/>
      <c r="R536" s="280"/>
      <c r="S536" s="280"/>
      <c r="T536" s="280"/>
      <c r="U536" s="280"/>
      <c r="V536" s="280"/>
      <c r="W536" s="280"/>
      <c r="X536" s="280"/>
      <c r="Y536" s="280"/>
      <c r="Z536" s="280"/>
      <c r="AA536" s="280"/>
      <c r="AB536" s="280"/>
      <c r="AC536" s="280"/>
      <c r="AD536" s="280"/>
      <c r="AE536" s="280"/>
      <c r="AF536" s="280"/>
      <c r="AG536" s="280"/>
      <c r="AH536" s="280"/>
      <c r="AI536" s="280"/>
      <c r="AJ536" s="280"/>
      <c r="AK536" s="280"/>
      <c r="AL536" s="280"/>
      <c r="AM536" s="280"/>
      <c r="AN536" s="280"/>
      <c r="AO536" s="280"/>
      <c r="AP536" s="280"/>
      <c r="AQ536" s="280"/>
      <c r="AR536" s="280"/>
      <c r="AS536" s="280"/>
      <c r="AT536" s="280"/>
      <c r="AU536" s="280"/>
      <c r="AV536" s="280"/>
      <c r="AW536" s="280"/>
      <c r="AX536" s="280"/>
      <c r="AY536" s="280"/>
      <c r="AZ536" s="280"/>
    </row>
    <row r="537" spans="1:52" ht="12.75" x14ac:dyDescent="0.2">
      <c r="A537" s="280"/>
      <c r="B537" s="280"/>
      <c r="C537" s="280"/>
      <c r="D537" s="280"/>
      <c r="E537" s="280"/>
      <c r="F537" s="280"/>
      <c r="G537" s="280"/>
      <c r="H537" s="280"/>
      <c r="I537" s="280"/>
      <c r="J537" s="280"/>
      <c r="K537" s="280"/>
      <c r="L537" s="280"/>
      <c r="M537" s="280"/>
      <c r="N537" s="280"/>
      <c r="O537" s="280"/>
      <c r="P537" s="280"/>
      <c r="Q537" s="280"/>
      <c r="R537" s="280"/>
      <c r="S537" s="280"/>
      <c r="T537" s="280"/>
      <c r="U537" s="280"/>
      <c r="V537" s="280"/>
      <c r="W537" s="280"/>
      <c r="X537" s="280"/>
      <c r="Y537" s="280"/>
      <c r="Z537" s="280"/>
      <c r="AA537" s="280"/>
      <c r="AB537" s="280"/>
      <c r="AC537" s="280"/>
      <c r="AD537" s="280"/>
      <c r="AE537" s="280"/>
      <c r="AF537" s="280"/>
      <c r="AG537" s="280"/>
      <c r="AH537" s="280"/>
      <c r="AI537" s="280"/>
      <c r="AJ537" s="280"/>
      <c r="AK537" s="280"/>
      <c r="AL537" s="280"/>
      <c r="AM537" s="280"/>
      <c r="AN537" s="280"/>
      <c r="AO537" s="280"/>
      <c r="AP537" s="280"/>
      <c r="AQ537" s="280"/>
      <c r="AR537" s="280"/>
      <c r="AS537" s="280"/>
      <c r="AT537" s="280"/>
      <c r="AU537" s="280"/>
      <c r="AV537" s="280"/>
      <c r="AW537" s="280"/>
      <c r="AX537" s="280"/>
      <c r="AY537" s="280"/>
      <c r="AZ537" s="280"/>
    </row>
    <row r="538" spans="1:52" ht="12.75" x14ac:dyDescent="0.2">
      <c r="A538" s="280"/>
      <c r="B538" s="280"/>
      <c r="C538" s="280"/>
      <c r="D538" s="280"/>
      <c r="E538" s="280"/>
      <c r="F538" s="280"/>
      <c r="G538" s="280"/>
      <c r="H538" s="280"/>
      <c r="I538" s="280"/>
      <c r="J538" s="280"/>
      <c r="K538" s="280"/>
      <c r="L538" s="280"/>
      <c r="M538" s="280"/>
      <c r="N538" s="280"/>
      <c r="O538" s="280"/>
      <c r="P538" s="280"/>
      <c r="Q538" s="280"/>
      <c r="R538" s="280"/>
      <c r="S538" s="280"/>
      <c r="T538" s="280"/>
      <c r="U538" s="280"/>
      <c r="V538" s="280"/>
      <c r="W538" s="280"/>
      <c r="X538" s="280"/>
      <c r="Y538" s="280"/>
      <c r="Z538" s="280"/>
      <c r="AA538" s="280"/>
      <c r="AB538" s="280"/>
      <c r="AC538" s="280"/>
      <c r="AD538" s="280"/>
      <c r="AE538" s="280"/>
      <c r="AF538" s="280"/>
      <c r="AG538" s="280"/>
      <c r="AH538" s="280"/>
      <c r="AI538" s="280"/>
      <c r="AJ538" s="280"/>
      <c r="AK538" s="280"/>
      <c r="AL538" s="280"/>
      <c r="AM538" s="280"/>
      <c r="AN538" s="280"/>
      <c r="AO538" s="280"/>
      <c r="AP538" s="280"/>
      <c r="AQ538" s="280"/>
      <c r="AR538" s="280"/>
      <c r="AS538" s="280"/>
      <c r="AT538" s="280"/>
      <c r="AU538" s="280"/>
      <c r="AV538" s="280"/>
      <c r="AW538" s="280"/>
      <c r="AX538" s="280"/>
      <c r="AY538" s="280"/>
      <c r="AZ538" s="280"/>
    </row>
    <row r="539" spans="1:52" ht="12.75" x14ac:dyDescent="0.2">
      <c r="A539" s="280"/>
      <c r="B539" s="280"/>
      <c r="C539" s="280"/>
      <c r="D539" s="280"/>
      <c r="E539" s="280"/>
      <c r="F539" s="280"/>
      <c r="G539" s="280"/>
      <c r="H539" s="280"/>
      <c r="I539" s="280"/>
      <c r="J539" s="280"/>
      <c r="K539" s="280"/>
      <c r="L539" s="280"/>
      <c r="M539" s="280"/>
      <c r="N539" s="280"/>
      <c r="O539" s="280"/>
      <c r="P539" s="280"/>
      <c r="Q539" s="280"/>
      <c r="R539" s="280"/>
      <c r="S539" s="280"/>
      <c r="T539" s="280"/>
      <c r="U539" s="280"/>
      <c r="V539" s="280"/>
      <c r="W539" s="280"/>
      <c r="X539" s="280"/>
      <c r="Y539" s="280"/>
      <c r="Z539" s="280"/>
      <c r="AA539" s="280"/>
      <c r="AB539" s="280"/>
      <c r="AC539" s="280"/>
      <c r="AD539" s="280"/>
      <c r="AE539" s="280"/>
      <c r="AF539" s="280"/>
      <c r="AG539" s="280"/>
      <c r="AH539" s="280"/>
      <c r="AI539" s="280"/>
      <c r="AJ539" s="280"/>
      <c r="AK539" s="280"/>
      <c r="AL539" s="280"/>
      <c r="AM539" s="280"/>
      <c r="AN539" s="280"/>
      <c r="AO539" s="280"/>
      <c r="AP539" s="280"/>
      <c r="AQ539" s="280"/>
      <c r="AR539" s="280"/>
      <c r="AS539" s="280"/>
      <c r="AT539" s="280"/>
      <c r="AU539" s="280"/>
      <c r="AV539" s="280"/>
      <c r="AW539" s="280"/>
      <c r="AX539" s="280"/>
      <c r="AY539" s="280"/>
      <c r="AZ539" s="280"/>
    </row>
    <row r="540" spans="1:52" ht="12.75" x14ac:dyDescent="0.2">
      <c r="A540" s="280"/>
      <c r="B540" s="280"/>
      <c r="C540" s="280"/>
      <c r="D540" s="280"/>
      <c r="E540" s="280"/>
      <c r="F540" s="280"/>
      <c r="G540" s="280"/>
      <c r="H540" s="280"/>
      <c r="I540" s="280"/>
      <c r="J540" s="280"/>
      <c r="K540" s="280"/>
      <c r="L540" s="280"/>
      <c r="M540" s="280"/>
      <c r="N540" s="280"/>
      <c r="O540" s="280"/>
      <c r="P540" s="280"/>
      <c r="Q540" s="280"/>
      <c r="R540" s="280"/>
      <c r="S540" s="280"/>
      <c r="T540" s="280"/>
      <c r="U540" s="280"/>
      <c r="V540" s="280"/>
      <c r="W540" s="280"/>
      <c r="X540" s="280"/>
      <c r="Y540" s="280"/>
      <c r="Z540" s="280"/>
      <c r="AA540" s="280"/>
      <c r="AB540" s="280"/>
      <c r="AC540" s="280"/>
      <c r="AD540" s="280"/>
      <c r="AE540" s="280"/>
      <c r="AF540" s="280"/>
      <c r="AG540" s="280"/>
      <c r="AH540" s="280"/>
      <c r="AI540" s="280"/>
      <c r="AJ540" s="280"/>
      <c r="AK540" s="280"/>
      <c r="AL540" s="280"/>
      <c r="AM540" s="280"/>
      <c r="AN540" s="280"/>
      <c r="AO540" s="280"/>
      <c r="AP540" s="280"/>
      <c r="AQ540" s="280"/>
      <c r="AR540" s="280"/>
      <c r="AS540" s="280"/>
      <c r="AT540" s="280"/>
      <c r="AU540" s="280"/>
      <c r="AV540" s="280"/>
      <c r="AW540" s="280"/>
      <c r="AX540" s="280"/>
      <c r="AY540" s="280"/>
      <c r="AZ540" s="280"/>
    </row>
    <row r="541" spans="1:52" ht="12.75" x14ac:dyDescent="0.2">
      <c r="A541" s="280"/>
      <c r="B541" s="280"/>
      <c r="C541" s="280"/>
      <c r="D541" s="280"/>
      <c r="E541" s="280"/>
      <c r="F541" s="280"/>
      <c r="G541" s="280"/>
      <c r="H541" s="280"/>
      <c r="I541" s="280"/>
      <c r="J541" s="280"/>
      <c r="K541" s="280"/>
      <c r="L541" s="280"/>
      <c r="M541" s="280"/>
      <c r="N541" s="280"/>
      <c r="O541" s="280"/>
      <c r="P541" s="280"/>
      <c r="Q541" s="280"/>
      <c r="R541" s="280"/>
      <c r="S541" s="280"/>
      <c r="T541" s="280"/>
      <c r="U541" s="280"/>
      <c r="V541" s="280"/>
      <c r="W541" s="280"/>
      <c r="X541" s="280"/>
      <c r="Y541" s="280"/>
      <c r="Z541" s="280"/>
      <c r="AA541" s="280"/>
      <c r="AB541" s="280"/>
      <c r="AC541" s="280"/>
      <c r="AD541" s="280"/>
      <c r="AE541" s="280"/>
      <c r="AF541" s="280"/>
      <c r="AG541" s="280"/>
      <c r="AH541" s="280"/>
      <c r="AI541" s="280"/>
      <c r="AJ541" s="280"/>
      <c r="AK541" s="280"/>
      <c r="AL541" s="280"/>
      <c r="AM541" s="280"/>
      <c r="AN541" s="280"/>
      <c r="AO541" s="280"/>
      <c r="AP541" s="280"/>
      <c r="AQ541" s="280"/>
      <c r="AR541" s="280"/>
      <c r="AS541" s="280"/>
      <c r="AT541" s="280"/>
      <c r="AU541" s="280"/>
      <c r="AV541" s="280"/>
      <c r="AW541" s="280"/>
      <c r="AX541" s="280"/>
      <c r="AY541" s="280"/>
      <c r="AZ541" s="280"/>
    </row>
    <row r="542" spans="1:52" ht="12.75" x14ac:dyDescent="0.2">
      <c r="A542" s="280"/>
      <c r="B542" s="280"/>
      <c r="C542" s="280"/>
      <c r="D542" s="280"/>
      <c r="E542" s="280"/>
      <c r="F542" s="280"/>
      <c r="G542" s="280"/>
      <c r="H542" s="280"/>
      <c r="I542" s="280"/>
      <c r="J542" s="280"/>
      <c r="K542" s="280"/>
      <c r="L542" s="280"/>
      <c r="M542" s="280"/>
      <c r="N542" s="280"/>
      <c r="O542" s="280"/>
      <c r="P542" s="280"/>
      <c r="Q542" s="280"/>
      <c r="R542" s="280"/>
      <c r="S542" s="280"/>
      <c r="T542" s="280"/>
      <c r="U542" s="280"/>
      <c r="V542" s="280"/>
      <c r="W542" s="280"/>
      <c r="X542" s="280"/>
      <c r="Y542" s="280"/>
      <c r="Z542" s="280"/>
      <c r="AA542" s="280"/>
      <c r="AB542" s="280"/>
      <c r="AC542" s="280"/>
      <c r="AD542" s="280"/>
      <c r="AE542" s="280"/>
      <c r="AF542" s="280"/>
      <c r="AG542" s="280"/>
      <c r="AH542" s="280"/>
      <c r="AI542" s="280"/>
      <c r="AJ542" s="280"/>
      <c r="AK542" s="280"/>
      <c r="AL542" s="280"/>
      <c r="AM542" s="280"/>
      <c r="AN542" s="280"/>
      <c r="AO542" s="280"/>
      <c r="AP542" s="280"/>
      <c r="AQ542" s="280"/>
      <c r="AR542" s="280"/>
      <c r="AS542" s="280"/>
      <c r="AT542" s="280"/>
      <c r="AU542" s="280"/>
      <c r="AV542" s="280"/>
      <c r="AW542" s="280"/>
      <c r="AX542" s="280"/>
      <c r="AY542" s="280"/>
      <c r="AZ542" s="280"/>
    </row>
    <row r="543" spans="1:52" ht="12.75" x14ac:dyDescent="0.2">
      <c r="A543" s="280"/>
      <c r="B543" s="280"/>
      <c r="C543" s="280"/>
      <c r="D543" s="280"/>
      <c r="E543" s="280"/>
      <c r="F543" s="280"/>
      <c r="G543" s="280"/>
      <c r="H543" s="280"/>
      <c r="I543" s="280"/>
      <c r="J543" s="280"/>
      <c r="K543" s="280"/>
      <c r="L543" s="280"/>
      <c r="M543" s="280"/>
      <c r="N543" s="280"/>
      <c r="O543" s="280"/>
      <c r="P543" s="280"/>
      <c r="Q543" s="280"/>
      <c r="R543" s="280"/>
      <c r="S543" s="280"/>
      <c r="T543" s="280"/>
      <c r="U543" s="280"/>
      <c r="V543" s="280"/>
      <c r="W543" s="280"/>
      <c r="X543" s="280"/>
      <c r="Y543" s="280"/>
      <c r="Z543" s="280"/>
      <c r="AA543" s="280"/>
      <c r="AB543" s="280"/>
      <c r="AC543" s="280"/>
      <c r="AD543" s="280"/>
      <c r="AE543" s="280"/>
      <c r="AF543" s="280"/>
      <c r="AG543" s="280"/>
      <c r="AH543" s="280"/>
      <c r="AI543" s="280"/>
      <c r="AJ543" s="280"/>
      <c r="AK543" s="280"/>
      <c r="AL543" s="280"/>
      <c r="AM543" s="280"/>
      <c r="AN543" s="280"/>
      <c r="AO543" s="280"/>
      <c r="AP543" s="280"/>
      <c r="AQ543" s="280"/>
      <c r="AR543" s="280"/>
      <c r="AS543" s="280"/>
      <c r="AT543" s="280"/>
      <c r="AU543" s="280"/>
      <c r="AV543" s="280"/>
      <c r="AW543" s="280"/>
      <c r="AX543" s="280"/>
      <c r="AY543" s="280"/>
      <c r="AZ543" s="280"/>
    </row>
    <row r="544" spans="1:52" ht="12.75" x14ac:dyDescent="0.2">
      <c r="A544" s="280"/>
      <c r="B544" s="280"/>
      <c r="C544" s="280"/>
      <c r="D544" s="280"/>
      <c r="E544" s="280"/>
      <c r="F544" s="280"/>
      <c r="G544" s="280"/>
      <c r="H544" s="280"/>
      <c r="I544" s="280"/>
      <c r="J544" s="280"/>
      <c r="K544" s="280"/>
      <c r="L544" s="280"/>
      <c r="M544" s="280"/>
      <c r="N544" s="280"/>
      <c r="O544" s="280"/>
      <c r="P544" s="280"/>
      <c r="Q544" s="280"/>
      <c r="R544" s="280"/>
      <c r="S544" s="280"/>
      <c r="T544" s="280"/>
      <c r="U544" s="280"/>
      <c r="V544" s="280"/>
      <c r="W544" s="280"/>
      <c r="X544" s="280"/>
      <c r="Y544" s="280"/>
      <c r="Z544" s="280"/>
      <c r="AA544" s="280"/>
      <c r="AB544" s="280"/>
      <c r="AC544" s="280"/>
      <c r="AD544" s="280"/>
      <c r="AE544" s="280"/>
      <c r="AF544" s="280"/>
      <c r="AG544" s="280"/>
      <c r="AH544" s="280"/>
      <c r="AI544" s="280"/>
      <c r="AJ544" s="280"/>
      <c r="AK544" s="280"/>
      <c r="AL544" s="280"/>
      <c r="AM544" s="280"/>
      <c r="AN544" s="280"/>
      <c r="AO544" s="280"/>
      <c r="AP544" s="280"/>
      <c r="AQ544" s="280"/>
      <c r="AR544" s="280"/>
      <c r="AS544" s="280"/>
      <c r="AT544" s="280"/>
      <c r="AU544" s="280"/>
      <c r="AV544" s="280"/>
      <c r="AW544" s="280"/>
      <c r="AX544" s="280"/>
      <c r="AY544" s="280"/>
      <c r="AZ544" s="280"/>
    </row>
    <row r="545" spans="1:52" ht="12.75" x14ac:dyDescent="0.2">
      <c r="A545" s="280"/>
      <c r="B545" s="280"/>
      <c r="C545" s="280"/>
      <c r="D545" s="280"/>
      <c r="E545" s="280"/>
      <c r="F545" s="280"/>
      <c r="G545" s="280"/>
      <c r="H545" s="280"/>
      <c r="I545" s="280"/>
      <c r="J545" s="280"/>
      <c r="K545" s="280"/>
      <c r="L545" s="280"/>
      <c r="M545" s="280"/>
      <c r="N545" s="280"/>
      <c r="O545" s="280"/>
      <c r="P545" s="280"/>
      <c r="Q545" s="280"/>
      <c r="R545" s="280"/>
      <c r="S545" s="280"/>
      <c r="T545" s="280"/>
      <c r="U545" s="280"/>
      <c r="V545" s="280"/>
      <c r="W545" s="280"/>
      <c r="X545" s="280"/>
      <c r="Y545" s="280"/>
      <c r="Z545" s="280"/>
      <c r="AA545" s="280"/>
      <c r="AB545" s="280"/>
      <c r="AC545" s="280"/>
      <c r="AD545" s="280"/>
      <c r="AE545" s="280"/>
      <c r="AF545" s="280"/>
      <c r="AG545" s="280"/>
      <c r="AH545" s="280"/>
      <c r="AI545" s="280"/>
      <c r="AJ545" s="280"/>
      <c r="AK545" s="280"/>
      <c r="AL545" s="280"/>
      <c r="AM545" s="280"/>
      <c r="AN545" s="280"/>
      <c r="AO545" s="280"/>
      <c r="AP545" s="280"/>
      <c r="AQ545" s="280"/>
      <c r="AR545" s="280"/>
      <c r="AS545" s="280"/>
      <c r="AT545" s="280"/>
      <c r="AU545" s="280"/>
      <c r="AV545" s="280"/>
      <c r="AW545" s="280"/>
      <c r="AX545" s="280"/>
      <c r="AY545" s="280"/>
      <c r="AZ545" s="280"/>
    </row>
    <row r="546" spans="1:52" ht="12.75" x14ac:dyDescent="0.2">
      <c r="A546" s="280"/>
      <c r="B546" s="280"/>
      <c r="C546" s="280"/>
      <c r="D546" s="280"/>
      <c r="E546" s="280"/>
      <c r="F546" s="280"/>
      <c r="G546" s="280"/>
      <c r="H546" s="280"/>
      <c r="I546" s="280"/>
      <c r="J546" s="280"/>
      <c r="K546" s="280"/>
      <c r="L546" s="280"/>
      <c r="M546" s="280"/>
      <c r="N546" s="280"/>
      <c r="O546" s="280"/>
      <c r="P546" s="280"/>
      <c r="Q546" s="280"/>
      <c r="R546" s="280"/>
      <c r="S546" s="280"/>
      <c r="T546" s="280"/>
      <c r="U546" s="280"/>
      <c r="V546" s="280"/>
      <c r="W546" s="280"/>
      <c r="X546" s="280"/>
      <c r="Y546" s="280"/>
      <c r="Z546" s="280"/>
      <c r="AA546" s="280"/>
      <c r="AB546" s="280"/>
      <c r="AC546" s="280"/>
      <c r="AD546" s="280"/>
      <c r="AE546" s="280"/>
      <c r="AF546" s="280"/>
      <c r="AG546" s="280"/>
      <c r="AH546" s="280"/>
      <c r="AI546" s="280"/>
      <c r="AJ546" s="280"/>
      <c r="AK546" s="280"/>
      <c r="AL546" s="280"/>
      <c r="AM546" s="280"/>
      <c r="AN546" s="280"/>
      <c r="AO546" s="280"/>
      <c r="AP546" s="280"/>
      <c r="AQ546" s="280"/>
      <c r="AR546" s="280"/>
      <c r="AS546" s="280"/>
      <c r="AT546" s="280"/>
      <c r="AU546" s="280"/>
      <c r="AV546" s="280"/>
      <c r="AW546" s="280"/>
      <c r="AX546" s="280"/>
      <c r="AY546" s="280"/>
      <c r="AZ546" s="280"/>
    </row>
    <row r="547" spans="1:52" ht="12.75" x14ac:dyDescent="0.2">
      <c r="A547" s="280"/>
      <c r="B547" s="280"/>
      <c r="C547" s="280"/>
      <c r="D547" s="280"/>
      <c r="E547" s="280"/>
      <c r="F547" s="280"/>
      <c r="G547" s="280"/>
      <c r="H547" s="280"/>
      <c r="I547" s="280"/>
      <c r="J547" s="280"/>
      <c r="K547" s="280"/>
      <c r="L547" s="280"/>
      <c r="M547" s="280"/>
      <c r="N547" s="280"/>
      <c r="O547" s="280"/>
      <c r="P547" s="280"/>
      <c r="Q547" s="280"/>
      <c r="R547" s="280"/>
      <c r="S547" s="280"/>
      <c r="T547" s="280"/>
      <c r="U547" s="280"/>
      <c r="V547" s="280"/>
      <c r="W547" s="280"/>
      <c r="X547" s="280"/>
      <c r="Y547" s="280"/>
      <c r="Z547" s="280"/>
      <c r="AA547" s="280"/>
      <c r="AB547" s="280"/>
      <c r="AC547" s="280"/>
      <c r="AD547" s="280"/>
      <c r="AE547" s="280"/>
      <c r="AF547" s="280"/>
      <c r="AG547" s="280"/>
      <c r="AH547" s="280"/>
      <c r="AI547" s="280"/>
      <c r="AJ547" s="280"/>
      <c r="AK547" s="280"/>
      <c r="AL547" s="280"/>
      <c r="AM547" s="280"/>
      <c r="AN547" s="280"/>
      <c r="AO547" s="280"/>
      <c r="AP547" s="280"/>
      <c r="AQ547" s="280"/>
      <c r="AR547" s="280"/>
      <c r="AS547" s="280"/>
      <c r="AT547" s="280"/>
      <c r="AU547" s="280"/>
      <c r="AV547" s="280"/>
      <c r="AW547" s="280"/>
      <c r="AX547" s="280"/>
      <c r="AY547" s="280"/>
      <c r="AZ547" s="280"/>
    </row>
    <row r="548" spans="1:52" ht="12.75" x14ac:dyDescent="0.2">
      <c r="A548" s="280"/>
      <c r="B548" s="280"/>
      <c r="C548" s="280"/>
      <c r="D548" s="280"/>
      <c r="E548" s="280"/>
      <c r="F548" s="280"/>
      <c r="G548" s="280"/>
      <c r="H548" s="280"/>
      <c r="I548" s="280"/>
      <c r="J548" s="280"/>
      <c r="K548" s="280"/>
      <c r="L548" s="280"/>
      <c r="M548" s="280"/>
      <c r="N548" s="280"/>
      <c r="O548" s="280"/>
      <c r="P548" s="280"/>
      <c r="Q548" s="280"/>
      <c r="R548" s="280"/>
      <c r="S548" s="280"/>
      <c r="T548" s="280"/>
      <c r="U548" s="280"/>
      <c r="V548" s="280"/>
      <c r="W548" s="280"/>
      <c r="X548" s="280"/>
      <c r="Y548" s="280"/>
      <c r="Z548" s="280"/>
      <c r="AA548" s="280"/>
      <c r="AB548" s="280"/>
      <c r="AC548" s="280"/>
      <c r="AD548" s="280"/>
      <c r="AE548" s="280"/>
      <c r="AF548" s="280"/>
      <c r="AG548" s="280"/>
      <c r="AH548" s="280"/>
      <c r="AI548" s="280"/>
      <c r="AJ548" s="280"/>
      <c r="AK548" s="280"/>
      <c r="AL548" s="280"/>
      <c r="AM548" s="280"/>
      <c r="AN548" s="280"/>
      <c r="AO548" s="280"/>
      <c r="AP548" s="280"/>
      <c r="AQ548" s="280"/>
      <c r="AR548" s="280"/>
      <c r="AS548" s="280"/>
      <c r="AT548" s="280"/>
      <c r="AU548" s="280"/>
      <c r="AV548" s="280"/>
      <c r="AW548" s="280"/>
      <c r="AX548" s="280"/>
      <c r="AY548" s="280"/>
      <c r="AZ548" s="280"/>
    </row>
    <row r="549" spans="1:52" ht="12.75" x14ac:dyDescent="0.2">
      <c r="A549" s="280"/>
      <c r="B549" s="280"/>
      <c r="C549" s="280"/>
      <c r="D549" s="280"/>
      <c r="E549" s="280"/>
      <c r="F549" s="280"/>
      <c r="G549" s="280"/>
      <c r="H549" s="280"/>
      <c r="I549" s="280"/>
      <c r="J549" s="280"/>
      <c r="K549" s="280"/>
      <c r="L549" s="280"/>
      <c r="M549" s="280"/>
      <c r="N549" s="280"/>
      <c r="O549" s="280"/>
      <c r="P549" s="280"/>
      <c r="Q549" s="280"/>
      <c r="R549" s="280"/>
      <c r="S549" s="280"/>
      <c r="T549" s="280"/>
      <c r="U549" s="280"/>
      <c r="V549" s="280"/>
      <c r="W549" s="280"/>
      <c r="X549" s="280"/>
      <c r="Y549" s="280"/>
      <c r="Z549" s="280"/>
      <c r="AA549" s="280"/>
      <c r="AB549" s="280"/>
      <c r="AC549" s="280"/>
      <c r="AD549" s="280"/>
      <c r="AE549" s="280"/>
      <c r="AF549" s="280"/>
      <c r="AG549" s="280"/>
      <c r="AH549" s="280"/>
      <c r="AI549" s="280"/>
      <c r="AJ549" s="280"/>
      <c r="AK549" s="280"/>
      <c r="AL549" s="280"/>
      <c r="AM549" s="280"/>
      <c r="AN549" s="280"/>
      <c r="AO549" s="280"/>
      <c r="AP549" s="280"/>
      <c r="AQ549" s="280"/>
      <c r="AR549" s="280"/>
      <c r="AS549" s="280"/>
      <c r="AT549" s="280"/>
      <c r="AU549" s="280"/>
      <c r="AV549" s="280"/>
      <c r="AW549" s="280"/>
      <c r="AX549" s="280"/>
      <c r="AY549" s="280"/>
      <c r="AZ549" s="280"/>
    </row>
    <row r="550" spans="1:52" ht="12.75" x14ac:dyDescent="0.2">
      <c r="A550" s="280"/>
      <c r="B550" s="280"/>
      <c r="C550" s="280"/>
      <c r="D550" s="280"/>
      <c r="E550" s="280"/>
      <c r="F550" s="280"/>
      <c r="G550" s="280"/>
      <c r="H550" s="280"/>
      <c r="I550" s="280"/>
      <c r="J550" s="280"/>
      <c r="K550" s="280"/>
      <c r="L550" s="280"/>
      <c r="M550" s="280"/>
      <c r="N550" s="280"/>
      <c r="O550" s="280"/>
      <c r="P550" s="280"/>
      <c r="Q550" s="280"/>
      <c r="R550" s="280"/>
      <c r="S550" s="280"/>
      <c r="T550" s="280"/>
      <c r="U550" s="280"/>
      <c r="V550" s="280"/>
      <c r="W550" s="280"/>
      <c r="X550" s="280"/>
      <c r="Y550" s="280"/>
      <c r="Z550" s="280"/>
      <c r="AA550" s="280"/>
      <c r="AB550" s="280"/>
      <c r="AC550" s="280"/>
      <c r="AD550" s="280"/>
      <c r="AE550" s="280"/>
      <c r="AF550" s="280"/>
      <c r="AG550" s="280"/>
      <c r="AH550" s="280"/>
      <c r="AI550" s="280"/>
      <c r="AJ550" s="280"/>
      <c r="AK550" s="280"/>
      <c r="AL550" s="280"/>
      <c r="AM550" s="280"/>
      <c r="AN550" s="280"/>
      <c r="AO550" s="280"/>
      <c r="AP550" s="280"/>
      <c r="AQ550" s="280"/>
      <c r="AR550" s="280"/>
      <c r="AS550" s="280"/>
      <c r="AT550" s="280"/>
      <c r="AU550" s="280"/>
      <c r="AV550" s="280"/>
      <c r="AW550" s="280"/>
      <c r="AX550" s="280"/>
      <c r="AY550" s="280"/>
      <c r="AZ550" s="280"/>
    </row>
    <row r="551" spans="1:52" ht="12.75" x14ac:dyDescent="0.2">
      <c r="A551" s="280"/>
      <c r="B551" s="280"/>
      <c r="C551" s="280"/>
      <c r="D551" s="280"/>
      <c r="E551" s="280"/>
      <c r="F551" s="280"/>
      <c r="G551" s="280"/>
      <c r="H551" s="280"/>
      <c r="I551" s="280"/>
      <c r="J551" s="280"/>
      <c r="K551" s="280"/>
      <c r="L551" s="280"/>
      <c r="M551" s="280"/>
      <c r="N551" s="280"/>
      <c r="O551" s="280"/>
      <c r="P551" s="280"/>
      <c r="Q551" s="280"/>
      <c r="R551" s="280"/>
      <c r="S551" s="280"/>
      <c r="T551" s="280"/>
      <c r="U551" s="280"/>
      <c r="V551" s="280"/>
      <c r="W551" s="280"/>
      <c r="X551" s="280"/>
      <c r="Y551" s="280"/>
      <c r="Z551" s="280"/>
      <c r="AA551" s="280"/>
      <c r="AB551" s="280"/>
      <c r="AC551" s="280"/>
      <c r="AD551" s="280"/>
      <c r="AE551" s="280"/>
      <c r="AF551" s="280"/>
      <c r="AG551" s="280"/>
      <c r="AH551" s="280"/>
      <c r="AI551" s="280"/>
      <c r="AJ551" s="280"/>
      <c r="AK551" s="280"/>
      <c r="AL551" s="280"/>
      <c r="AM551" s="280"/>
      <c r="AN551" s="280"/>
      <c r="AO551" s="280"/>
      <c r="AP551" s="280"/>
      <c r="AQ551" s="280"/>
      <c r="AR551" s="280"/>
      <c r="AS551" s="280"/>
      <c r="AT551" s="280"/>
      <c r="AU551" s="280"/>
      <c r="AV551" s="280"/>
      <c r="AW551" s="280"/>
      <c r="AX551" s="280"/>
      <c r="AY551" s="280"/>
      <c r="AZ551" s="280"/>
    </row>
    <row r="552" spans="1:52" ht="12.75" x14ac:dyDescent="0.2">
      <c r="A552" s="280"/>
      <c r="B552" s="280"/>
      <c r="C552" s="280"/>
      <c r="D552" s="280"/>
      <c r="E552" s="280"/>
      <c r="F552" s="280"/>
      <c r="G552" s="280"/>
      <c r="H552" s="280"/>
      <c r="I552" s="280"/>
      <c r="J552" s="280"/>
      <c r="K552" s="280"/>
      <c r="L552" s="280"/>
      <c r="M552" s="280"/>
      <c r="N552" s="280"/>
      <c r="O552" s="280"/>
      <c r="P552" s="280"/>
      <c r="Q552" s="280"/>
      <c r="R552" s="280"/>
      <c r="S552" s="280"/>
      <c r="T552" s="280"/>
      <c r="U552" s="280"/>
      <c r="V552" s="280"/>
      <c r="W552" s="280"/>
      <c r="X552" s="280"/>
      <c r="Y552" s="280"/>
      <c r="Z552" s="280"/>
      <c r="AA552" s="280"/>
      <c r="AB552" s="280"/>
      <c r="AC552" s="280"/>
      <c r="AD552" s="280"/>
      <c r="AE552" s="280"/>
      <c r="AF552" s="280"/>
      <c r="AG552" s="280"/>
      <c r="AH552" s="280"/>
      <c r="AI552" s="280"/>
      <c r="AJ552" s="280"/>
      <c r="AK552" s="280"/>
      <c r="AL552" s="280"/>
      <c r="AM552" s="280"/>
      <c r="AN552" s="280"/>
      <c r="AO552" s="280"/>
      <c r="AP552" s="280"/>
      <c r="AQ552" s="280"/>
      <c r="AR552" s="280"/>
      <c r="AS552" s="280"/>
      <c r="AT552" s="280"/>
      <c r="AU552" s="280"/>
      <c r="AV552" s="280"/>
      <c r="AW552" s="280"/>
      <c r="AX552" s="280"/>
      <c r="AY552" s="280"/>
      <c r="AZ552" s="280"/>
    </row>
    <row r="553" spans="1:52" ht="12.75" x14ac:dyDescent="0.2">
      <c r="A553" s="280"/>
      <c r="B553" s="280"/>
      <c r="C553" s="280"/>
      <c r="D553" s="280"/>
      <c r="E553" s="280"/>
      <c r="F553" s="280"/>
      <c r="G553" s="280"/>
      <c r="H553" s="280"/>
      <c r="I553" s="280"/>
      <c r="J553" s="280"/>
      <c r="K553" s="280"/>
      <c r="L553" s="280"/>
      <c r="M553" s="280"/>
      <c r="N553" s="280"/>
      <c r="O553" s="280"/>
      <c r="P553" s="280"/>
      <c r="Q553" s="280"/>
      <c r="R553" s="280"/>
      <c r="S553" s="280"/>
      <c r="T553" s="280"/>
      <c r="U553" s="280"/>
      <c r="V553" s="280"/>
      <c r="W553" s="280"/>
      <c r="X553" s="280"/>
      <c r="Y553" s="280"/>
      <c r="Z553" s="280"/>
      <c r="AA553" s="280"/>
      <c r="AB553" s="280"/>
      <c r="AC553" s="280"/>
      <c r="AD553" s="280"/>
      <c r="AE553" s="280"/>
      <c r="AF553" s="280"/>
      <c r="AG553" s="280"/>
      <c r="AH553" s="280"/>
      <c r="AI553" s="280"/>
      <c r="AJ553" s="280"/>
      <c r="AK553" s="280"/>
      <c r="AL553" s="280"/>
      <c r="AM553" s="280"/>
      <c r="AN553" s="280"/>
      <c r="AO553" s="280"/>
      <c r="AP553" s="280"/>
      <c r="AQ553" s="280"/>
      <c r="AR553" s="280"/>
      <c r="AS553" s="280"/>
      <c r="AT553" s="280"/>
      <c r="AU553" s="280"/>
      <c r="AV553" s="280"/>
      <c r="AW553" s="280"/>
      <c r="AX553" s="280"/>
      <c r="AY553" s="280"/>
      <c r="AZ553" s="280"/>
    </row>
    <row r="554" spans="1:52" ht="12.75" x14ac:dyDescent="0.2">
      <c r="A554" s="280"/>
      <c r="B554" s="280"/>
      <c r="C554" s="280"/>
      <c r="D554" s="280"/>
      <c r="E554" s="280"/>
      <c r="F554" s="280"/>
      <c r="G554" s="280"/>
      <c r="H554" s="280"/>
      <c r="I554" s="280"/>
      <c r="J554" s="280"/>
      <c r="K554" s="280"/>
      <c r="L554" s="280"/>
      <c r="M554" s="280"/>
      <c r="N554" s="280"/>
      <c r="O554" s="280"/>
      <c r="P554" s="280"/>
      <c r="Q554" s="280"/>
      <c r="R554" s="280"/>
      <c r="S554" s="280"/>
      <c r="T554" s="280"/>
      <c r="U554" s="280"/>
      <c r="V554" s="280"/>
      <c r="W554" s="280"/>
      <c r="X554" s="280"/>
      <c r="Y554" s="280"/>
      <c r="Z554" s="280"/>
      <c r="AA554" s="280"/>
      <c r="AB554" s="280"/>
      <c r="AC554" s="280"/>
      <c r="AD554" s="280"/>
      <c r="AE554" s="280"/>
      <c r="AF554" s="280"/>
      <c r="AG554" s="280"/>
      <c r="AH554" s="280"/>
      <c r="AI554" s="280"/>
      <c r="AJ554" s="280"/>
      <c r="AK554" s="280"/>
      <c r="AL554" s="280"/>
      <c r="AM554" s="280"/>
      <c r="AN554" s="280"/>
      <c r="AO554" s="280"/>
      <c r="AP554" s="280"/>
      <c r="AQ554" s="280"/>
      <c r="AR554" s="280"/>
      <c r="AS554" s="280"/>
      <c r="AT554" s="280"/>
      <c r="AU554" s="280"/>
      <c r="AV554" s="280"/>
      <c r="AW554" s="280"/>
      <c r="AX554" s="280"/>
      <c r="AY554" s="280"/>
      <c r="AZ554" s="280"/>
    </row>
    <row r="555" spans="1:52" ht="12.75" x14ac:dyDescent="0.2">
      <c r="A555" s="280"/>
      <c r="B555" s="280"/>
      <c r="C555" s="280"/>
      <c r="D555" s="280"/>
      <c r="E555" s="280"/>
      <c r="F555" s="280"/>
      <c r="G555" s="280"/>
      <c r="H555" s="280"/>
      <c r="I555" s="280"/>
      <c r="J555" s="280"/>
      <c r="K555" s="280"/>
      <c r="L555" s="280"/>
      <c r="M555" s="280"/>
      <c r="N555" s="280"/>
      <c r="O555" s="280"/>
      <c r="P555" s="280"/>
      <c r="Q555" s="280"/>
      <c r="R555" s="280"/>
      <c r="S555" s="280"/>
      <c r="T555" s="280"/>
      <c r="U555" s="280"/>
      <c r="V555" s="280"/>
      <c r="W555" s="280"/>
      <c r="X555" s="280"/>
      <c r="Y555" s="280"/>
      <c r="Z555" s="280"/>
      <c r="AA555" s="280"/>
      <c r="AB555" s="280"/>
      <c r="AC555" s="280"/>
      <c r="AD555" s="280"/>
      <c r="AE555" s="280"/>
      <c r="AF555" s="280"/>
      <c r="AG555" s="280"/>
      <c r="AH555" s="280"/>
      <c r="AI555" s="280"/>
      <c r="AJ555" s="280"/>
      <c r="AK555" s="280"/>
      <c r="AL555" s="280"/>
      <c r="AM555" s="280"/>
      <c r="AN555" s="280"/>
      <c r="AO555" s="280"/>
      <c r="AP555" s="280"/>
      <c r="AQ555" s="280"/>
      <c r="AR555" s="280"/>
      <c r="AS555" s="280"/>
      <c r="AT555" s="280"/>
      <c r="AU555" s="280"/>
      <c r="AV555" s="280"/>
      <c r="AW555" s="280"/>
      <c r="AX555" s="280"/>
      <c r="AY555" s="280"/>
      <c r="AZ555" s="280"/>
    </row>
    <row r="556" spans="1:52" ht="12.75" x14ac:dyDescent="0.2">
      <c r="A556" s="280"/>
      <c r="B556" s="280"/>
      <c r="C556" s="280"/>
      <c r="D556" s="280"/>
      <c r="E556" s="280"/>
      <c r="F556" s="280"/>
      <c r="G556" s="280"/>
      <c r="H556" s="280"/>
      <c r="I556" s="280"/>
      <c r="J556" s="280"/>
      <c r="K556" s="280"/>
      <c r="L556" s="280"/>
      <c r="M556" s="280"/>
      <c r="N556" s="280"/>
      <c r="O556" s="280"/>
      <c r="P556" s="280"/>
      <c r="Q556" s="280"/>
      <c r="R556" s="280"/>
      <c r="S556" s="280"/>
      <c r="T556" s="280"/>
      <c r="U556" s="280"/>
      <c r="V556" s="280"/>
      <c r="W556" s="280"/>
      <c r="X556" s="280"/>
      <c r="Y556" s="280"/>
      <c r="Z556" s="280"/>
      <c r="AA556" s="280"/>
      <c r="AB556" s="280"/>
      <c r="AC556" s="280"/>
      <c r="AD556" s="280"/>
      <c r="AE556" s="280"/>
      <c r="AF556" s="280"/>
      <c r="AG556" s="280"/>
      <c r="AH556" s="280"/>
      <c r="AI556" s="280"/>
      <c r="AJ556" s="280"/>
      <c r="AK556" s="280"/>
      <c r="AL556" s="280"/>
      <c r="AM556" s="280"/>
      <c r="AN556" s="280"/>
      <c r="AO556" s="280"/>
      <c r="AP556" s="280"/>
      <c r="AQ556" s="280"/>
      <c r="AR556" s="280"/>
      <c r="AS556" s="280"/>
      <c r="AT556" s="280"/>
      <c r="AU556" s="280"/>
      <c r="AV556" s="280"/>
      <c r="AW556" s="280"/>
      <c r="AX556" s="280"/>
      <c r="AY556" s="280"/>
      <c r="AZ556" s="280"/>
    </row>
    <row r="557" spans="1:52" x14ac:dyDescent="0.2">
      <c r="Y557" s="314"/>
    </row>
    <row r="558" spans="1:52" x14ac:dyDescent="0.2">
      <c r="Y558" s="314"/>
    </row>
    <row r="559" spans="1:52" x14ac:dyDescent="0.2">
      <c r="Y559" s="314"/>
    </row>
    <row r="560" spans="1:52" x14ac:dyDescent="0.2">
      <c r="Y560" s="314"/>
    </row>
    <row r="561" spans="25:25" x14ac:dyDescent="0.2">
      <c r="Y561" s="314"/>
    </row>
    <row r="562" spans="25:25" x14ac:dyDescent="0.2">
      <c r="Y562" s="314"/>
    </row>
    <row r="563" spans="25:25" x14ac:dyDescent="0.2">
      <c r="Y563" s="314"/>
    </row>
    <row r="564" spans="25:25" x14ac:dyDescent="0.2">
      <c r="Y564" s="314"/>
    </row>
    <row r="565" spans="25:25" x14ac:dyDescent="0.2">
      <c r="Y565" s="314"/>
    </row>
    <row r="566" spans="25:25" x14ac:dyDescent="0.2">
      <c r="Y566" s="314"/>
    </row>
    <row r="567" spans="25:25" x14ac:dyDescent="0.2">
      <c r="Y567" s="314"/>
    </row>
    <row r="568" spans="25:25" x14ac:dyDescent="0.2">
      <c r="Y568" s="314"/>
    </row>
    <row r="569" spans="25:25" x14ac:dyDescent="0.2">
      <c r="Y569" s="314"/>
    </row>
    <row r="570" spans="25:25" x14ac:dyDescent="0.2">
      <c r="Y570" s="314"/>
    </row>
    <row r="571" spans="25:25" x14ac:dyDescent="0.2">
      <c r="Y571" s="314"/>
    </row>
    <row r="572" spans="25:25" x14ac:dyDescent="0.2">
      <c r="Y572" s="314"/>
    </row>
    <row r="573" spans="25:25" x14ac:dyDescent="0.2">
      <c r="Y573" s="314"/>
    </row>
    <row r="574" spans="25:25" x14ac:dyDescent="0.2">
      <c r="Y574" s="314"/>
    </row>
    <row r="575" spans="25:25" x14ac:dyDescent="0.2">
      <c r="Y575" s="314"/>
    </row>
    <row r="576" spans="25:25" x14ac:dyDescent="0.2">
      <c r="Y576" s="314"/>
    </row>
    <row r="577" spans="25:25" x14ac:dyDescent="0.2">
      <c r="Y577" s="314"/>
    </row>
    <row r="578" spans="25:25" x14ac:dyDescent="0.2">
      <c r="Y578" s="314"/>
    </row>
    <row r="579" spans="25:25" x14ac:dyDescent="0.2">
      <c r="Y579" s="314"/>
    </row>
    <row r="580" spans="25:25" x14ac:dyDescent="0.2">
      <c r="Y580" s="314"/>
    </row>
    <row r="581" spans="25:25" x14ac:dyDescent="0.2">
      <c r="Y581" s="314"/>
    </row>
    <row r="582" spans="25:25" x14ac:dyDescent="0.2">
      <c r="Y582" s="314"/>
    </row>
    <row r="583" spans="25:25" x14ac:dyDescent="0.2">
      <c r="Y583" s="314"/>
    </row>
    <row r="584" spans="25:25" x14ac:dyDescent="0.2">
      <c r="Y584" s="314"/>
    </row>
    <row r="585" spans="25:25" x14ac:dyDescent="0.2">
      <c r="Y585" s="314"/>
    </row>
    <row r="586" spans="25:25" x14ac:dyDescent="0.2">
      <c r="Y586" s="314"/>
    </row>
    <row r="587" spans="25:25" x14ac:dyDescent="0.2">
      <c r="Y587" s="314"/>
    </row>
    <row r="588" spans="25:25" x14ac:dyDescent="0.2">
      <c r="Y588" s="314"/>
    </row>
    <row r="589" spans="25:25" x14ac:dyDescent="0.2">
      <c r="Y589" s="314"/>
    </row>
    <row r="590" spans="25:25" x14ac:dyDescent="0.2">
      <c r="Y590" s="314"/>
    </row>
    <row r="591" spans="25:25" x14ac:dyDescent="0.2">
      <c r="Y591" s="314"/>
    </row>
    <row r="592" spans="25:25" x14ac:dyDescent="0.2">
      <c r="Y592" s="314"/>
    </row>
    <row r="593" spans="25:25" x14ac:dyDescent="0.2">
      <c r="Y593" s="314"/>
    </row>
    <row r="594" spans="25:25" x14ac:dyDescent="0.2">
      <c r="Y594" s="314"/>
    </row>
    <row r="595" spans="25:25" x14ac:dyDescent="0.2">
      <c r="Y595" s="314"/>
    </row>
    <row r="596" spans="25:25" x14ac:dyDescent="0.2">
      <c r="Y596" s="314"/>
    </row>
    <row r="597" spans="25:25" x14ac:dyDescent="0.2">
      <c r="Y597" s="314"/>
    </row>
    <row r="598" spans="25:25" x14ac:dyDescent="0.2">
      <c r="Y598" s="314"/>
    </row>
    <row r="599" spans="25:25" x14ac:dyDescent="0.2">
      <c r="Y599" s="314"/>
    </row>
    <row r="600" spans="25:25" x14ac:dyDescent="0.2">
      <c r="Y600" s="314"/>
    </row>
    <row r="601" spans="25:25" x14ac:dyDescent="0.2">
      <c r="Y601" s="314"/>
    </row>
    <row r="602" spans="25:25" x14ac:dyDescent="0.2">
      <c r="Y602" s="314"/>
    </row>
    <row r="603" spans="25:25" x14ac:dyDescent="0.2">
      <c r="Y603" s="314"/>
    </row>
    <row r="604" spans="25:25" x14ac:dyDescent="0.2">
      <c r="Y604" s="314"/>
    </row>
    <row r="605" spans="25:25" x14ac:dyDescent="0.2">
      <c r="Y605" s="314"/>
    </row>
    <row r="606" spans="25:25" x14ac:dyDescent="0.2">
      <c r="Y606" s="314"/>
    </row>
    <row r="607" spans="25:25" x14ac:dyDescent="0.2">
      <c r="Y607" s="314"/>
    </row>
    <row r="608" spans="25:25" x14ac:dyDescent="0.2">
      <c r="Y608" s="314"/>
    </row>
    <row r="609" spans="25:25" x14ac:dyDescent="0.2">
      <c r="Y609" s="314"/>
    </row>
    <row r="610" spans="25:25" x14ac:dyDescent="0.2">
      <c r="Y610" s="314"/>
    </row>
    <row r="611" spans="25:25" x14ac:dyDescent="0.2">
      <c r="Y611" s="314"/>
    </row>
    <row r="612" spans="25:25" x14ac:dyDescent="0.2">
      <c r="Y612" s="314"/>
    </row>
    <row r="613" spans="25:25" x14ac:dyDescent="0.2">
      <c r="Y613" s="314"/>
    </row>
    <row r="614" spans="25:25" x14ac:dyDescent="0.2">
      <c r="Y614" s="314"/>
    </row>
    <row r="615" spans="25:25" x14ac:dyDescent="0.2">
      <c r="Y615" s="314"/>
    </row>
    <row r="616" spans="25:25" x14ac:dyDescent="0.2">
      <c r="Y616" s="314"/>
    </row>
    <row r="617" spans="25:25" x14ac:dyDescent="0.2">
      <c r="Y617" s="314"/>
    </row>
    <row r="618" spans="25:25" x14ac:dyDescent="0.2">
      <c r="Y618" s="314"/>
    </row>
    <row r="619" spans="25:25" x14ac:dyDescent="0.2">
      <c r="Y619" s="314"/>
    </row>
    <row r="620" spans="25:25" x14ac:dyDescent="0.2">
      <c r="Y620" s="314"/>
    </row>
    <row r="621" spans="25:25" x14ac:dyDescent="0.2">
      <c r="Y621" s="314"/>
    </row>
    <row r="622" spans="25:25" x14ac:dyDescent="0.2">
      <c r="Y622" s="314"/>
    </row>
    <row r="623" spans="25:25" x14ac:dyDescent="0.2">
      <c r="Y623" s="314"/>
    </row>
    <row r="624" spans="25:25" x14ac:dyDescent="0.2">
      <c r="Y624" s="314"/>
    </row>
    <row r="625" spans="25:25" x14ac:dyDescent="0.2">
      <c r="Y625" s="314"/>
    </row>
    <row r="626" spans="25:25" x14ac:dyDescent="0.2">
      <c r="Y626" s="314"/>
    </row>
    <row r="627" spans="25:25" x14ac:dyDescent="0.2">
      <c r="Y627" s="314"/>
    </row>
    <row r="628" spans="25:25" x14ac:dyDescent="0.2">
      <c r="Y628" s="314"/>
    </row>
    <row r="629" spans="25:25" x14ac:dyDescent="0.2">
      <c r="Y629" s="314"/>
    </row>
    <row r="630" spans="25:25" x14ac:dyDescent="0.2">
      <c r="Y630" s="314"/>
    </row>
    <row r="631" spans="25:25" x14ac:dyDescent="0.2">
      <c r="Y631" s="314"/>
    </row>
    <row r="632" spans="25:25" x14ac:dyDescent="0.2">
      <c r="Y632" s="314"/>
    </row>
    <row r="633" spans="25:25" x14ac:dyDescent="0.2">
      <c r="Y633" s="314"/>
    </row>
    <row r="634" spans="25:25" x14ac:dyDescent="0.2">
      <c r="Y634" s="314"/>
    </row>
    <row r="635" spans="25:25" x14ac:dyDescent="0.2">
      <c r="Y635" s="314"/>
    </row>
    <row r="636" spans="25:25" x14ac:dyDescent="0.2">
      <c r="Y636" s="314"/>
    </row>
    <row r="637" spans="25:25" x14ac:dyDescent="0.2">
      <c r="Y637" s="314"/>
    </row>
    <row r="638" spans="25:25" x14ac:dyDescent="0.2">
      <c r="Y638" s="314"/>
    </row>
    <row r="639" spans="25:25" x14ac:dyDescent="0.2">
      <c r="Y639" s="314"/>
    </row>
    <row r="640" spans="25:25" x14ac:dyDescent="0.2">
      <c r="Y640" s="314"/>
    </row>
    <row r="641" spans="25:25" x14ac:dyDescent="0.2">
      <c r="Y641" s="314"/>
    </row>
    <row r="642" spans="25:25" x14ac:dyDescent="0.2">
      <c r="Y642" s="314"/>
    </row>
    <row r="643" spans="25:25" x14ac:dyDescent="0.2">
      <c r="Y643" s="314"/>
    </row>
    <row r="644" spans="25:25" x14ac:dyDescent="0.2">
      <c r="Y644" s="314"/>
    </row>
    <row r="645" spans="25:25" x14ac:dyDescent="0.2">
      <c r="Y645" s="314"/>
    </row>
    <row r="646" spans="25:25" x14ac:dyDescent="0.2">
      <c r="Y646" s="314"/>
    </row>
    <row r="647" spans="25:25" x14ac:dyDescent="0.2">
      <c r="Y647" s="314"/>
    </row>
    <row r="648" spans="25:25" x14ac:dyDescent="0.2">
      <c r="Y648" s="314"/>
    </row>
    <row r="649" spans="25:25" x14ac:dyDescent="0.2">
      <c r="Y649" s="314"/>
    </row>
    <row r="650" spans="25:25" x14ac:dyDescent="0.2">
      <c r="Y650" s="314"/>
    </row>
    <row r="651" spans="25:25" x14ac:dyDescent="0.2">
      <c r="Y651" s="314"/>
    </row>
    <row r="652" spans="25:25" x14ac:dyDescent="0.2">
      <c r="Y652" s="314"/>
    </row>
    <row r="653" spans="25:25" x14ac:dyDescent="0.2">
      <c r="Y653" s="314"/>
    </row>
    <row r="654" spans="25:25" x14ac:dyDescent="0.2">
      <c r="Y654" s="314"/>
    </row>
    <row r="655" spans="25:25" x14ac:dyDescent="0.2">
      <c r="Y655" s="314"/>
    </row>
    <row r="656" spans="25:25" x14ac:dyDescent="0.2">
      <c r="Y656" s="314"/>
    </row>
    <row r="657" spans="25:25" x14ac:dyDescent="0.2">
      <c r="Y657" s="314"/>
    </row>
    <row r="658" spans="25:25" x14ac:dyDescent="0.2">
      <c r="Y658" s="314"/>
    </row>
    <row r="659" spans="25:25" x14ac:dyDescent="0.2">
      <c r="Y659" s="314"/>
    </row>
    <row r="660" spans="25:25" x14ac:dyDescent="0.2">
      <c r="Y660" s="314"/>
    </row>
    <row r="661" spans="25:25" x14ac:dyDescent="0.2">
      <c r="Y661" s="314"/>
    </row>
    <row r="662" spans="25:25" x14ac:dyDescent="0.2">
      <c r="Y662" s="314"/>
    </row>
    <row r="663" spans="25:25" x14ac:dyDescent="0.2">
      <c r="Y663" s="314"/>
    </row>
    <row r="664" spans="25:25" x14ac:dyDescent="0.2">
      <c r="Y664" s="314"/>
    </row>
    <row r="665" spans="25:25" x14ac:dyDescent="0.2">
      <c r="Y665" s="314"/>
    </row>
    <row r="666" spans="25:25" x14ac:dyDescent="0.2">
      <c r="Y666" s="314"/>
    </row>
    <row r="667" spans="25:25" x14ac:dyDescent="0.2">
      <c r="Y667" s="314"/>
    </row>
    <row r="668" spans="25:25" x14ac:dyDescent="0.2">
      <c r="Y668" s="314"/>
    </row>
    <row r="669" spans="25:25" x14ac:dyDescent="0.2">
      <c r="Y669" s="314"/>
    </row>
    <row r="670" spans="25:25" x14ac:dyDescent="0.2">
      <c r="Y670" s="314"/>
    </row>
    <row r="671" spans="25:25" x14ac:dyDescent="0.2">
      <c r="Y671" s="314"/>
    </row>
    <row r="672" spans="25:25" x14ac:dyDescent="0.2">
      <c r="Y672" s="314"/>
    </row>
    <row r="673" spans="25:25" x14ac:dyDescent="0.2">
      <c r="Y673" s="314"/>
    </row>
    <row r="674" spans="25:25" x14ac:dyDescent="0.2">
      <c r="Y674" s="314"/>
    </row>
    <row r="675" spans="25:25" x14ac:dyDescent="0.2">
      <c r="Y675" s="314"/>
    </row>
    <row r="676" spans="25:25" x14ac:dyDescent="0.2">
      <c r="Y676" s="314"/>
    </row>
    <row r="677" spans="25:25" x14ac:dyDescent="0.2">
      <c r="Y677" s="314"/>
    </row>
    <row r="678" spans="25:25" x14ac:dyDescent="0.2">
      <c r="Y678" s="314"/>
    </row>
    <row r="679" spans="25:25" x14ac:dyDescent="0.2">
      <c r="Y679" s="314"/>
    </row>
    <row r="680" spans="25:25" x14ac:dyDescent="0.2">
      <c r="Y680" s="314"/>
    </row>
    <row r="681" spans="25:25" x14ac:dyDescent="0.2">
      <c r="Y681" s="314"/>
    </row>
    <row r="682" spans="25:25" x14ac:dyDescent="0.2">
      <c r="Y682" s="314"/>
    </row>
    <row r="683" spans="25:25" x14ac:dyDescent="0.2">
      <c r="Y683" s="314"/>
    </row>
    <row r="684" spans="25:25" x14ac:dyDescent="0.2">
      <c r="Y684" s="314"/>
    </row>
    <row r="685" spans="25:25" x14ac:dyDescent="0.2">
      <c r="Y685" s="314"/>
    </row>
    <row r="686" spans="25:25" x14ac:dyDescent="0.2">
      <c r="Y686" s="314"/>
    </row>
    <row r="687" spans="25:25" x14ac:dyDescent="0.2">
      <c r="Y687" s="314"/>
    </row>
    <row r="688" spans="25:25" x14ac:dyDescent="0.2">
      <c r="Y688" s="314"/>
    </row>
    <row r="689" spans="25:25" x14ac:dyDescent="0.2">
      <c r="Y689" s="314"/>
    </row>
    <row r="690" spans="25:25" x14ac:dyDescent="0.2">
      <c r="Y690" s="314"/>
    </row>
    <row r="691" spans="25:25" x14ac:dyDescent="0.2">
      <c r="Y691" s="314"/>
    </row>
    <row r="692" spans="25:25" x14ac:dyDescent="0.2">
      <c r="Y692" s="314"/>
    </row>
    <row r="693" spans="25:25" x14ac:dyDescent="0.2">
      <c r="Y693" s="314"/>
    </row>
    <row r="694" spans="25:25" x14ac:dyDescent="0.2">
      <c r="Y694" s="314"/>
    </row>
    <row r="695" spans="25:25" x14ac:dyDescent="0.2">
      <c r="Y695" s="314"/>
    </row>
    <row r="696" spans="25:25" x14ac:dyDescent="0.2">
      <c r="Y696" s="314"/>
    </row>
    <row r="697" spans="25:25" x14ac:dyDescent="0.2">
      <c r="Y697" s="314"/>
    </row>
    <row r="698" spans="25:25" x14ac:dyDescent="0.2">
      <c r="Y698" s="314"/>
    </row>
    <row r="699" spans="25:25" x14ac:dyDescent="0.2">
      <c r="Y699" s="314"/>
    </row>
    <row r="700" spans="25:25" x14ac:dyDescent="0.2">
      <c r="Y700" s="314"/>
    </row>
    <row r="701" spans="25:25" x14ac:dyDescent="0.2">
      <c r="Y701" s="314"/>
    </row>
    <row r="702" spans="25:25" x14ac:dyDescent="0.2">
      <c r="Y702" s="314"/>
    </row>
    <row r="703" spans="25:25" x14ac:dyDescent="0.2">
      <c r="Y703" s="314"/>
    </row>
    <row r="704" spans="25:25" x14ac:dyDescent="0.2">
      <c r="Y704" s="314"/>
    </row>
    <row r="705" spans="25:25" x14ac:dyDescent="0.2">
      <c r="Y705" s="314"/>
    </row>
    <row r="706" spans="25:25" x14ac:dyDescent="0.2">
      <c r="Y706" s="314"/>
    </row>
    <row r="707" spans="25:25" x14ac:dyDescent="0.2">
      <c r="Y707" s="314"/>
    </row>
    <row r="708" spans="25:25" x14ac:dyDescent="0.2">
      <c r="Y708" s="314"/>
    </row>
    <row r="709" spans="25:25" x14ac:dyDescent="0.2">
      <c r="Y709" s="314"/>
    </row>
    <row r="710" spans="25:25" x14ac:dyDescent="0.2">
      <c r="Y710" s="314"/>
    </row>
    <row r="711" spans="25:25" x14ac:dyDescent="0.2">
      <c r="Y711" s="314"/>
    </row>
    <row r="712" spans="25:25" x14ac:dyDescent="0.2">
      <c r="Y712" s="314"/>
    </row>
    <row r="713" spans="25:25" x14ac:dyDescent="0.2">
      <c r="Y713" s="314"/>
    </row>
    <row r="714" spans="25:25" x14ac:dyDescent="0.2">
      <c r="Y714" s="314"/>
    </row>
    <row r="715" spans="25:25" x14ac:dyDescent="0.2">
      <c r="Y715" s="314"/>
    </row>
    <row r="716" spans="25:25" x14ac:dyDescent="0.2">
      <c r="Y716" s="314"/>
    </row>
    <row r="717" spans="25:25" x14ac:dyDescent="0.2">
      <c r="Y717" s="314"/>
    </row>
    <row r="718" spans="25:25" x14ac:dyDescent="0.2">
      <c r="Y718" s="314"/>
    </row>
    <row r="719" spans="25:25" x14ac:dyDescent="0.2">
      <c r="Y719" s="314"/>
    </row>
    <row r="720" spans="25:25" x14ac:dyDescent="0.2">
      <c r="Y720" s="314"/>
    </row>
    <row r="721" spans="25:25" x14ac:dyDescent="0.2">
      <c r="Y721" s="314"/>
    </row>
    <row r="722" spans="25:25" x14ac:dyDescent="0.2">
      <c r="Y722" s="314"/>
    </row>
    <row r="723" spans="25:25" x14ac:dyDescent="0.2">
      <c r="Y723" s="314"/>
    </row>
    <row r="724" spans="25:25" x14ac:dyDescent="0.2">
      <c r="Y724" s="314"/>
    </row>
    <row r="725" spans="25:25" x14ac:dyDescent="0.2">
      <c r="Y725" s="314"/>
    </row>
    <row r="726" spans="25:25" x14ac:dyDescent="0.2">
      <c r="Y726" s="314"/>
    </row>
    <row r="727" spans="25:25" x14ac:dyDescent="0.2">
      <c r="Y727" s="314"/>
    </row>
    <row r="728" spans="25:25" x14ac:dyDescent="0.2">
      <c r="Y728" s="314"/>
    </row>
    <row r="729" spans="25:25" x14ac:dyDescent="0.2">
      <c r="Y729" s="314"/>
    </row>
    <row r="730" spans="25:25" x14ac:dyDescent="0.2">
      <c r="Y730" s="314"/>
    </row>
    <row r="731" spans="25:25" x14ac:dyDescent="0.2">
      <c r="Y731" s="314"/>
    </row>
    <row r="732" spans="25:25" x14ac:dyDescent="0.2">
      <c r="Y732" s="314"/>
    </row>
    <row r="733" spans="25:25" x14ac:dyDescent="0.2">
      <c r="Y733" s="314"/>
    </row>
    <row r="734" spans="25:25" x14ac:dyDescent="0.2">
      <c r="Y734" s="314"/>
    </row>
    <row r="735" spans="25:25" x14ac:dyDescent="0.2">
      <c r="Y735" s="314"/>
    </row>
    <row r="736" spans="25:25" x14ac:dyDescent="0.2">
      <c r="Y736" s="314"/>
    </row>
    <row r="737" spans="25:25" x14ac:dyDescent="0.2">
      <c r="Y737" s="314"/>
    </row>
    <row r="738" spans="25:25" x14ac:dyDescent="0.2">
      <c r="Y738" s="314"/>
    </row>
    <row r="739" spans="25:25" x14ac:dyDescent="0.2">
      <c r="Y739" s="314"/>
    </row>
    <row r="740" spans="25:25" x14ac:dyDescent="0.2">
      <c r="Y740" s="314"/>
    </row>
    <row r="741" spans="25:25" x14ac:dyDescent="0.2">
      <c r="Y741" s="314"/>
    </row>
    <row r="742" spans="25:25" x14ac:dyDescent="0.2">
      <c r="Y742" s="314"/>
    </row>
    <row r="743" spans="25:25" x14ac:dyDescent="0.2">
      <c r="Y743" s="314"/>
    </row>
    <row r="744" spans="25:25" x14ac:dyDescent="0.2">
      <c r="Y744" s="314"/>
    </row>
    <row r="745" spans="25:25" x14ac:dyDescent="0.2">
      <c r="Y745" s="314"/>
    </row>
    <row r="746" spans="25:25" x14ac:dyDescent="0.2">
      <c r="Y746" s="314"/>
    </row>
    <row r="747" spans="25:25" x14ac:dyDescent="0.2">
      <c r="Y747" s="314"/>
    </row>
    <row r="748" spans="25:25" x14ac:dyDescent="0.2">
      <c r="Y748" s="314"/>
    </row>
    <row r="749" spans="25:25" x14ac:dyDescent="0.2">
      <c r="Y749" s="314"/>
    </row>
    <row r="750" spans="25:25" x14ac:dyDescent="0.2">
      <c r="Y750" s="314"/>
    </row>
    <row r="751" spans="25:25" x14ac:dyDescent="0.2">
      <c r="Y751" s="314"/>
    </row>
    <row r="752" spans="25:25" x14ac:dyDescent="0.2">
      <c r="Y752" s="314"/>
    </row>
    <row r="753" spans="25:25" x14ac:dyDescent="0.2">
      <c r="Y753" s="314"/>
    </row>
    <row r="754" spans="25:25" x14ac:dyDescent="0.2">
      <c r="Y754" s="314"/>
    </row>
    <row r="755" spans="25:25" x14ac:dyDescent="0.2">
      <c r="Y755" s="314"/>
    </row>
    <row r="756" spans="25:25" x14ac:dyDescent="0.2">
      <c r="Y756" s="314"/>
    </row>
    <row r="757" spans="25:25" x14ac:dyDescent="0.2">
      <c r="Y757" s="314"/>
    </row>
    <row r="758" spans="25:25" x14ac:dyDescent="0.2">
      <c r="Y758" s="314"/>
    </row>
    <row r="759" spans="25:25" x14ac:dyDescent="0.2">
      <c r="Y759" s="314"/>
    </row>
    <row r="760" spans="25:25" x14ac:dyDescent="0.2">
      <c r="Y760" s="314"/>
    </row>
    <row r="761" spans="25:25" x14ac:dyDescent="0.2">
      <c r="Y761" s="314"/>
    </row>
    <row r="762" spans="25:25" x14ac:dyDescent="0.2">
      <c r="Y762" s="314"/>
    </row>
    <row r="763" spans="25:25" x14ac:dyDescent="0.2">
      <c r="Y763" s="314"/>
    </row>
    <row r="764" spans="25:25" x14ac:dyDescent="0.2">
      <c r="Y764" s="314"/>
    </row>
    <row r="765" spans="25:25" x14ac:dyDescent="0.2">
      <c r="Y765" s="314"/>
    </row>
    <row r="766" spans="25:25" x14ac:dyDescent="0.2">
      <c r="Y766" s="314"/>
    </row>
    <row r="767" spans="25:25" x14ac:dyDescent="0.2">
      <c r="Y767" s="314"/>
    </row>
    <row r="768" spans="25:25" x14ac:dyDescent="0.2">
      <c r="Y768" s="314"/>
    </row>
    <row r="769" spans="25:25" x14ac:dyDescent="0.2">
      <c r="Y769" s="314"/>
    </row>
    <row r="770" spans="25:25" x14ac:dyDescent="0.2">
      <c r="Y770" s="314"/>
    </row>
    <row r="771" spans="25:25" x14ac:dyDescent="0.2">
      <c r="Y771" s="314"/>
    </row>
    <row r="772" spans="25:25" x14ac:dyDescent="0.2">
      <c r="Y772" s="314"/>
    </row>
    <row r="773" spans="25:25" x14ac:dyDescent="0.2">
      <c r="Y773" s="314"/>
    </row>
    <row r="774" spans="25:25" x14ac:dyDescent="0.2">
      <c r="Y774" s="314"/>
    </row>
    <row r="775" spans="25:25" x14ac:dyDescent="0.2">
      <c r="Y775" s="314"/>
    </row>
    <row r="776" spans="25:25" x14ac:dyDescent="0.2">
      <c r="Y776" s="314"/>
    </row>
    <row r="777" spans="25:25" x14ac:dyDescent="0.2">
      <c r="Y777" s="314"/>
    </row>
    <row r="778" spans="25:25" x14ac:dyDescent="0.2">
      <c r="Y778" s="314"/>
    </row>
    <row r="779" spans="25:25" x14ac:dyDescent="0.2">
      <c r="Y779" s="314"/>
    </row>
    <row r="780" spans="25:25" x14ac:dyDescent="0.2">
      <c r="Y780" s="314"/>
    </row>
    <row r="781" spans="25:25" x14ac:dyDescent="0.2">
      <c r="Y781" s="314"/>
    </row>
    <row r="782" spans="25:25" x14ac:dyDescent="0.2">
      <c r="Y782" s="314"/>
    </row>
    <row r="783" spans="25:25" x14ac:dyDescent="0.2">
      <c r="Y783" s="314"/>
    </row>
    <row r="784" spans="25:25" x14ac:dyDescent="0.2">
      <c r="Y784" s="314"/>
    </row>
    <row r="785" spans="25:25" x14ac:dyDescent="0.2">
      <c r="Y785" s="314"/>
    </row>
    <row r="786" spans="25:25" x14ac:dyDescent="0.2">
      <c r="Y786" s="314"/>
    </row>
    <row r="787" spans="25:25" x14ac:dyDescent="0.2">
      <c r="Y787" s="314"/>
    </row>
    <row r="788" spans="25:25" x14ac:dyDescent="0.2">
      <c r="Y788" s="314"/>
    </row>
    <row r="789" spans="25:25" x14ac:dyDescent="0.2">
      <c r="Y789" s="314"/>
    </row>
    <row r="790" spans="25:25" x14ac:dyDescent="0.2">
      <c r="Y790" s="314"/>
    </row>
    <row r="791" spans="25:25" x14ac:dyDescent="0.2">
      <c r="Y791" s="314"/>
    </row>
    <row r="792" spans="25:25" x14ac:dyDescent="0.2">
      <c r="Y792" s="314"/>
    </row>
    <row r="793" spans="25:25" x14ac:dyDescent="0.2">
      <c r="Y793" s="314"/>
    </row>
    <row r="794" spans="25:25" x14ac:dyDescent="0.2">
      <c r="Y794" s="314"/>
    </row>
    <row r="795" spans="25:25" x14ac:dyDescent="0.2">
      <c r="Y795" s="314"/>
    </row>
    <row r="796" spans="25:25" x14ac:dyDescent="0.2">
      <c r="Y796" s="314"/>
    </row>
    <row r="797" spans="25:25" x14ac:dyDescent="0.2">
      <c r="Y797" s="314"/>
    </row>
    <row r="798" spans="25:25" x14ac:dyDescent="0.2">
      <c r="Y798" s="314"/>
    </row>
    <row r="799" spans="25:25" x14ac:dyDescent="0.2">
      <c r="Y799" s="314"/>
    </row>
    <row r="800" spans="25:25" x14ac:dyDescent="0.2">
      <c r="Y800" s="314"/>
    </row>
    <row r="801" spans="25:25" x14ac:dyDescent="0.2">
      <c r="Y801" s="314"/>
    </row>
    <row r="802" spans="25:25" x14ac:dyDescent="0.2">
      <c r="Y802" s="314"/>
    </row>
    <row r="803" spans="25:25" x14ac:dyDescent="0.2">
      <c r="Y803" s="314"/>
    </row>
    <row r="804" spans="25:25" x14ac:dyDescent="0.2">
      <c r="Y804" s="314"/>
    </row>
    <row r="805" spans="25:25" x14ac:dyDescent="0.2">
      <c r="Y805" s="314"/>
    </row>
    <row r="806" spans="25:25" x14ac:dyDescent="0.2">
      <c r="Y806" s="314"/>
    </row>
    <row r="807" spans="25:25" x14ac:dyDescent="0.2">
      <c r="Y807" s="314"/>
    </row>
    <row r="808" spans="25:25" x14ac:dyDescent="0.2">
      <c r="Y808" s="314"/>
    </row>
    <row r="809" spans="25:25" x14ac:dyDescent="0.2">
      <c r="Y809" s="314"/>
    </row>
    <row r="810" spans="25:25" x14ac:dyDescent="0.2">
      <c r="Y810" s="314"/>
    </row>
    <row r="811" spans="25:25" x14ac:dyDescent="0.2">
      <c r="Y811" s="314"/>
    </row>
    <row r="812" spans="25:25" x14ac:dyDescent="0.2">
      <c r="Y812" s="314"/>
    </row>
    <row r="813" spans="25:25" x14ac:dyDescent="0.2">
      <c r="Y813" s="314"/>
    </row>
    <row r="814" spans="25:25" x14ac:dyDescent="0.2">
      <c r="Y814" s="314"/>
    </row>
    <row r="815" spans="25:25" x14ac:dyDescent="0.2">
      <c r="Y815" s="314"/>
    </row>
    <row r="816" spans="25:25" x14ac:dyDescent="0.2">
      <c r="Y816" s="314"/>
    </row>
    <row r="817" spans="25:25" x14ac:dyDescent="0.2">
      <c r="Y817" s="314"/>
    </row>
    <row r="818" spans="25:25" x14ac:dyDescent="0.2">
      <c r="Y818" s="314"/>
    </row>
    <row r="819" spans="25:25" x14ac:dyDescent="0.2">
      <c r="Y819" s="314"/>
    </row>
    <row r="820" spans="25:25" x14ac:dyDescent="0.2">
      <c r="Y820" s="314"/>
    </row>
    <row r="821" spans="25:25" x14ac:dyDescent="0.2">
      <c r="Y821" s="314"/>
    </row>
    <row r="822" spans="25:25" x14ac:dyDescent="0.2">
      <c r="Y822" s="314"/>
    </row>
    <row r="823" spans="25:25" x14ac:dyDescent="0.2">
      <c r="Y823" s="314"/>
    </row>
    <row r="824" spans="25:25" x14ac:dyDescent="0.2">
      <c r="Y824" s="314"/>
    </row>
    <row r="825" spans="25:25" x14ac:dyDescent="0.2">
      <c r="Y825" s="314"/>
    </row>
    <row r="826" spans="25:25" x14ac:dyDescent="0.2">
      <c r="Y826" s="314"/>
    </row>
    <row r="827" spans="25:25" x14ac:dyDescent="0.2">
      <c r="Y827" s="314"/>
    </row>
    <row r="828" spans="25:25" x14ac:dyDescent="0.2">
      <c r="Y828" s="314"/>
    </row>
    <row r="829" spans="25:25" x14ac:dyDescent="0.2">
      <c r="Y829" s="314"/>
    </row>
    <row r="830" spans="25:25" x14ac:dyDescent="0.2">
      <c r="Y830" s="314"/>
    </row>
  </sheetData>
  <phoneticPr fontId="0" type="noConversion"/>
  <printOptions horizontalCentered="1" verticalCentered="1"/>
  <pageMargins left="0.19685039370078741" right="0.19685039370078741" top="0.98425196850393704" bottom="0.98425196850393704" header="0" footer="0"/>
  <pageSetup paperSize="9" scale="90" orientation="landscape" horizontalDpi="120" verticalDpi="14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Расход флюсов</vt:lpstr>
      <vt:lpstr>Соотношение расходов ЖРМ</vt:lpstr>
      <vt:lpstr>Основность агломерата</vt:lpstr>
      <vt:lpstr>Исходные данные и результаты</vt:lpstr>
      <vt:lpstr>Ввод составов (база)</vt:lpstr>
      <vt:lpstr>Ввод составов (проект)</vt:lpstr>
      <vt:lpstr>Печать результ. (стр. 1-2)</vt:lpstr>
      <vt:lpstr>Печать результ. шихта (стр. 3)</vt:lpstr>
      <vt:lpstr>Диагностика</vt:lpstr>
      <vt:lpstr>Влияние основности</vt:lpstr>
      <vt:lpstr>'Аглошихта по ММК'!Область_печати</vt:lpstr>
      <vt:lpstr>'Печать результ. (стр. 1-2)'!Область_печати</vt:lpstr>
      <vt:lpstr>'Печать результ. шихта (стр. 3)'!Область_печати</vt:lpstr>
    </vt:vector>
  </TitlesOfParts>
  <Company>кафедра ТИМ УрФУ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Расчет оптимального состава доменной шихты ММК</dc:title>
  <dc:creator>Лавров Владислав Васильевич</dc:creator>
  <cp:lastModifiedBy>Александр</cp:lastModifiedBy>
  <cp:lastPrinted>2011-12-13T07:43:13Z</cp:lastPrinted>
  <dcterms:created xsi:type="dcterms:W3CDTF">2003-08-17T07:17:22Z</dcterms:created>
  <dcterms:modified xsi:type="dcterms:W3CDTF">2018-06-17T20:36:12Z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288755223</vt:i4>
  </property>
  <property fmtid="{D5CDD505-2E9C-101B-9397-08002B2CF9AE}" pid="3" name="_EmailSubject">
    <vt:lpwstr>От Полякова</vt:lpwstr>
  </property>
  <property fmtid="{D5CDD505-2E9C-101B-9397-08002B2CF9AE}" pid="4" name="_AuthorEmail">
    <vt:lpwstr>paul@mmk.ru</vt:lpwstr>
  </property>
  <property fmtid="{D5CDD505-2E9C-101B-9397-08002B2CF9AE}" pid="5" name="_AuthorEmailDisplayName">
    <vt:lpwstr>Paul</vt:lpwstr>
  </property>
  <property fmtid="{D5CDD505-2E9C-101B-9397-08002B2CF9AE}" pid="6" name="_ReviewingToolsShownOnce">
    <vt:lpwstr/>
  </property>
</Properties>
</file>